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rbrti.sharepoint.com/sites/rhsite/Documentos Compartilhados/07 Recursos Humanos (RH)/08 - Financeiro/Consolidados - Planilha Diana/"/>
    </mc:Choice>
  </mc:AlternateContent>
  <xr:revisionPtr revIDLastSave="0" documentId="8_{E85580E5-C2CE-4C10-A950-F112AFA0086F}" xr6:coauthVersionLast="47" xr6:coauthVersionMax="47" xr10:uidLastSave="{00000000-0000-0000-0000-000000000000}"/>
  <bookViews>
    <workbookView xWindow="-108" yWindow="-108" windowWidth="23256" windowHeight="12456" firstSheet="4" activeTab="4" xr2:uid="{100916D9-EC8F-41E6-A939-E2F2E5B0EBBF}"/>
  </bookViews>
  <sheets>
    <sheet name="Consolidado Gabi" sheetId="20" state="hidden" r:id="rId1"/>
    <sheet name="BANCO DE HORAS" sheetId="17" state="hidden" r:id="rId2"/>
    <sheet name="CONSOLIDADO ATIVO INATIVO NOVO" sheetId="31" r:id="rId3"/>
    <sheet name="MEI - NOVA" sheetId="30" r:id="rId4"/>
    <sheet name="CLT NOVA" sheetId="29" r:id="rId5"/>
    <sheet name="MENSAL LÍQUIDO" sheetId="19" state="hidden" r:id="rId6"/>
    <sheet name="Rescisório - CLT" sheetId="16" state="hidden" r:id="rId7"/>
    <sheet name="Aparecido" sheetId="3" state="hidden" r:id="rId8"/>
    <sheet name="Edimilson" sheetId="2" state="hidden" r:id="rId9"/>
    <sheet name="Fabio" sheetId="4" state="hidden" r:id="rId10"/>
    <sheet name="Marcio" sheetId="5" state="hidden" r:id="rId11"/>
    <sheet name="Rosinaldo" sheetId="6" state="hidden" r:id="rId12"/>
    <sheet name="Sergio" sheetId="7" state="hidden" r:id="rId13"/>
    <sheet name="Thiago" sheetId="8" state="hidden" r:id="rId14"/>
    <sheet name="Vinicius" sheetId="9" state="hidden" r:id="rId15"/>
    <sheet name="Raphael" sheetId="10" state="hidden" r:id="rId16"/>
    <sheet name="William" sheetId="13" state="hidden" r:id="rId17"/>
  </sheets>
  <externalReferences>
    <externalReference r:id="rId18"/>
    <externalReference r:id="rId19"/>
  </externalReferences>
  <definedNames>
    <definedName name="_xlnm._FilterDatabase" localSheetId="7" hidden="1">Aparecido!$A$2:$P$29</definedName>
    <definedName name="_xlnm._FilterDatabase" localSheetId="4" hidden="1">'CLT NOVA'!$A$1:$CC$893</definedName>
    <definedName name="_xlnm._FilterDatabase" localSheetId="2" hidden="1">'CONSOLIDADO ATIVO INATIVO NOVO'!$A$1:$R$170</definedName>
    <definedName name="_xlnm._FilterDatabase" localSheetId="8" hidden="1">Edimilson!$A$2:$P$40</definedName>
    <definedName name="_xlnm._FilterDatabase" localSheetId="10" hidden="1">Marcio!$A$2:$P$2</definedName>
    <definedName name="_xlnm._FilterDatabase" localSheetId="3" hidden="1">'MEI - NOVA'!$B$1:$CA$78</definedName>
    <definedName name="_xlnm._FilterDatabase" localSheetId="15" hidden="1">Raphael!$A$2:$P$47</definedName>
    <definedName name="_xlnm._FilterDatabase" localSheetId="12" hidden="1">Sergio!$A$2:$P$38</definedName>
    <definedName name="_xlnm._FilterDatabase" localSheetId="13" hidden="1">Thiago!$A$2:$P$34</definedName>
    <definedName name="_xlnm._FilterDatabase" localSheetId="14" hidden="1">Vinicius!$A$2:$P$25</definedName>
    <definedName name="_xlnm._FilterDatabase" localSheetId="16" hidden="1">William!$A$2:$P$27</definedName>
    <definedName name="_xlnm.Print_Area" localSheetId="2">'CONSOLIDADO ATIVO INATIVO NOVO'!$A$1:$R$172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945" i="29" l="1"/>
  <c r="BW880" i="29"/>
  <c r="BT655" i="29"/>
  <c r="BU655" i="29"/>
  <c r="BV655" i="29"/>
  <c r="BW655" i="29"/>
  <c r="BS655" i="29"/>
  <c r="BL498" i="29"/>
  <c r="BL564" i="29"/>
  <c r="BW564" i="29"/>
  <c r="BV564" i="29"/>
  <c r="BT564" i="29"/>
  <c r="BR564" i="29"/>
  <c r="BP564" i="29"/>
  <c r="BQ564" i="29"/>
  <c r="BO564" i="29"/>
  <c r="BN564" i="29"/>
  <c r="BS564" i="29"/>
  <c r="BU564" i="29"/>
  <c r="BM564" i="29"/>
  <c r="BG563" i="29"/>
  <c r="BT554" i="29"/>
  <c r="BW13" i="30"/>
  <c r="BS83" i="30"/>
  <c r="BT83" i="30"/>
  <c r="BU83" i="30"/>
  <c r="BV83" i="30"/>
  <c r="BW83" i="30"/>
  <c r="P170" i="31"/>
  <c r="N170" i="31"/>
  <c r="M170" i="31"/>
  <c r="L170" i="31"/>
  <c r="BX81" i="30"/>
  <c r="N169" i="31"/>
  <c r="M169" i="31"/>
  <c r="L169" i="31"/>
  <c r="O169" i="31" s="1"/>
  <c r="BX80" i="30"/>
  <c r="P169" i="31" s="1"/>
  <c r="O170" i="31" l="1"/>
  <c r="M168" i="31"/>
  <c r="N168" i="31"/>
  <c r="L168" i="31"/>
  <c r="BX79" i="30"/>
  <c r="P168" i="31" s="1"/>
  <c r="BV13" i="30"/>
  <c r="BW40" i="30"/>
  <c r="BV40" i="30"/>
  <c r="BW27" i="30"/>
  <c r="BV27" i="30"/>
  <c r="P158" i="31"/>
  <c r="N158" i="31"/>
  <c r="M158" i="31"/>
  <c r="L158" i="31"/>
  <c r="BX1204" i="29"/>
  <c r="BW1199" i="29"/>
  <c r="BW1204" i="29" s="1"/>
  <c r="BA1204" i="29"/>
  <c r="AZ1204" i="29"/>
  <c r="AY1204" i="29"/>
  <c r="AX1204" i="29"/>
  <c r="AW1204" i="29"/>
  <c r="AV1204" i="29"/>
  <c r="AU1204" i="29"/>
  <c r="AT1204" i="29"/>
  <c r="AS1204" i="29"/>
  <c r="AR1204" i="29"/>
  <c r="AQ1204" i="29"/>
  <c r="AP1204" i="29"/>
  <c r="AO1204" i="29"/>
  <c r="AN1204" i="29"/>
  <c r="AM1204" i="29"/>
  <c r="AL1204" i="29"/>
  <c r="AK1204" i="29"/>
  <c r="AJ1204" i="29"/>
  <c r="AI1204" i="29"/>
  <c r="AH1204" i="29"/>
  <c r="AG1204" i="29"/>
  <c r="AF1204" i="29"/>
  <c r="AE1204" i="29"/>
  <c r="AD1204" i="29"/>
  <c r="AC1204" i="29"/>
  <c r="AB1204" i="29"/>
  <c r="AA1204" i="29"/>
  <c r="Z1204" i="29"/>
  <c r="Y1204" i="29"/>
  <c r="X1204" i="29"/>
  <c r="W1204" i="29"/>
  <c r="V1204" i="29"/>
  <c r="U1204" i="29"/>
  <c r="T1204" i="29"/>
  <c r="S1204" i="29"/>
  <c r="R1204" i="29"/>
  <c r="Q1204" i="29"/>
  <c r="P1204" i="29"/>
  <c r="O1204" i="29"/>
  <c r="N1204" i="29"/>
  <c r="M1204" i="29"/>
  <c r="L1204" i="29"/>
  <c r="K1204" i="29"/>
  <c r="J1204" i="29"/>
  <c r="L157" i="31"/>
  <c r="BW1190" i="29"/>
  <c r="BW1186" i="29"/>
  <c r="BV1186" i="29"/>
  <c r="BV1191" i="29" s="1"/>
  <c r="M157" i="31" s="1"/>
  <c r="BA1191" i="29"/>
  <c r="AZ1191" i="29"/>
  <c r="AY1191" i="29"/>
  <c r="AX1191" i="29"/>
  <c r="AW1191" i="29"/>
  <c r="AV1191" i="29"/>
  <c r="AU1191" i="29"/>
  <c r="AT1191" i="29"/>
  <c r="AS1191" i="29"/>
  <c r="AR1191" i="29"/>
  <c r="AQ1191" i="29"/>
  <c r="AP1191" i="29"/>
  <c r="AO1191" i="29"/>
  <c r="AN1191" i="29"/>
  <c r="AM1191" i="29"/>
  <c r="AL1191" i="29"/>
  <c r="AK1191" i="29"/>
  <c r="AJ1191" i="29"/>
  <c r="AI1191" i="29"/>
  <c r="AH1191" i="29"/>
  <c r="AG1191" i="29"/>
  <c r="AF1191" i="29"/>
  <c r="AE1191" i="29"/>
  <c r="AD1191" i="29"/>
  <c r="AC1191" i="29"/>
  <c r="AB1191" i="29"/>
  <c r="AA1191" i="29"/>
  <c r="Z1191" i="29"/>
  <c r="Y1191" i="29"/>
  <c r="X1191" i="29"/>
  <c r="W1191" i="29"/>
  <c r="V1191" i="29"/>
  <c r="U1191" i="29"/>
  <c r="T1191" i="29"/>
  <c r="S1191" i="29"/>
  <c r="R1191" i="29"/>
  <c r="Q1191" i="29"/>
  <c r="P1191" i="29"/>
  <c r="O1191" i="29"/>
  <c r="N1191" i="29"/>
  <c r="M1191" i="29"/>
  <c r="L1191" i="29"/>
  <c r="K1191" i="29"/>
  <c r="J1191" i="29"/>
  <c r="BV1173" i="29"/>
  <c r="BV1178" i="29" s="1"/>
  <c r="M153" i="31" s="1"/>
  <c r="L153" i="31"/>
  <c r="BW1173" i="29"/>
  <c r="BW1177" i="29"/>
  <c r="BA1178" i="29"/>
  <c r="AZ1178" i="29"/>
  <c r="AY1178" i="29"/>
  <c r="AX1178" i="29"/>
  <c r="AW1178" i="29"/>
  <c r="AV1178" i="29"/>
  <c r="AU1178" i="29"/>
  <c r="AT1178" i="29"/>
  <c r="AS1178" i="29"/>
  <c r="AR1178" i="29"/>
  <c r="AQ1178" i="29"/>
  <c r="AP1178" i="29"/>
  <c r="AO1178" i="29"/>
  <c r="AN1178" i="29"/>
  <c r="AM1178" i="29"/>
  <c r="AL1178" i="29"/>
  <c r="AK1178" i="29"/>
  <c r="AJ1178" i="29"/>
  <c r="AI1178" i="29"/>
  <c r="AH1178" i="29"/>
  <c r="AG1178" i="29"/>
  <c r="AF1178" i="29"/>
  <c r="AE1178" i="29"/>
  <c r="AD1178" i="29"/>
  <c r="AC1178" i="29"/>
  <c r="AB1178" i="29"/>
  <c r="AA1178" i="29"/>
  <c r="Z1178" i="29"/>
  <c r="Y1178" i="29"/>
  <c r="X1178" i="29"/>
  <c r="W1178" i="29"/>
  <c r="V1178" i="29"/>
  <c r="U1178" i="29"/>
  <c r="T1178" i="29"/>
  <c r="S1178" i="29"/>
  <c r="R1178" i="29"/>
  <c r="Q1178" i="29"/>
  <c r="P1178" i="29"/>
  <c r="O1178" i="29"/>
  <c r="N1178" i="29"/>
  <c r="M1178" i="29"/>
  <c r="L1178" i="29"/>
  <c r="K1178" i="29"/>
  <c r="J1178" i="29"/>
  <c r="L152" i="31"/>
  <c r="BW1160" i="29"/>
  <c r="BW1165" i="29" s="1"/>
  <c r="BX1165" i="29" s="1"/>
  <c r="P152" i="31" s="1"/>
  <c r="L145" i="31"/>
  <c r="BA1165" i="29"/>
  <c r="AZ1165" i="29"/>
  <c r="AY1165" i="29"/>
  <c r="AX1165" i="29"/>
  <c r="AW1165" i="29"/>
  <c r="AV1165" i="29"/>
  <c r="AU1165" i="29"/>
  <c r="AT1165" i="29"/>
  <c r="AS1165" i="29"/>
  <c r="AR1165" i="29"/>
  <c r="AQ1165" i="29"/>
  <c r="AP1165" i="29"/>
  <c r="AO1165" i="29"/>
  <c r="AN1165" i="29"/>
  <c r="AM1165" i="29"/>
  <c r="AL1165" i="29"/>
  <c r="AK1165" i="29"/>
  <c r="AJ1165" i="29"/>
  <c r="AI1165" i="29"/>
  <c r="AH1165" i="29"/>
  <c r="AG1165" i="29"/>
  <c r="AF1165" i="29"/>
  <c r="AE1165" i="29"/>
  <c r="AD1165" i="29"/>
  <c r="AC1165" i="29"/>
  <c r="AB1165" i="29"/>
  <c r="AA1165" i="29"/>
  <c r="Z1165" i="29"/>
  <c r="Y1165" i="29"/>
  <c r="X1165" i="29"/>
  <c r="W1165" i="29"/>
  <c r="V1165" i="29"/>
  <c r="U1165" i="29"/>
  <c r="T1165" i="29"/>
  <c r="S1165" i="29"/>
  <c r="R1165" i="29"/>
  <c r="Q1165" i="29"/>
  <c r="P1165" i="29"/>
  <c r="O1165" i="29"/>
  <c r="N1165" i="29"/>
  <c r="M1165" i="29"/>
  <c r="L1165" i="29"/>
  <c r="K1165" i="29"/>
  <c r="J1165" i="29"/>
  <c r="BW1151" i="29"/>
  <c r="BW1147" i="29"/>
  <c r="O168" i="31" l="1"/>
  <c r="O158" i="31"/>
  <c r="O152" i="31"/>
  <c r="BW1178" i="29"/>
  <c r="N152" i="31"/>
  <c r="M152" i="31"/>
  <c r="BW1191" i="29"/>
  <c r="N157" i="31" s="1"/>
  <c r="BX1191" i="29"/>
  <c r="P157" i="31" s="1"/>
  <c r="O157" i="31" s="1"/>
  <c r="BX1178" i="29"/>
  <c r="P153" i="31" s="1"/>
  <c r="O153" i="31" s="1"/>
  <c r="N153" i="31"/>
  <c r="BW1152" i="29"/>
  <c r="BX1152" i="29" l="1"/>
  <c r="P145" i="31" s="1"/>
  <c r="O145" i="31" s="1"/>
  <c r="N145" i="31"/>
  <c r="M145" i="31"/>
  <c r="BW1125" i="29" l="1"/>
  <c r="BW1126" i="29" s="1"/>
  <c r="N143" i="31" s="1"/>
  <c r="BW1112" i="29"/>
  <c r="BW1113" i="29" s="1"/>
  <c r="N142" i="31" s="1"/>
  <c r="BW1099" i="29"/>
  <c r="BW1100" i="29" s="1"/>
  <c r="N156" i="31" s="1"/>
  <c r="BW996" i="29"/>
  <c r="BW997" i="29" s="1"/>
  <c r="N98" i="31" s="1"/>
  <c r="BV996" i="29"/>
  <c r="BU996" i="29"/>
  <c r="BT996" i="29"/>
  <c r="BS996" i="29"/>
  <c r="BW815" i="29"/>
  <c r="N82" i="31" s="1"/>
  <c r="BW771" i="29"/>
  <c r="BW772" i="29" s="1"/>
  <c r="N68" i="31" s="1"/>
  <c r="BW759" i="29"/>
  <c r="N72" i="31" s="1"/>
  <c r="BW745" i="29"/>
  <c r="BW746" i="29" s="1"/>
  <c r="N66" i="31" s="1"/>
  <c r="BW719" i="29"/>
  <c r="BW720" i="29" s="1"/>
  <c r="N71" i="31" s="1"/>
  <c r="BT710" i="29"/>
  <c r="M166" i="31" l="1"/>
  <c r="N166" i="31"/>
  <c r="M165" i="31"/>
  <c r="N165" i="31"/>
  <c r="N148" i="31"/>
  <c r="N146" i="31"/>
  <c r="N164" i="31"/>
  <c r="N163" i="31"/>
  <c r="N162" i="31"/>
  <c r="N161" i="31"/>
  <c r="N90" i="31"/>
  <c r="N74" i="31"/>
  <c r="N70" i="31"/>
  <c r="N53" i="31"/>
  <c r="N50" i="31"/>
  <c r="N42" i="31"/>
  <c r="N41" i="31"/>
  <c r="N32" i="31"/>
  <c r="N31" i="31"/>
  <c r="N25" i="31"/>
  <c r="N11" i="31"/>
  <c r="N9" i="31"/>
  <c r="L166" i="31"/>
  <c r="L167" i="31"/>
  <c r="BX77" i="30"/>
  <c r="P166" i="31" s="1"/>
  <c r="BX76" i="30"/>
  <c r="P165" i="31" s="1"/>
  <c r="BX74" i="30"/>
  <c r="BX72" i="30"/>
  <c r="BX71" i="30"/>
  <c r="BX70" i="30"/>
  <c r="BX69" i="30"/>
  <c r="BX68" i="30"/>
  <c r="BX62" i="30"/>
  <c r="BX61" i="30"/>
  <c r="BX50" i="30"/>
  <c r="BX49" i="30"/>
  <c r="BX43" i="30"/>
  <c r="BX30" i="30"/>
  <c r="BX28" i="30"/>
  <c r="BX18" i="30"/>
  <c r="BX17" i="30"/>
  <c r="BX6" i="30"/>
  <c r="BW78" i="30"/>
  <c r="M167" i="31" s="1"/>
  <c r="BW75" i="30"/>
  <c r="BX75" i="30" s="1"/>
  <c r="BW66" i="30"/>
  <c r="BX66" i="30" s="1"/>
  <c r="BW64" i="30"/>
  <c r="N138" i="31" s="1"/>
  <c r="BX78" i="30" l="1"/>
  <c r="P167" i="31" s="1"/>
  <c r="N167" i="31"/>
  <c r="O167" i="31" s="1"/>
  <c r="N149" i="31"/>
  <c r="BX64" i="30"/>
  <c r="BW47" i="30"/>
  <c r="N54" i="31" l="1"/>
  <c r="BX47" i="30"/>
  <c r="BW73" i="30"/>
  <c r="BW65" i="30"/>
  <c r="N147" i="31" l="1"/>
  <c r="BX73" i="30"/>
  <c r="BX65" i="30"/>
  <c r="N140" i="31"/>
  <c r="L165" i="31"/>
  <c r="BA1152" i="29"/>
  <c r="AZ1152" i="29"/>
  <c r="AY1152" i="29"/>
  <c r="AX1152" i="29"/>
  <c r="AW1152" i="29"/>
  <c r="AV1152" i="29"/>
  <c r="AU1152" i="29"/>
  <c r="AT1152" i="29"/>
  <c r="AS1152" i="29"/>
  <c r="AR1152" i="29"/>
  <c r="AQ1152" i="29"/>
  <c r="AP1152" i="29"/>
  <c r="AO1152" i="29"/>
  <c r="AN1152" i="29"/>
  <c r="AM1152" i="29"/>
  <c r="AL1152" i="29"/>
  <c r="AK1152" i="29"/>
  <c r="AJ1152" i="29"/>
  <c r="AI1152" i="29"/>
  <c r="AH1152" i="29"/>
  <c r="AG1152" i="29"/>
  <c r="AF1152" i="29"/>
  <c r="AE1152" i="29"/>
  <c r="AD1152" i="29"/>
  <c r="AC1152" i="29"/>
  <c r="AB1152" i="29"/>
  <c r="AA1152" i="29"/>
  <c r="Z1152" i="29"/>
  <c r="Y1152" i="29"/>
  <c r="X1152" i="29"/>
  <c r="W1152" i="29"/>
  <c r="V1152" i="29"/>
  <c r="U1152" i="29"/>
  <c r="T1152" i="29"/>
  <c r="S1152" i="29"/>
  <c r="R1152" i="29"/>
  <c r="Q1152" i="29"/>
  <c r="P1152" i="29"/>
  <c r="O1152" i="29"/>
  <c r="N1152" i="29"/>
  <c r="M1152" i="29"/>
  <c r="L1152" i="29"/>
  <c r="K1152" i="29"/>
  <c r="J1152" i="29"/>
  <c r="L144" i="31"/>
  <c r="BW1134" i="29"/>
  <c r="BW1129" i="29"/>
  <c r="BA1139" i="29"/>
  <c r="AZ1139" i="29"/>
  <c r="AY1139" i="29"/>
  <c r="AX1139" i="29"/>
  <c r="AW1139" i="29"/>
  <c r="AV1139" i="29"/>
  <c r="AU1139" i="29"/>
  <c r="AT1139" i="29"/>
  <c r="AS1139" i="29"/>
  <c r="AR1139" i="29"/>
  <c r="AQ1139" i="29"/>
  <c r="AP1139" i="29"/>
  <c r="AO1139" i="29"/>
  <c r="AN1139" i="29"/>
  <c r="AM1139" i="29"/>
  <c r="AL1139" i="29"/>
  <c r="AK1139" i="29"/>
  <c r="AJ1139" i="29"/>
  <c r="AI1139" i="29"/>
  <c r="AH1139" i="29"/>
  <c r="AG1139" i="29"/>
  <c r="AF1139" i="29"/>
  <c r="AE1139" i="29"/>
  <c r="AD1139" i="29"/>
  <c r="AC1139" i="29"/>
  <c r="AB1139" i="29"/>
  <c r="AA1139" i="29"/>
  <c r="Z1139" i="29"/>
  <c r="Y1139" i="29"/>
  <c r="X1139" i="29"/>
  <c r="W1139" i="29"/>
  <c r="V1139" i="29"/>
  <c r="U1139" i="29"/>
  <c r="T1139" i="29"/>
  <c r="S1139" i="29"/>
  <c r="R1139" i="29"/>
  <c r="Q1139" i="29"/>
  <c r="P1139" i="29"/>
  <c r="O1139" i="29"/>
  <c r="N1139" i="29"/>
  <c r="M1139" i="29"/>
  <c r="L1139" i="29"/>
  <c r="K1139" i="29"/>
  <c r="J1139" i="29"/>
  <c r="BW1086" i="29"/>
  <c r="BW1081" i="29"/>
  <c r="BW1087" i="29" s="1"/>
  <c r="N155" i="31" s="1"/>
  <c r="BW1073" i="29"/>
  <c r="BW1068" i="29"/>
  <c r="BW1061" i="29"/>
  <c r="N160" i="31" s="1"/>
  <c r="BV1061" i="29"/>
  <c r="M160" i="31" s="1"/>
  <c r="BW1045" i="29"/>
  <c r="N159" i="31" s="1"/>
  <c r="BV1045" i="29"/>
  <c r="M159" i="31" s="1"/>
  <c r="BV1013" i="29"/>
  <c r="BW1013" i="29"/>
  <c r="BU1013" i="29"/>
  <c r="M150" i="31" s="1"/>
  <c r="BV1029" i="29"/>
  <c r="BW1029" i="29"/>
  <c r="N151" i="31" s="1"/>
  <c r="BU1029" i="29"/>
  <c r="M151" i="31" s="1"/>
  <c r="N137" i="31"/>
  <c r="BW970" i="29"/>
  <c r="BW965" i="29"/>
  <c r="BW957" i="29"/>
  <c r="BW952" i="29"/>
  <c r="BW938" i="29"/>
  <c r="BW944" i="29"/>
  <c r="BW939" i="29"/>
  <c r="BU935" i="29"/>
  <c r="BU948" i="29"/>
  <c r="BW912" i="29"/>
  <c r="BW918" i="29"/>
  <c r="BW913" i="29"/>
  <c r="BW892" i="29"/>
  <c r="BW887" i="29"/>
  <c r="BW879" i="29"/>
  <c r="BW874" i="29"/>
  <c r="BW870" i="29"/>
  <c r="BW497" i="29"/>
  <c r="BW498" i="29" s="1"/>
  <c r="N37" i="31" s="1"/>
  <c r="BV802" i="29"/>
  <c r="N27" i="31" s="1"/>
  <c r="BW786" i="29"/>
  <c r="BW780" i="29"/>
  <c r="BW782" i="29"/>
  <c r="BU786" i="29"/>
  <c r="BW654" i="29"/>
  <c r="BW652" i="29"/>
  <c r="BV651" i="29"/>
  <c r="BV645" i="29"/>
  <c r="BW560" i="29"/>
  <c r="N36" i="31"/>
  <c r="BW16" i="29"/>
  <c r="BW958" i="29" l="1"/>
  <c r="N80" i="31"/>
  <c r="N38" i="31"/>
  <c r="BW893" i="29"/>
  <c r="N106" i="31" s="1"/>
  <c r="BW971" i="29"/>
  <c r="N136" i="31" s="1"/>
  <c r="O166" i="31"/>
  <c r="O165" i="31"/>
  <c r="N19" i="31"/>
  <c r="BW1074" i="29"/>
  <c r="N154" i="31" s="1"/>
  <c r="BW1139" i="29"/>
  <c r="BX1139" i="29" s="1"/>
  <c r="P144" i="31" s="1"/>
  <c r="O144" i="31" s="1"/>
  <c r="N144" i="31"/>
  <c r="M144" i="31"/>
  <c r="BW787" i="29"/>
  <c r="N24" i="31" s="1"/>
  <c r="BW919" i="29"/>
  <c r="N128" i="31" s="1"/>
  <c r="N116" i="31"/>
  <c r="N135" i="31"/>
  <c r="N150" i="31"/>
  <c r="BW5" i="29" l="1"/>
  <c r="BW17" i="29" s="1"/>
  <c r="N18" i="31" s="1"/>
  <c r="BS1100" i="29"/>
  <c r="BT1100" i="29"/>
  <c r="L143" i="31"/>
  <c r="L142" i="31"/>
  <c r="L156" i="31"/>
  <c r="L155" i="31"/>
  <c r="L154" i="31"/>
  <c r="L160" i="31"/>
  <c r="L159" i="31"/>
  <c r="L151" i="31"/>
  <c r="L150" i="31"/>
  <c r="BU1126" i="29"/>
  <c r="BV1113" i="29"/>
  <c r="BU1113" i="29"/>
  <c r="BV1126" i="29"/>
  <c r="BV1100" i="29"/>
  <c r="BU1100" i="29"/>
  <c r="BX1113" i="29" l="1"/>
  <c r="BX1100" i="29"/>
  <c r="P156" i="31" s="1"/>
  <c r="O156" i="31" s="1"/>
  <c r="M143" i="31"/>
  <c r="BX1126" i="29"/>
  <c r="P143" i="31" s="1"/>
  <c r="O143" i="31" s="1"/>
  <c r="P142" i="31"/>
  <c r="O142" i="31" s="1"/>
  <c r="M156" i="31"/>
  <c r="M142" i="31"/>
  <c r="BA1126" i="29" l="1"/>
  <c r="AZ1126" i="29"/>
  <c r="AY1126" i="29"/>
  <c r="AX1126" i="29"/>
  <c r="AW1126" i="29"/>
  <c r="AV1126" i="29"/>
  <c r="AU1126" i="29"/>
  <c r="AT1126" i="29"/>
  <c r="AS1126" i="29"/>
  <c r="AR1126" i="29"/>
  <c r="AQ1126" i="29"/>
  <c r="AP1126" i="29"/>
  <c r="AO1126" i="29"/>
  <c r="AN1126" i="29"/>
  <c r="AM1126" i="29"/>
  <c r="AL1126" i="29"/>
  <c r="AK1126" i="29"/>
  <c r="AJ1126" i="29"/>
  <c r="AI1126" i="29"/>
  <c r="AH1126" i="29"/>
  <c r="AG1126" i="29"/>
  <c r="AF1126" i="29"/>
  <c r="AE1126" i="29"/>
  <c r="AD1126" i="29"/>
  <c r="AC1126" i="29"/>
  <c r="AB1126" i="29"/>
  <c r="AA1126" i="29"/>
  <c r="Z1126" i="29"/>
  <c r="Y1126" i="29"/>
  <c r="X1126" i="29"/>
  <c r="W1126" i="29"/>
  <c r="V1126" i="29"/>
  <c r="U1126" i="29"/>
  <c r="T1126" i="29"/>
  <c r="S1126" i="29"/>
  <c r="R1126" i="29"/>
  <c r="Q1126" i="29"/>
  <c r="P1126" i="29"/>
  <c r="O1126" i="29"/>
  <c r="N1126" i="29"/>
  <c r="M1126" i="29"/>
  <c r="L1126" i="29"/>
  <c r="K1126" i="29"/>
  <c r="J1126" i="29"/>
  <c r="BA1113" i="29"/>
  <c r="AZ1113" i="29"/>
  <c r="AY1113" i="29"/>
  <c r="AX1113" i="29"/>
  <c r="AW1113" i="29"/>
  <c r="AV1113" i="29"/>
  <c r="AU1113" i="29"/>
  <c r="AT1113" i="29"/>
  <c r="AS1113" i="29"/>
  <c r="AR1113" i="29"/>
  <c r="AQ1113" i="29"/>
  <c r="AP1113" i="29"/>
  <c r="AO1113" i="29"/>
  <c r="AN1113" i="29"/>
  <c r="AM1113" i="29"/>
  <c r="AL1113" i="29"/>
  <c r="AK1113" i="29"/>
  <c r="AJ1113" i="29"/>
  <c r="AI1113" i="29"/>
  <c r="AH1113" i="29"/>
  <c r="AG1113" i="29"/>
  <c r="AF1113" i="29"/>
  <c r="AE1113" i="29"/>
  <c r="AD1113" i="29"/>
  <c r="AC1113" i="29"/>
  <c r="AB1113" i="29"/>
  <c r="AA1113" i="29"/>
  <c r="Z1113" i="29"/>
  <c r="Y1113" i="29"/>
  <c r="X1113" i="29"/>
  <c r="W1113" i="29"/>
  <c r="V1113" i="29"/>
  <c r="U1113" i="29"/>
  <c r="T1113" i="29"/>
  <c r="S1113" i="29"/>
  <c r="R1113" i="29"/>
  <c r="Q1113" i="29"/>
  <c r="P1113" i="29"/>
  <c r="O1113" i="29"/>
  <c r="N1113" i="29"/>
  <c r="M1113" i="29"/>
  <c r="L1113" i="29"/>
  <c r="K1113" i="29"/>
  <c r="J1113" i="29"/>
  <c r="BA1100" i="29"/>
  <c r="AZ1100" i="29"/>
  <c r="AY1100" i="29"/>
  <c r="AX1100" i="29"/>
  <c r="AW1100" i="29"/>
  <c r="AV1100" i="29"/>
  <c r="AU1100" i="29"/>
  <c r="AT1100" i="29"/>
  <c r="AS1100" i="29"/>
  <c r="AR1100" i="29"/>
  <c r="AQ1100" i="29"/>
  <c r="AP1100" i="29"/>
  <c r="AO1100" i="29"/>
  <c r="AN1100" i="29"/>
  <c r="AM1100" i="29"/>
  <c r="AL1100" i="29"/>
  <c r="AK1100" i="29"/>
  <c r="AJ1100" i="29"/>
  <c r="AI1100" i="29"/>
  <c r="AH1100" i="29"/>
  <c r="AG1100" i="29"/>
  <c r="AF1100" i="29"/>
  <c r="AE1100" i="29"/>
  <c r="AD1100" i="29"/>
  <c r="AC1100" i="29"/>
  <c r="AB1100" i="29"/>
  <c r="AA1100" i="29"/>
  <c r="Z1100" i="29"/>
  <c r="Y1100" i="29"/>
  <c r="X1100" i="29"/>
  <c r="W1100" i="29"/>
  <c r="V1100" i="29"/>
  <c r="U1100" i="29"/>
  <c r="T1100" i="29"/>
  <c r="S1100" i="29"/>
  <c r="R1100" i="29"/>
  <c r="Q1100" i="29"/>
  <c r="P1100" i="29"/>
  <c r="O1100" i="29"/>
  <c r="N1100" i="29"/>
  <c r="M1100" i="29"/>
  <c r="L1100" i="29"/>
  <c r="K1100" i="29"/>
  <c r="J1100" i="29"/>
  <c r="BV1081" i="29"/>
  <c r="BV1087" i="29" s="1"/>
  <c r="BU1081" i="29"/>
  <c r="BU1087" i="29" s="1"/>
  <c r="BP1087" i="29"/>
  <c r="BO1087" i="29"/>
  <c r="BN1087" i="29"/>
  <c r="BM1087" i="29"/>
  <c r="BA1087" i="29"/>
  <c r="AZ1087" i="29"/>
  <c r="AY1087" i="29"/>
  <c r="AX1087" i="29"/>
  <c r="AW1087" i="29"/>
  <c r="AV1087" i="29"/>
  <c r="AU1087" i="29"/>
  <c r="AT1087" i="29"/>
  <c r="AS1087" i="29"/>
  <c r="AR1087" i="29"/>
  <c r="AQ1087" i="29"/>
  <c r="AP1087" i="29"/>
  <c r="AO1087" i="29"/>
  <c r="AN1087" i="29"/>
  <c r="AM1087" i="29"/>
  <c r="AL1087" i="29"/>
  <c r="AK1087" i="29"/>
  <c r="AJ1087" i="29"/>
  <c r="AI1087" i="29"/>
  <c r="AH1087" i="29"/>
  <c r="AG1087" i="29"/>
  <c r="AF1087" i="29"/>
  <c r="AE1087" i="29"/>
  <c r="AD1087" i="29"/>
  <c r="AC1087" i="29"/>
  <c r="AB1087" i="29"/>
  <c r="AA1087" i="29"/>
  <c r="Z1087" i="29"/>
  <c r="Y1087" i="29"/>
  <c r="X1087" i="29"/>
  <c r="W1087" i="29"/>
  <c r="V1087" i="29"/>
  <c r="U1087" i="29"/>
  <c r="T1087" i="29"/>
  <c r="S1087" i="29"/>
  <c r="R1087" i="29"/>
  <c r="Q1087" i="29"/>
  <c r="P1087" i="29"/>
  <c r="O1087" i="29"/>
  <c r="N1087" i="29"/>
  <c r="M1087" i="29"/>
  <c r="L1087" i="29"/>
  <c r="K1087" i="29"/>
  <c r="J1087" i="29"/>
  <c r="BT1087" i="29"/>
  <c r="M155" i="31" s="1"/>
  <c r="BT1074" i="29"/>
  <c r="BU1068" i="29"/>
  <c r="BU1074" i="29" s="1"/>
  <c r="BV1068" i="29"/>
  <c r="BV1074" i="29" s="1"/>
  <c r="BP1074" i="29"/>
  <c r="BO1074" i="29"/>
  <c r="BN1074" i="29"/>
  <c r="BM1074" i="29"/>
  <c r="BA1074" i="29"/>
  <c r="AZ1074" i="29"/>
  <c r="AY1074" i="29"/>
  <c r="AX1074" i="29"/>
  <c r="AW1074" i="29"/>
  <c r="AV1074" i="29"/>
  <c r="AU1074" i="29"/>
  <c r="AT1074" i="29"/>
  <c r="AS1074" i="29"/>
  <c r="AR1074" i="29"/>
  <c r="AQ1074" i="29"/>
  <c r="AP1074" i="29"/>
  <c r="AO1074" i="29"/>
  <c r="AN1074" i="29"/>
  <c r="AM1074" i="29"/>
  <c r="AL1074" i="29"/>
  <c r="AK1074" i="29"/>
  <c r="AJ1074" i="29"/>
  <c r="AI1074" i="29"/>
  <c r="AH1074" i="29"/>
  <c r="AG1074" i="29"/>
  <c r="AF1074" i="29"/>
  <c r="AE1074" i="29"/>
  <c r="AD1074" i="29"/>
  <c r="AC1074" i="29"/>
  <c r="AB1074" i="29"/>
  <c r="AA1074" i="29"/>
  <c r="Z1074" i="29"/>
  <c r="Y1074" i="29"/>
  <c r="X1074" i="29"/>
  <c r="W1074" i="29"/>
  <c r="V1074" i="29"/>
  <c r="U1074" i="29"/>
  <c r="T1074" i="29"/>
  <c r="S1074" i="29"/>
  <c r="R1074" i="29"/>
  <c r="Q1074" i="29"/>
  <c r="P1074" i="29"/>
  <c r="O1074" i="29"/>
  <c r="N1074" i="29"/>
  <c r="M1074" i="29"/>
  <c r="L1074" i="29"/>
  <c r="K1074" i="29"/>
  <c r="J1074" i="29"/>
  <c r="AM1061" i="29"/>
  <c r="AL1061" i="29"/>
  <c r="AK1061" i="29"/>
  <c r="AJ1061" i="29"/>
  <c r="AI1061" i="29"/>
  <c r="AH1061" i="29"/>
  <c r="AG1061" i="29"/>
  <c r="AF1061" i="29"/>
  <c r="AE1061" i="29"/>
  <c r="AC1061" i="29"/>
  <c r="AB1061" i="29"/>
  <c r="AA1061" i="29"/>
  <c r="Z1061" i="29"/>
  <c r="Y1061" i="29"/>
  <c r="X1061" i="29"/>
  <c r="W1061" i="29"/>
  <c r="V1061" i="29"/>
  <c r="U1061" i="29"/>
  <c r="T1061" i="29"/>
  <c r="S1061" i="29"/>
  <c r="R1061" i="29"/>
  <c r="Q1061" i="29"/>
  <c r="P1061" i="29"/>
  <c r="O1061" i="29"/>
  <c r="N1061" i="29"/>
  <c r="M1061" i="29"/>
  <c r="L1061" i="29"/>
  <c r="K1061" i="29"/>
  <c r="J1061" i="29"/>
  <c r="AM1045" i="29"/>
  <c r="AL1045" i="29"/>
  <c r="AK1045" i="29"/>
  <c r="AJ1045" i="29"/>
  <c r="AI1045" i="29"/>
  <c r="AH1045" i="29"/>
  <c r="AG1045" i="29"/>
  <c r="AF1045" i="29"/>
  <c r="AE1045" i="29"/>
  <c r="AC1045" i="29"/>
  <c r="AB1045" i="29"/>
  <c r="AA1045" i="29"/>
  <c r="Z1045" i="29"/>
  <c r="Y1045" i="29"/>
  <c r="X1045" i="29"/>
  <c r="W1045" i="29"/>
  <c r="V1045" i="29"/>
  <c r="U1045" i="29"/>
  <c r="T1045" i="29"/>
  <c r="S1045" i="29"/>
  <c r="R1045" i="29"/>
  <c r="Q1045" i="29"/>
  <c r="P1045" i="29"/>
  <c r="O1045" i="29"/>
  <c r="N1045" i="29"/>
  <c r="M1045" i="29"/>
  <c r="L1045" i="29"/>
  <c r="K1045" i="29"/>
  <c r="J1045" i="29"/>
  <c r="AM1029" i="29"/>
  <c r="AL1029" i="29"/>
  <c r="AK1029" i="29"/>
  <c r="AJ1029" i="29"/>
  <c r="AI1029" i="29"/>
  <c r="AH1029" i="29"/>
  <c r="AG1029" i="29"/>
  <c r="AF1029" i="29"/>
  <c r="AE1029" i="29"/>
  <c r="AC1029" i="29"/>
  <c r="AB1029" i="29"/>
  <c r="AA1029" i="29"/>
  <c r="Z1029" i="29"/>
  <c r="Y1029" i="29"/>
  <c r="X1029" i="29"/>
  <c r="W1029" i="29"/>
  <c r="V1029" i="29"/>
  <c r="U1029" i="29"/>
  <c r="T1029" i="29"/>
  <c r="S1029" i="29"/>
  <c r="R1029" i="29"/>
  <c r="Q1029" i="29"/>
  <c r="P1029" i="29"/>
  <c r="O1029" i="29"/>
  <c r="N1029" i="29"/>
  <c r="M1029" i="29"/>
  <c r="L1029" i="29"/>
  <c r="K1029" i="29"/>
  <c r="J1029" i="29"/>
  <c r="BF1013" i="29"/>
  <c r="BE1013" i="29"/>
  <c r="BD1013" i="29"/>
  <c r="BC1013" i="29"/>
  <c r="BB1013" i="29"/>
  <c r="BA1013" i="29"/>
  <c r="AZ1013" i="29"/>
  <c r="AY1013" i="29"/>
  <c r="AX1013" i="29"/>
  <c r="AW1013" i="29"/>
  <c r="AV1013" i="29"/>
  <c r="AU1013" i="29"/>
  <c r="AT1013" i="29"/>
  <c r="AS1013" i="29"/>
  <c r="AR1013" i="29"/>
  <c r="AQ1013" i="29"/>
  <c r="AP1013" i="29"/>
  <c r="AO1013" i="29"/>
  <c r="AN1013" i="29"/>
  <c r="AM1013" i="29"/>
  <c r="AL1013" i="29"/>
  <c r="AK1013" i="29"/>
  <c r="AJ1013" i="29"/>
  <c r="AI1013" i="29"/>
  <c r="AH1013" i="29"/>
  <c r="AG1013" i="29"/>
  <c r="AF1013" i="29"/>
  <c r="AE1013" i="29"/>
  <c r="AC1013" i="29"/>
  <c r="AB1013" i="29"/>
  <c r="AA1013" i="29"/>
  <c r="Z1013" i="29"/>
  <c r="Y1013" i="29"/>
  <c r="X1013" i="29"/>
  <c r="W1013" i="29"/>
  <c r="V1013" i="29"/>
  <c r="U1013" i="29"/>
  <c r="T1013" i="29"/>
  <c r="S1013" i="29"/>
  <c r="R1013" i="29"/>
  <c r="Q1013" i="29"/>
  <c r="P1013" i="29"/>
  <c r="O1013" i="29"/>
  <c r="N1013" i="29"/>
  <c r="M1013" i="29"/>
  <c r="L1013" i="29"/>
  <c r="K1013" i="29"/>
  <c r="J1013" i="29"/>
  <c r="BU926" i="29"/>
  <c r="BU932" i="29" s="1"/>
  <c r="BT926" i="29"/>
  <c r="BT932" i="29" s="1"/>
  <c r="BV978" i="29"/>
  <c r="BU978" i="29"/>
  <c r="BV965" i="29"/>
  <c r="BU965" i="29"/>
  <c r="BV952" i="29"/>
  <c r="BU952" i="29"/>
  <c r="BV939" i="29"/>
  <c r="BU939" i="29"/>
  <c r="BV913" i="29"/>
  <c r="BU913" i="29"/>
  <c r="BV887" i="29"/>
  <c r="BU887" i="29"/>
  <c r="BV874" i="29"/>
  <c r="BU874" i="29"/>
  <c r="BU835" i="29"/>
  <c r="BU841" i="29" s="1"/>
  <c r="N75" i="31" s="1"/>
  <c r="BV782" i="29"/>
  <c r="BU782" i="29"/>
  <c r="BX1074" i="29" l="1"/>
  <c r="BX1087" i="29"/>
  <c r="BX1061" i="29"/>
  <c r="BX1029" i="29"/>
  <c r="BX1045" i="29"/>
  <c r="BX1013" i="29"/>
  <c r="P150" i="31" s="1"/>
  <c r="O150" i="31" s="1"/>
  <c r="P155" i="31"/>
  <c r="O155" i="31" s="1"/>
  <c r="P160" i="31"/>
  <c r="O160" i="31" s="1"/>
  <c r="P151" i="31"/>
  <c r="O151" i="31" s="1"/>
  <c r="M154" i="31"/>
  <c r="P159" i="31"/>
  <c r="O159" i="31" s="1"/>
  <c r="BU651" i="29"/>
  <c r="BV587" i="29"/>
  <c r="BV591" i="29" s="1"/>
  <c r="N22" i="31" s="1"/>
  <c r="BU587" i="29"/>
  <c r="BV560" i="29"/>
  <c r="BU560" i="29"/>
  <c r="BU519" i="29"/>
  <c r="BV519" i="29"/>
  <c r="BV524" i="29" s="1"/>
  <c r="N45" i="31" s="1"/>
  <c r="P154" i="31" l="1"/>
  <c r="O154" i="31" s="1"/>
  <c r="BV997" i="29" l="1"/>
  <c r="BV984" i="29"/>
  <c r="BV971" i="29"/>
  <c r="BV958" i="29"/>
  <c r="BV944" i="29"/>
  <c r="BV919" i="29"/>
  <c r="BV893" i="29"/>
  <c r="BV879" i="29"/>
  <c r="BV880" i="29" s="1"/>
  <c r="BV815" i="29"/>
  <c r="BV787" i="29"/>
  <c r="BV771" i="29"/>
  <c r="BV772" i="29" s="1"/>
  <c r="BV759" i="29"/>
  <c r="BV745" i="29"/>
  <c r="BV746" i="29" s="1"/>
  <c r="BV720" i="29"/>
  <c r="BV17" i="29"/>
  <c r="N139" i="31"/>
  <c r="N115" i="31"/>
  <c r="M164" i="31"/>
  <c r="M149" i="31"/>
  <c r="M148" i="31"/>
  <c r="M147" i="31"/>
  <c r="M146" i="31"/>
  <c r="L146" i="31"/>
  <c r="L147" i="31"/>
  <c r="L148" i="31"/>
  <c r="L149" i="31"/>
  <c r="P149" i="31"/>
  <c r="P146" i="31"/>
  <c r="O146" i="31" l="1"/>
  <c r="O147" i="31"/>
  <c r="O149" i="31"/>
  <c r="O148" i="31"/>
  <c r="BV945" i="29"/>
  <c r="BX53" i="30"/>
  <c r="BX39" i="30"/>
  <c r="BX36" i="30"/>
  <c r="N52" i="31" l="1"/>
  <c r="BU40" i="30" l="1"/>
  <c r="BU27" i="30"/>
  <c r="BU13" i="30"/>
  <c r="BU815" i="29"/>
  <c r="BU997" i="29"/>
  <c r="BU984" i="29"/>
  <c r="BU971" i="29"/>
  <c r="BU958" i="29"/>
  <c r="BU944" i="29"/>
  <c r="BU945" i="29"/>
  <c r="BU919" i="29"/>
  <c r="BU893" i="29"/>
  <c r="BU879" i="29"/>
  <c r="BU880" i="29" s="1"/>
  <c r="BU792" i="29"/>
  <c r="BU802" i="29" s="1"/>
  <c r="BU787" i="29"/>
  <c r="BU771" i="29"/>
  <c r="BU772" i="29" s="1"/>
  <c r="BU759" i="29"/>
  <c r="BU745" i="29"/>
  <c r="BU746" i="29" s="1"/>
  <c r="BU720" i="29"/>
  <c r="BU590" i="29"/>
  <c r="BU581" i="29"/>
  <c r="BU523" i="29"/>
  <c r="BU514" i="29"/>
  <c r="BU17" i="29"/>
  <c r="M162" i="31"/>
  <c r="M163" i="31"/>
  <c r="M161" i="31"/>
  <c r="L161" i="31"/>
  <c r="L162" i="31"/>
  <c r="L163" i="31"/>
  <c r="L164" i="31"/>
  <c r="BX3" i="30"/>
  <c r="BX5" i="30"/>
  <c r="BX9" i="30"/>
  <c r="BX10" i="30"/>
  <c r="BX11" i="30"/>
  <c r="BX12" i="30"/>
  <c r="BX15" i="30"/>
  <c r="BX16" i="30"/>
  <c r="BX21" i="30"/>
  <c r="BX25" i="30"/>
  <c r="BX26" i="30"/>
  <c r="BX29" i="30"/>
  <c r="BX31" i="30"/>
  <c r="BX33" i="30"/>
  <c r="BX34" i="30"/>
  <c r="BX37" i="30"/>
  <c r="BX38" i="30"/>
  <c r="BX44" i="30"/>
  <c r="BX45" i="30"/>
  <c r="BX52" i="30"/>
  <c r="BX55" i="30"/>
  <c r="P161" i="31" s="1"/>
  <c r="BX56" i="30"/>
  <c r="P162" i="31" s="1"/>
  <c r="BX57" i="30"/>
  <c r="P163" i="31" s="1"/>
  <c r="BX58" i="30"/>
  <c r="P148" i="31" s="1"/>
  <c r="BX60" i="30"/>
  <c r="P164" i="31" s="1"/>
  <c r="BX63" i="30"/>
  <c r="BX67" i="30"/>
  <c r="BU524" i="29" l="1"/>
  <c r="BU591" i="29"/>
  <c r="O163" i="31"/>
  <c r="O162" i="31"/>
  <c r="BW162" i="31" s="1"/>
  <c r="O164" i="31"/>
  <c r="O161" i="31"/>
  <c r="N97" i="31"/>
  <c r="N129" i="31"/>
  <c r="BT759" i="29"/>
  <c r="BT519" i="29" l="1"/>
  <c r="BT997" i="29" l="1"/>
  <c r="BT984" i="29"/>
  <c r="BT971" i="29"/>
  <c r="BT948" i="29"/>
  <c r="BT958" i="29" s="1"/>
  <c r="BT944" i="29"/>
  <c r="BT935" i="29"/>
  <c r="BT919" i="29"/>
  <c r="BT893" i="29"/>
  <c r="BT879" i="29"/>
  <c r="BT880" i="29" s="1"/>
  <c r="BT841" i="29"/>
  <c r="BT815" i="29"/>
  <c r="BT792" i="29"/>
  <c r="BT802" i="29" s="1"/>
  <c r="BT776" i="29"/>
  <c r="BT787" i="29" s="1"/>
  <c r="BT771" i="29"/>
  <c r="BT772" i="29" s="1"/>
  <c r="BT745" i="29"/>
  <c r="BT746" i="29" s="1"/>
  <c r="BS720" i="29"/>
  <c r="BT720" i="29"/>
  <c r="BT645" i="29"/>
  <c r="BT581" i="29"/>
  <c r="BT590" i="29"/>
  <c r="BT523" i="29"/>
  <c r="BT514" i="29"/>
  <c r="BT17" i="29"/>
  <c r="BT40" i="30"/>
  <c r="BT41" i="30"/>
  <c r="BX41" i="30" s="1"/>
  <c r="BT27" i="30"/>
  <c r="BX27" i="30" s="1"/>
  <c r="BT13" i="30"/>
  <c r="BS997" i="29"/>
  <c r="O98" i="31" s="1"/>
  <c r="BS978" i="29"/>
  <c r="BS984" i="29" s="1"/>
  <c r="BS965" i="29"/>
  <c r="BS971" i="29" s="1"/>
  <c r="BR965" i="29"/>
  <c r="BR971" i="29" s="1"/>
  <c r="M136" i="31" s="1"/>
  <c r="BS952" i="29"/>
  <c r="BS958" i="29" s="1"/>
  <c r="BS939" i="29"/>
  <c r="BS945" i="29" s="1"/>
  <c r="O116" i="31" s="1"/>
  <c r="BS926" i="29"/>
  <c r="BS913" i="29"/>
  <c r="BS919" i="29" s="1"/>
  <c r="O128" i="31" s="1"/>
  <c r="BS900" i="29"/>
  <c r="BS906" i="29" s="1"/>
  <c r="O97" i="31" s="1"/>
  <c r="BP906" i="29"/>
  <c r="BQ906" i="29"/>
  <c r="BS887" i="29"/>
  <c r="BS893" i="29" s="1"/>
  <c r="O106" i="31" s="1"/>
  <c r="BS874" i="29"/>
  <c r="BS880" i="29" s="1"/>
  <c r="BS835" i="29"/>
  <c r="BS841" i="29" s="1"/>
  <c r="BS815" i="29"/>
  <c r="BS802" i="29"/>
  <c r="BS782" i="29"/>
  <c r="BS787" i="29" s="1"/>
  <c r="BR772" i="29"/>
  <c r="BS772" i="29"/>
  <c r="BS759" i="29"/>
  <c r="BS746" i="29"/>
  <c r="BS651" i="29"/>
  <c r="BS587" i="29"/>
  <c r="BS591" i="29" s="1"/>
  <c r="BS560" i="29"/>
  <c r="BS524" i="29"/>
  <c r="BS17" i="29"/>
  <c r="N89" i="31"/>
  <c r="N88" i="31"/>
  <c r="N29" i="31"/>
  <c r="BR40" i="30"/>
  <c r="M141" i="31"/>
  <c r="L141" i="31"/>
  <c r="P140" i="31"/>
  <c r="N107" i="31"/>
  <c r="N104" i="31"/>
  <c r="M140" i="31"/>
  <c r="M139" i="31"/>
  <c r="L130" i="31"/>
  <c r="L131" i="31"/>
  <c r="L132" i="31"/>
  <c r="L133" i="31"/>
  <c r="L134" i="31"/>
  <c r="M138" i="31"/>
  <c r="L140" i="31"/>
  <c r="L139" i="31"/>
  <c r="L138" i="31"/>
  <c r="BN997" i="29"/>
  <c r="L98" i="31"/>
  <c r="L137" i="31"/>
  <c r="L136" i="31"/>
  <c r="L135" i="31"/>
  <c r="BQ945" i="29"/>
  <c r="M116" i="31" s="1"/>
  <c r="L116" i="31"/>
  <c r="BQ919" i="29"/>
  <c r="M128" i="31" s="1"/>
  <c r="L129" i="31"/>
  <c r="L128" i="31"/>
  <c r="L97" i="31"/>
  <c r="BR997" i="29"/>
  <c r="BQ997" i="29"/>
  <c r="BP997" i="29"/>
  <c r="BO997" i="29"/>
  <c r="BA997" i="29"/>
  <c r="AZ997" i="29"/>
  <c r="AY997" i="29"/>
  <c r="AX997" i="29"/>
  <c r="AW997" i="29"/>
  <c r="AV997" i="29"/>
  <c r="AU997" i="29"/>
  <c r="AT997" i="29"/>
  <c r="AS997" i="29"/>
  <c r="AR997" i="29"/>
  <c r="AQ997" i="29"/>
  <c r="AP997" i="29"/>
  <c r="AO997" i="29"/>
  <c r="AN997" i="29"/>
  <c r="AM997" i="29"/>
  <c r="AL997" i="29"/>
  <c r="AK997" i="29"/>
  <c r="AJ997" i="29"/>
  <c r="AI997" i="29"/>
  <c r="AH997" i="29"/>
  <c r="AG997" i="29"/>
  <c r="AF997" i="29"/>
  <c r="AE997" i="29"/>
  <c r="AD997" i="29"/>
  <c r="AC997" i="29"/>
  <c r="AB997" i="29"/>
  <c r="AA997" i="29"/>
  <c r="Z997" i="29"/>
  <c r="Y997" i="29"/>
  <c r="X997" i="29"/>
  <c r="W997" i="29"/>
  <c r="V997" i="29"/>
  <c r="U997" i="29"/>
  <c r="T997" i="29"/>
  <c r="S997" i="29"/>
  <c r="R997" i="29"/>
  <c r="Q997" i="29"/>
  <c r="P997" i="29"/>
  <c r="O997" i="29"/>
  <c r="N997" i="29"/>
  <c r="M997" i="29"/>
  <c r="L997" i="29"/>
  <c r="K997" i="29"/>
  <c r="J997" i="29"/>
  <c r="BR815" i="29"/>
  <c r="BP815" i="29"/>
  <c r="BR759" i="29"/>
  <c r="BR746" i="29"/>
  <c r="BR733" i="29"/>
  <c r="N64" i="31" s="1"/>
  <c r="BR720" i="29"/>
  <c r="BR978" i="29"/>
  <c r="BR984" i="29" s="1"/>
  <c r="BP984" i="29"/>
  <c r="BO984" i="29"/>
  <c r="BN984" i="29"/>
  <c r="BM984" i="29"/>
  <c r="BA984" i="29"/>
  <c r="AZ984" i="29"/>
  <c r="AY984" i="29"/>
  <c r="AX984" i="29"/>
  <c r="AW984" i="29"/>
  <c r="AV984" i="29"/>
  <c r="AU984" i="29"/>
  <c r="AT984" i="29"/>
  <c r="AS984" i="29"/>
  <c r="AR984" i="29"/>
  <c r="AQ984" i="29"/>
  <c r="AP984" i="29"/>
  <c r="AO984" i="29"/>
  <c r="AN984" i="29"/>
  <c r="AM984" i="29"/>
  <c r="AL984" i="29"/>
  <c r="AK984" i="29"/>
  <c r="AJ984" i="29"/>
  <c r="AI984" i="29"/>
  <c r="AH984" i="29"/>
  <c r="AG984" i="29"/>
  <c r="AF984" i="29"/>
  <c r="AE984" i="29"/>
  <c r="AD984" i="29"/>
  <c r="AC984" i="29"/>
  <c r="AB984" i="29"/>
  <c r="AA984" i="29"/>
  <c r="Z984" i="29"/>
  <c r="Y984" i="29"/>
  <c r="X984" i="29"/>
  <c r="W984" i="29"/>
  <c r="V984" i="29"/>
  <c r="U984" i="29"/>
  <c r="T984" i="29"/>
  <c r="S984" i="29"/>
  <c r="R984" i="29"/>
  <c r="Q984" i="29"/>
  <c r="P984" i="29"/>
  <c r="O984" i="29"/>
  <c r="N984" i="29"/>
  <c r="M984" i="29"/>
  <c r="L984" i="29"/>
  <c r="K984" i="29"/>
  <c r="J984" i="29"/>
  <c r="BP971" i="29"/>
  <c r="BO971" i="29"/>
  <c r="BN971" i="29"/>
  <c r="BM971" i="29"/>
  <c r="BA971" i="29"/>
  <c r="AZ971" i="29"/>
  <c r="AY971" i="29"/>
  <c r="AX971" i="29"/>
  <c r="AW971" i="29"/>
  <c r="AV971" i="29"/>
  <c r="AU971" i="29"/>
  <c r="AT971" i="29"/>
  <c r="AS971" i="29"/>
  <c r="AR971" i="29"/>
  <c r="AQ971" i="29"/>
  <c r="AP971" i="29"/>
  <c r="AO971" i="29"/>
  <c r="AN971" i="29"/>
  <c r="AM971" i="29"/>
  <c r="AL971" i="29"/>
  <c r="AK971" i="29"/>
  <c r="AJ971" i="29"/>
  <c r="AI971" i="29"/>
  <c r="AH971" i="29"/>
  <c r="AG971" i="29"/>
  <c r="AF971" i="29"/>
  <c r="AE971" i="29"/>
  <c r="AD971" i="29"/>
  <c r="AC971" i="29"/>
  <c r="AB971" i="29"/>
  <c r="AA971" i="29"/>
  <c r="Z971" i="29"/>
  <c r="Y971" i="29"/>
  <c r="X971" i="29"/>
  <c r="W971" i="29"/>
  <c r="V971" i="29"/>
  <c r="U971" i="29"/>
  <c r="T971" i="29"/>
  <c r="S971" i="29"/>
  <c r="R971" i="29"/>
  <c r="Q971" i="29"/>
  <c r="P971" i="29"/>
  <c r="O971" i="29"/>
  <c r="N971" i="29"/>
  <c r="M971" i="29"/>
  <c r="L971" i="29"/>
  <c r="K971" i="29"/>
  <c r="J971" i="29"/>
  <c r="BR952" i="29"/>
  <c r="BR958" i="29" s="1"/>
  <c r="BP958" i="29"/>
  <c r="BO958" i="29"/>
  <c r="BN958" i="29"/>
  <c r="BM958" i="29"/>
  <c r="BA958" i="29"/>
  <c r="AZ958" i="29"/>
  <c r="AY958" i="29"/>
  <c r="AX958" i="29"/>
  <c r="AW958" i="29"/>
  <c r="AV958" i="29"/>
  <c r="AU958" i="29"/>
  <c r="AT958" i="29"/>
  <c r="AS958" i="29"/>
  <c r="AR958" i="29"/>
  <c r="AQ958" i="29"/>
  <c r="AP958" i="29"/>
  <c r="AO958" i="29"/>
  <c r="AN958" i="29"/>
  <c r="AM958" i="29"/>
  <c r="AL958" i="29"/>
  <c r="AK958" i="29"/>
  <c r="AJ958" i="29"/>
  <c r="AI958" i="29"/>
  <c r="AH958" i="29"/>
  <c r="AG958" i="29"/>
  <c r="AF958" i="29"/>
  <c r="AE958" i="29"/>
  <c r="AD958" i="29"/>
  <c r="AC958" i="29"/>
  <c r="AB958" i="29"/>
  <c r="AA958" i="29"/>
  <c r="Z958" i="29"/>
  <c r="Y958" i="29"/>
  <c r="X958" i="29"/>
  <c r="W958" i="29"/>
  <c r="V958" i="29"/>
  <c r="U958" i="29"/>
  <c r="T958" i="29"/>
  <c r="S958" i="29"/>
  <c r="R958" i="29"/>
  <c r="Q958" i="29"/>
  <c r="P958" i="29"/>
  <c r="O958" i="29"/>
  <c r="N958" i="29"/>
  <c r="M958" i="29"/>
  <c r="L958" i="29"/>
  <c r="K958" i="29"/>
  <c r="J958" i="29"/>
  <c r="BR945" i="29"/>
  <c r="BP945" i="29"/>
  <c r="BO945" i="29"/>
  <c r="BN945" i="29"/>
  <c r="BM945" i="29"/>
  <c r="BA945" i="29"/>
  <c r="AZ945" i="29"/>
  <c r="AY945" i="29"/>
  <c r="AX945" i="29"/>
  <c r="AW945" i="29"/>
  <c r="AV945" i="29"/>
  <c r="AU945" i="29"/>
  <c r="AT945" i="29"/>
  <c r="AS945" i="29"/>
  <c r="AR945" i="29"/>
  <c r="AQ945" i="29"/>
  <c r="AP945" i="29"/>
  <c r="AO945" i="29"/>
  <c r="AN945" i="29"/>
  <c r="AM945" i="29"/>
  <c r="AL945" i="29"/>
  <c r="AK945" i="29"/>
  <c r="AJ945" i="29"/>
  <c r="AI945" i="29"/>
  <c r="AH945" i="29"/>
  <c r="AG945" i="29"/>
  <c r="AF945" i="29"/>
  <c r="AE945" i="29"/>
  <c r="AD945" i="29"/>
  <c r="AC945" i="29"/>
  <c r="AB945" i="29"/>
  <c r="AA945" i="29"/>
  <c r="Z945" i="29"/>
  <c r="Y945" i="29"/>
  <c r="X945" i="29"/>
  <c r="W945" i="29"/>
  <c r="V945" i="29"/>
  <c r="U945" i="29"/>
  <c r="T945" i="29"/>
  <c r="S945" i="29"/>
  <c r="R945" i="29"/>
  <c r="Q945" i="29"/>
  <c r="P945" i="29"/>
  <c r="O945" i="29"/>
  <c r="N945" i="29"/>
  <c r="M945" i="29"/>
  <c r="L945" i="29"/>
  <c r="K945" i="29"/>
  <c r="J945" i="29"/>
  <c r="BR932" i="29"/>
  <c r="BQ932" i="29"/>
  <c r="M129" i="31" s="1"/>
  <c r="BP932" i="29"/>
  <c r="BO932" i="29"/>
  <c r="BN932" i="29"/>
  <c r="BM932" i="29"/>
  <c r="BA932" i="29"/>
  <c r="AZ932" i="29"/>
  <c r="AY932" i="29"/>
  <c r="AX932" i="29"/>
  <c r="AW932" i="29"/>
  <c r="AV932" i="29"/>
  <c r="AU932" i="29"/>
  <c r="AT932" i="29"/>
  <c r="AS932" i="29"/>
  <c r="AR932" i="29"/>
  <c r="AQ932" i="29"/>
  <c r="AP932" i="29"/>
  <c r="AO932" i="29"/>
  <c r="AN932" i="29"/>
  <c r="AM932" i="29"/>
  <c r="AL932" i="29"/>
  <c r="AK932" i="29"/>
  <c r="AJ932" i="29"/>
  <c r="AI932" i="29"/>
  <c r="AH932" i="29"/>
  <c r="AG932" i="29"/>
  <c r="AF932" i="29"/>
  <c r="AE932" i="29"/>
  <c r="AD932" i="29"/>
  <c r="AC932" i="29"/>
  <c r="AB932" i="29"/>
  <c r="AA932" i="29"/>
  <c r="Z932" i="29"/>
  <c r="Y932" i="29"/>
  <c r="X932" i="29"/>
  <c r="W932" i="29"/>
  <c r="V932" i="29"/>
  <c r="U932" i="29"/>
  <c r="T932" i="29"/>
  <c r="S932" i="29"/>
  <c r="R932" i="29"/>
  <c r="Q932" i="29"/>
  <c r="P932" i="29"/>
  <c r="O932" i="29"/>
  <c r="N932" i="29"/>
  <c r="M932" i="29"/>
  <c r="L932" i="29"/>
  <c r="K932" i="29"/>
  <c r="J932" i="29"/>
  <c r="BR919" i="29"/>
  <c r="BP919" i="29"/>
  <c r="BO919" i="29"/>
  <c r="BN919" i="29"/>
  <c r="BM919" i="29"/>
  <c r="BA919" i="29"/>
  <c r="AZ919" i="29"/>
  <c r="AY919" i="29"/>
  <c r="AX919" i="29"/>
  <c r="AW919" i="29"/>
  <c r="AV919" i="29"/>
  <c r="AU919" i="29"/>
  <c r="AT919" i="29"/>
  <c r="AS919" i="29"/>
  <c r="AR919" i="29"/>
  <c r="AQ919" i="29"/>
  <c r="AP919" i="29"/>
  <c r="AO919" i="29"/>
  <c r="AN919" i="29"/>
  <c r="AM919" i="29"/>
  <c r="AL919" i="29"/>
  <c r="AK919" i="29"/>
  <c r="AJ919" i="29"/>
  <c r="AI919" i="29"/>
  <c r="AH919" i="29"/>
  <c r="AG919" i="29"/>
  <c r="AF919" i="29"/>
  <c r="AE919" i="29"/>
  <c r="AD919" i="29"/>
  <c r="AC919" i="29"/>
  <c r="AB919" i="29"/>
  <c r="AA919" i="29"/>
  <c r="Z919" i="29"/>
  <c r="Y919" i="29"/>
  <c r="X919" i="29"/>
  <c r="W919" i="29"/>
  <c r="V919" i="29"/>
  <c r="U919" i="29"/>
  <c r="T919" i="29"/>
  <c r="S919" i="29"/>
  <c r="R919" i="29"/>
  <c r="Q919" i="29"/>
  <c r="P919" i="29"/>
  <c r="O919" i="29"/>
  <c r="N919" i="29"/>
  <c r="M919" i="29"/>
  <c r="L919" i="29"/>
  <c r="K919" i="29"/>
  <c r="J919" i="29"/>
  <c r="BN906" i="29"/>
  <c r="BM906" i="29"/>
  <c r="BA906" i="29"/>
  <c r="AZ906" i="29"/>
  <c r="AY906" i="29"/>
  <c r="AX906" i="29"/>
  <c r="AW906" i="29"/>
  <c r="AV906" i="29"/>
  <c r="AU906" i="29"/>
  <c r="AT906" i="29"/>
  <c r="AS906" i="29"/>
  <c r="AR906" i="29"/>
  <c r="AQ906" i="29"/>
  <c r="AP906" i="29"/>
  <c r="AO906" i="29"/>
  <c r="AN906" i="29"/>
  <c r="AM906" i="29"/>
  <c r="AL906" i="29"/>
  <c r="AK906" i="29"/>
  <c r="AJ906" i="29"/>
  <c r="AI906" i="29"/>
  <c r="AH906" i="29"/>
  <c r="AG906" i="29"/>
  <c r="AF906" i="29"/>
  <c r="AE906" i="29"/>
  <c r="AD906" i="29"/>
  <c r="AC906" i="29"/>
  <c r="AB906" i="29"/>
  <c r="AA906" i="29"/>
  <c r="Z906" i="29"/>
  <c r="Y906" i="29"/>
  <c r="X906" i="29"/>
  <c r="W906" i="29"/>
  <c r="V906" i="29"/>
  <c r="U906" i="29"/>
  <c r="T906" i="29"/>
  <c r="S906" i="29"/>
  <c r="R906" i="29"/>
  <c r="Q906" i="29"/>
  <c r="P906" i="29"/>
  <c r="O906" i="29"/>
  <c r="N906" i="29"/>
  <c r="M906" i="29"/>
  <c r="L906" i="29"/>
  <c r="K906" i="29"/>
  <c r="J906" i="29"/>
  <c r="BR906" i="29"/>
  <c r="BO906" i="29"/>
  <c r="M97" i="31" s="1"/>
  <c r="P114" i="31"/>
  <c r="N114" i="31"/>
  <c r="M114" i="31"/>
  <c r="L114" i="31"/>
  <c r="BR887" i="29"/>
  <c r="BR893" i="29" s="1"/>
  <c r="BQ887" i="29"/>
  <c r="BQ893" i="29" s="1"/>
  <c r="BR874" i="29"/>
  <c r="BQ874" i="29"/>
  <c r="BQ848" i="29"/>
  <c r="BQ854" i="29" s="1"/>
  <c r="BR835" i="29"/>
  <c r="BR841" i="29" s="1"/>
  <c r="BQ835" i="29"/>
  <c r="BQ841" i="29" s="1"/>
  <c r="BR782" i="29"/>
  <c r="BR787" i="29" s="1"/>
  <c r="BQ782" i="29"/>
  <c r="BQ787" i="29" s="1"/>
  <c r="BR651" i="29"/>
  <c r="BQ651" i="29"/>
  <c r="BR587" i="29"/>
  <c r="BR591" i="29" s="1"/>
  <c r="BR560" i="29"/>
  <c r="BP560" i="29"/>
  <c r="BR519" i="29"/>
  <c r="BQ519" i="29"/>
  <c r="BQ377" i="29"/>
  <c r="BQ494" i="29"/>
  <c r="BQ498" i="29" s="1"/>
  <c r="BR381" i="29"/>
  <c r="N63" i="31" s="1"/>
  <c r="BR870" i="29"/>
  <c r="BR848" i="29"/>
  <c r="BR802" i="29"/>
  <c r="BR645" i="29"/>
  <c r="BR514" i="29"/>
  <c r="BR498" i="29"/>
  <c r="BR17" i="29"/>
  <c r="BQ870" i="29"/>
  <c r="BQ867" i="29"/>
  <c r="N81" i="31" s="1"/>
  <c r="BQ815" i="29"/>
  <c r="BQ802" i="29"/>
  <c r="BQ772" i="29"/>
  <c r="BQ759" i="29"/>
  <c r="BQ746" i="29"/>
  <c r="BQ733" i="29"/>
  <c r="BQ720" i="29"/>
  <c r="BQ645" i="29"/>
  <c r="BQ591" i="29"/>
  <c r="BQ514" i="29"/>
  <c r="BQ341" i="29"/>
  <c r="N62" i="31" s="1"/>
  <c r="BQ17" i="29"/>
  <c r="BQ83" i="30"/>
  <c r="BP83" i="30"/>
  <c r="L106" i="31"/>
  <c r="BP887" i="29"/>
  <c r="BX40" i="30" l="1"/>
  <c r="BX919" i="29"/>
  <c r="BX997" i="29"/>
  <c r="BX958" i="29"/>
  <c r="P135" i="31" s="1"/>
  <c r="BX971" i="29"/>
  <c r="P136" i="31" s="1"/>
  <c r="O136" i="31" s="1"/>
  <c r="BW146" i="31" s="1"/>
  <c r="BX984" i="29"/>
  <c r="P137" i="31" s="1"/>
  <c r="O137" i="31" s="1"/>
  <c r="P98" i="31"/>
  <c r="BS932" i="29"/>
  <c r="O129" i="31" s="1"/>
  <c r="O135" i="31"/>
  <c r="BR854" i="29"/>
  <c r="N76" i="31" s="1"/>
  <c r="BR83" i="30"/>
  <c r="BT591" i="29"/>
  <c r="BT945" i="29"/>
  <c r="BX945" i="29" s="1"/>
  <c r="BT524" i="29"/>
  <c r="BX906" i="29"/>
  <c r="P97" i="31" s="1"/>
  <c r="M98" i="31"/>
  <c r="P128" i="31"/>
  <c r="M137" i="31"/>
  <c r="M135" i="31"/>
  <c r="O140" i="31"/>
  <c r="P138" i="31"/>
  <c r="O138" i="31" s="1"/>
  <c r="O114" i="31"/>
  <c r="BQ524" i="29"/>
  <c r="BR524" i="29"/>
  <c r="BQ880" i="29"/>
  <c r="BR880" i="29"/>
  <c r="BR655" i="29"/>
  <c r="BQ655" i="29"/>
  <c r="BO887" i="29"/>
  <c r="BX932" i="29" l="1"/>
  <c r="P129" i="31" s="1"/>
  <c r="P116" i="31"/>
  <c r="BP893" i="29"/>
  <c r="BA893" i="29"/>
  <c r="AZ893" i="29"/>
  <c r="AY893" i="29"/>
  <c r="AX893" i="29"/>
  <c r="AW893" i="29"/>
  <c r="AV893" i="29"/>
  <c r="AU893" i="29"/>
  <c r="AT893" i="29"/>
  <c r="AS893" i="29"/>
  <c r="AR893" i="29"/>
  <c r="AQ893" i="29"/>
  <c r="AP893" i="29"/>
  <c r="AO893" i="29"/>
  <c r="AN893" i="29"/>
  <c r="AM893" i="29"/>
  <c r="AL893" i="29"/>
  <c r="AK893" i="29"/>
  <c r="AJ893" i="29"/>
  <c r="AI893" i="29"/>
  <c r="AH893" i="29"/>
  <c r="AG893" i="29"/>
  <c r="AF893" i="29"/>
  <c r="AE893" i="29"/>
  <c r="AD893" i="29"/>
  <c r="AC893" i="29"/>
  <c r="AB893" i="29"/>
  <c r="AA893" i="29"/>
  <c r="Z893" i="29"/>
  <c r="Y893" i="29"/>
  <c r="X893" i="29"/>
  <c r="W893" i="29"/>
  <c r="V893" i="29"/>
  <c r="U893" i="29"/>
  <c r="T893" i="29"/>
  <c r="S893" i="29"/>
  <c r="R893" i="29"/>
  <c r="Q893" i="29"/>
  <c r="P893" i="29"/>
  <c r="O893" i="29"/>
  <c r="N893" i="29"/>
  <c r="M893" i="29"/>
  <c r="L893" i="29"/>
  <c r="K893" i="29"/>
  <c r="J893" i="29"/>
  <c r="BO893" i="29"/>
  <c r="M106" i="31" s="1"/>
  <c r="BN893" i="29"/>
  <c r="BM893" i="29"/>
  <c r="N73" i="31"/>
  <c r="N33" i="31"/>
  <c r="N10" i="31"/>
  <c r="L2" i="31"/>
  <c r="L91" i="31"/>
  <c r="L96" i="31"/>
  <c r="L51" i="31"/>
  <c r="L4" i="31"/>
  <c r="L55" i="31"/>
  <c r="L8" i="31"/>
  <c r="BX893" i="29" l="1"/>
  <c r="P106" i="31" s="1"/>
  <c r="M107" i="31"/>
  <c r="L107" i="31"/>
  <c r="M90" i="31"/>
  <c r="P107" i="31"/>
  <c r="P90" i="31"/>
  <c r="P105" i="31"/>
  <c r="P29" i="31"/>
  <c r="M105" i="31"/>
  <c r="M115" i="31"/>
  <c r="M104" i="31"/>
  <c r="M88" i="31"/>
  <c r="L104" i="31"/>
  <c r="L90" i="31"/>
  <c r="L105" i="31"/>
  <c r="L88" i="31"/>
  <c r="L115" i="31"/>
  <c r="O107" i="31" l="1"/>
  <c r="BW149" i="31" s="1"/>
  <c r="O90" i="31"/>
  <c r="O105" i="31"/>
  <c r="BP874" i="29"/>
  <c r="BP870" i="29"/>
  <c r="BP861" i="29"/>
  <c r="BP857" i="29"/>
  <c r="BP848" i="29"/>
  <c r="BP854" i="29" s="1"/>
  <c r="BP798" i="29"/>
  <c r="BP802" i="29" s="1"/>
  <c r="BP835" i="29"/>
  <c r="BP841" i="29" s="1"/>
  <c r="BP759" i="29"/>
  <c r="BP782" i="29"/>
  <c r="BP787" i="29" s="1"/>
  <c r="BM772" i="29"/>
  <c r="BN772" i="29"/>
  <c r="BO772" i="29"/>
  <c r="BP772" i="29"/>
  <c r="BL772" i="29"/>
  <c r="BP746" i="29"/>
  <c r="BP733" i="29"/>
  <c r="BP720" i="29"/>
  <c r="BK720" i="29"/>
  <c r="BL720" i="29"/>
  <c r="BM720" i="29"/>
  <c r="BN720" i="29"/>
  <c r="BO720" i="29"/>
  <c r="BX720" i="29" l="1"/>
  <c r="BP867" i="29"/>
  <c r="BP880" i="29"/>
  <c r="BP651" i="29"/>
  <c r="BP645" i="29"/>
  <c r="BP587" i="29"/>
  <c r="BP591" i="29" s="1"/>
  <c r="BP519" i="29"/>
  <c r="BP514" i="29"/>
  <c r="BP494" i="29"/>
  <c r="BP498" i="29" s="1"/>
  <c r="BP377" i="29"/>
  <c r="BP337" i="29"/>
  <c r="BP341" i="29" s="1"/>
  <c r="BP17" i="29"/>
  <c r="BP524" i="29" l="1"/>
  <c r="BP655" i="29"/>
  <c r="BO560" i="29"/>
  <c r="BO519" i="29"/>
  <c r="BO494" i="29"/>
  <c r="BO498" i="29" s="1"/>
  <c r="BO377" i="29"/>
  <c r="BO381" i="29" s="1"/>
  <c r="BO874" i="29"/>
  <c r="BO861" i="29"/>
  <c r="BO848" i="29"/>
  <c r="BO854" i="29" s="1"/>
  <c r="BO835" i="29"/>
  <c r="BO841" i="29" s="1"/>
  <c r="BO782" i="29"/>
  <c r="BO787" i="29" s="1"/>
  <c r="BO651" i="29"/>
  <c r="BO587" i="29"/>
  <c r="BO591" i="29" s="1"/>
  <c r="BO337" i="29"/>
  <c r="BO341" i="29" s="1"/>
  <c r="P89" i="31"/>
  <c r="BO83" i="30"/>
  <c r="BO870" i="29"/>
  <c r="BO857" i="29"/>
  <c r="BO815" i="29"/>
  <c r="BO802" i="29"/>
  <c r="BO759" i="29"/>
  <c r="BO746" i="29"/>
  <c r="BO733" i="29"/>
  <c r="BO645" i="29"/>
  <c r="BO514" i="29"/>
  <c r="BO17" i="29"/>
  <c r="M89" i="31"/>
  <c r="L89" i="31"/>
  <c r="N2" i="31"/>
  <c r="N51" i="31"/>
  <c r="L87" i="31"/>
  <c r="BM861" i="29"/>
  <c r="BM874" i="29"/>
  <c r="BO867" i="29" l="1"/>
  <c r="BO524" i="29"/>
  <c r="BO880" i="29"/>
  <c r="BO655" i="29"/>
  <c r="O89" i="31"/>
  <c r="L81" i="31"/>
  <c r="L80" i="31"/>
  <c r="L127" i="31"/>
  <c r="L110" i="31"/>
  <c r="L84" i="31"/>
  <c r="L108" i="31"/>
  <c r="N110" i="31"/>
  <c r="N108" i="31"/>
  <c r="BN815" i="29"/>
  <c r="BM815" i="29"/>
  <c r="BM494" i="29" l="1"/>
  <c r="BM867" i="29" l="1"/>
  <c r="BM880" i="29"/>
  <c r="BN870" i="29"/>
  <c r="BN857" i="29"/>
  <c r="BN861" i="29"/>
  <c r="BN874" i="29"/>
  <c r="BA880" i="29"/>
  <c r="AZ880" i="29"/>
  <c r="AY880" i="29"/>
  <c r="AX880" i="29"/>
  <c r="AW880" i="29"/>
  <c r="AV880" i="29"/>
  <c r="AU880" i="29"/>
  <c r="AT880" i="29"/>
  <c r="AS880" i="29"/>
  <c r="AR880" i="29"/>
  <c r="AQ880" i="29"/>
  <c r="AP880" i="29"/>
  <c r="AO880" i="29"/>
  <c r="AN880" i="29"/>
  <c r="AM880" i="29"/>
  <c r="AL880" i="29"/>
  <c r="AK880" i="29"/>
  <c r="AJ880" i="29"/>
  <c r="AI880" i="29"/>
  <c r="AH880" i="29"/>
  <c r="AG880" i="29"/>
  <c r="AF880" i="29"/>
  <c r="AE880" i="29"/>
  <c r="AD880" i="29"/>
  <c r="AC880" i="29"/>
  <c r="AB880" i="29"/>
  <c r="AA880" i="29"/>
  <c r="Z880" i="29"/>
  <c r="Y880" i="29"/>
  <c r="X880" i="29"/>
  <c r="W880" i="29"/>
  <c r="V880" i="29"/>
  <c r="U880" i="29"/>
  <c r="T880" i="29"/>
  <c r="S880" i="29"/>
  <c r="R880" i="29"/>
  <c r="Q880" i="29"/>
  <c r="P880" i="29"/>
  <c r="O880" i="29"/>
  <c r="N880" i="29"/>
  <c r="M880" i="29"/>
  <c r="L880" i="29"/>
  <c r="K880" i="29"/>
  <c r="J880" i="29"/>
  <c r="BA867" i="29"/>
  <c r="AZ867" i="29"/>
  <c r="AY867" i="29"/>
  <c r="AX867" i="29"/>
  <c r="AW867" i="29"/>
  <c r="AV867" i="29"/>
  <c r="AU867" i="29"/>
  <c r="AT867" i="29"/>
  <c r="AS867" i="29"/>
  <c r="AR867" i="29"/>
  <c r="AQ867" i="29"/>
  <c r="AP867" i="29"/>
  <c r="AO867" i="29"/>
  <c r="AN867" i="29"/>
  <c r="AM867" i="29"/>
  <c r="AL867" i="29"/>
  <c r="AK867" i="29"/>
  <c r="AJ867" i="29"/>
  <c r="AI867" i="29"/>
  <c r="AH867" i="29"/>
  <c r="AG867" i="29"/>
  <c r="AF867" i="29"/>
  <c r="AE867" i="29"/>
  <c r="AD867" i="29"/>
  <c r="AC867" i="29"/>
  <c r="AB867" i="29"/>
  <c r="AA867" i="29"/>
  <c r="Z867" i="29"/>
  <c r="Y867" i="29"/>
  <c r="X867" i="29"/>
  <c r="W867" i="29"/>
  <c r="V867" i="29"/>
  <c r="U867" i="29"/>
  <c r="T867" i="29"/>
  <c r="S867" i="29"/>
  <c r="R867" i="29"/>
  <c r="Q867" i="29"/>
  <c r="P867" i="29"/>
  <c r="O867" i="29"/>
  <c r="N867" i="29"/>
  <c r="M867" i="29"/>
  <c r="L867" i="29"/>
  <c r="K867" i="29"/>
  <c r="J867" i="29"/>
  <c r="BM848" i="29"/>
  <c r="BM854" i="29" s="1"/>
  <c r="BM651" i="29"/>
  <c r="BM587" i="29"/>
  <c r="BM591" i="29" s="1"/>
  <c r="BM519" i="29"/>
  <c r="BN848" i="29"/>
  <c r="BN854" i="29" s="1"/>
  <c r="BN841" i="29"/>
  <c r="BN802" i="29"/>
  <c r="BN787" i="29"/>
  <c r="BN759" i="29"/>
  <c r="BN746" i="29"/>
  <c r="BN733" i="29"/>
  <c r="BN651" i="29"/>
  <c r="BN645" i="29"/>
  <c r="BN587" i="29"/>
  <c r="BN591" i="29" s="1"/>
  <c r="BN560" i="29"/>
  <c r="BN519" i="29"/>
  <c r="BN514" i="29"/>
  <c r="BN494" i="29"/>
  <c r="BN498" i="29" s="1"/>
  <c r="BN377" i="29"/>
  <c r="BN381" i="29" s="1"/>
  <c r="BN337" i="29"/>
  <c r="BN341" i="29" s="1"/>
  <c r="BN17" i="29"/>
  <c r="BM841" i="29"/>
  <c r="BM802" i="29"/>
  <c r="BM787" i="29"/>
  <c r="BM759" i="29"/>
  <c r="BM746" i="29"/>
  <c r="BM733" i="29"/>
  <c r="BM707" i="29"/>
  <c r="BM645" i="29"/>
  <c r="BM514" i="29"/>
  <c r="BM498" i="29"/>
  <c r="BM446" i="29"/>
  <c r="BM381" i="29"/>
  <c r="BM341" i="29"/>
  <c r="BM17" i="29"/>
  <c r="M80" i="31" l="1"/>
  <c r="M81" i="31"/>
  <c r="BN867" i="29"/>
  <c r="BX867" i="29" s="1"/>
  <c r="BN880" i="29"/>
  <c r="BX880" i="29" s="1"/>
  <c r="BM524" i="29"/>
  <c r="BN524" i="29"/>
  <c r="BN655" i="29"/>
  <c r="BM655" i="29"/>
  <c r="P81" i="31" l="1"/>
  <c r="O81" i="31" s="1"/>
  <c r="P80" i="31"/>
  <c r="O80" i="31" s="1"/>
  <c r="BN83" i="30"/>
  <c r="BM83" i="30"/>
  <c r="BL83" i="30"/>
  <c r="N96" i="31"/>
  <c r="L94" i="31"/>
  <c r="L103" i="31"/>
  <c r="BL815" i="29"/>
  <c r="BX815" i="29" s="1"/>
  <c r="L82" i="31"/>
  <c r="L75" i="31"/>
  <c r="L76" i="31"/>
  <c r="M91" i="31"/>
  <c r="N91" i="31" s="1"/>
  <c r="M74" i="31"/>
  <c r="P73" i="31"/>
  <c r="M73" i="31"/>
  <c r="M70" i="31"/>
  <c r="L74" i="31"/>
  <c r="L73" i="31"/>
  <c r="L70" i="31"/>
  <c r="M96" i="31"/>
  <c r="P70" i="31"/>
  <c r="P74" i="31"/>
  <c r="P96" i="31"/>
  <c r="P65" i="31"/>
  <c r="P91" i="31"/>
  <c r="N8" i="31"/>
  <c r="BL848" i="29"/>
  <c r="BL854" i="29" s="1"/>
  <c r="BX854" i="29" s="1"/>
  <c r="BL835" i="29"/>
  <c r="BL841" i="29" s="1"/>
  <c r="BX841" i="29" s="1"/>
  <c r="BL822" i="29"/>
  <c r="BA854" i="29"/>
  <c r="AZ854" i="29"/>
  <c r="AY854" i="29"/>
  <c r="AX854" i="29"/>
  <c r="AW854" i="29"/>
  <c r="AV854" i="29"/>
  <c r="AU854" i="29"/>
  <c r="AT854" i="29"/>
  <c r="AS854" i="29"/>
  <c r="AR854" i="29"/>
  <c r="AQ854" i="29"/>
  <c r="AP854" i="29"/>
  <c r="AO854" i="29"/>
  <c r="AN854" i="29"/>
  <c r="AM854" i="29"/>
  <c r="AL854" i="29"/>
  <c r="AK854" i="29"/>
  <c r="AJ854" i="29"/>
  <c r="AI854" i="29"/>
  <c r="AH854" i="29"/>
  <c r="AG854" i="29"/>
  <c r="AF854" i="29"/>
  <c r="AE854" i="29"/>
  <c r="AD854" i="29"/>
  <c r="AC854" i="29"/>
  <c r="AB854" i="29"/>
  <c r="AA854" i="29"/>
  <c r="Z854" i="29"/>
  <c r="Y854" i="29"/>
  <c r="X854" i="29"/>
  <c r="W854" i="29"/>
  <c r="V854" i="29"/>
  <c r="U854" i="29"/>
  <c r="T854" i="29"/>
  <c r="S854" i="29"/>
  <c r="R854" i="29"/>
  <c r="Q854" i="29"/>
  <c r="P854" i="29"/>
  <c r="O854" i="29"/>
  <c r="N854" i="29"/>
  <c r="M854" i="29"/>
  <c r="L854" i="29"/>
  <c r="K854" i="29"/>
  <c r="J854" i="29"/>
  <c r="BA841" i="29"/>
  <c r="AZ841" i="29"/>
  <c r="AY841" i="29"/>
  <c r="AX841" i="29"/>
  <c r="AW841" i="29"/>
  <c r="AV841" i="29"/>
  <c r="AU841" i="29"/>
  <c r="AT841" i="29"/>
  <c r="AS841" i="29"/>
  <c r="AR841" i="29"/>
  <c r="AQ841" i="29"/>
  <c r="AP841" i="29"/>
  <c r="AO841" i="29"/>
  <c r="AN841" i="29"/>
  <c r="AM841" i="29"/>
  <c r="AL841" i="29"/>
  <c r="AK841" i="29"/>
  <c r="AJ841" i="29"/>
  <c r="AI841" i="29"/>
  <c r="AH841" i="29"/>
  <c r="AG841" i="29"/>
  <c r="AF841" i="29"/>
  <c r="AE841" i="29"/>
  <c r="AD841" i="29"/>
  <c r="AC841" i="29"/>
  <c r="AB841" i="29"/>
  <c r="AA841" i="29"/>
  <c r="Z841" i="29"/>
  <c r="Y841" i="29"/>
  <c r="X841" i="29"/>
  <c r="W841" i="29"/>
  <c r="V841" i="29"/>
  <c r="U841" i="29"/>
  <c r="T841" i="29"/>
  <c r="S841" i="29"/>
  <c r="R841" i="29"/>
  <c r="Q841" i="29"/>
  <c r="P841" i="29"/>
  <c r="O841" i="29"/>
  <c r="N841" i="29"/>
  <c r="M841" i="29"/>
  <c r="L841" i="29"/>
  <c r="K841" i="29"/>
  <c r="J841" i="29"/>
  <c r="BA828" i="29"/>
  <c r="AZ828" i="29"/>
  <c r="AY828" i="29"/>
  <c r="AX828" i="29"/>
  <c r="AW828" i="29"/>
  <c r="AV828" i="29"/>
  <c r="AU828" i="29"/>
  <c r="AT828" i="29"/>
  <c r="AS828" i="29"/>
  <c r="AR828" i="29"/>
  <c r="AQ828" i="29"/>
  <c r="AP828" i="29"/>
  <c r="AO828" i="29"/>
  <c r="AN828" i="29"/>
  <c r="AM828" i="29"/>
  <c r="AL828" i="29"/>
  <c r="AK828" i="29"/>
  <c r="AJ828" i="29"/>
  <c r="AI828" i="29"/>
  <c r="AH828" i="29"/>
  <c r="AG828" i="29"/>
  <c r="AF828" i="29"/>
  <c r="AE828" i="29"/>
  <c r="AD828" i="29"/>
  <c r="AC828" i="29"/>
  <c r="AB828" i="29"/>
  <c r="AA828" i="29"/>
  <c r="Z828" i="29"/>
  <c r="Y828" i="29"/>
  <c r="X828" i="29"/>
  <c r="W828" i="29"/>
  <c r="V828" i="29"/>
  <c r="U828" i="29"/>
  <c r="T828" i="29"/>
  <c r="S828" i="29"/>
  <c r="R828" i="29"/>
  <c r="Q828" i="29"/>
  <c r="P828" i="29"/>
  <c r="O828" i="29"/>
  <c r="N828" i="29"/>
  <c r="M828" i="29"/>
  <c r="L828" i="29"/>
  <c r="K828" i="29"/>
  <c r="J828" i="29"/>
  <c r="BA815" i="29"/>
  <c r="AZ815" i="29"/>
  <c r="AY815" i="29"/>
  <c r="AX815" i="29"/>
  <c r="AW815" i="29"/>
  <c r="AV815" i="29"/>
  <c r="AU815" i="29"/>
  <c r="AT815" i="29"/>
  <c r="AS815" i="29"/>
  <c r="AR815" i="29"/>
  <c r="AQ815" i="29"/>
  <c r="AP815" i="29"/>
  <c r="AO815" i="29"/>
  <c r="AN815" i="29"/>
  <c r="AM815" i="29"/>
  <c r="AL815" i="29"/>
  <c r="AK815" i="29"/>
  <c r="AJ815" i="29"/>
  <c r="AI815" i="29"/>
  <c r="AH815" i="29"/>
  <c r="AG815" i="29"/>
  <c r="AF815" i="29"/>
  <c r="AE815" i="29"/>
  <c r="AD815" i="29"/>
  <c r="AC815" i="29"/>
  <c r="AB815" i="29"/>
  <c r="AA815" i="29"/>
  <c r="Z815" i="29"/>
  <c r="Y815" i="29"/>
  <c r="X815" i="29"/>
  <c r="W815" i="29"/>
  <c r="V815" i="29"/>
  <c r="U815" i="29"/>
  <c r="T815" i="29"/>
  <c r="S815" i="29"/>
  <c r="R815" i="29"/>
  <c r="Q815" i="29"/>
  <c r="P815" i="29"/>
  <c r="O815" i="29"/>
  <c r="N815" i="29"/>
  <c r="M815" i="29"/>
  <c r="L815" i="29"/>
  <c r="K815" i="29"/>
  <c r="J815" i="29"/>
  <c r="BL707" i="29"/>
  <c r="BL651" i="29"/>
  <c r="BL587" i="29"/>
  <c r="BL591" i="29" s="1"/>
  <c r="BL560" i="29"/>
  <c r="BL519" i="29"/>
  <c r="BL494" i="29"/>
  <c r="BL442" i="29"/>
  <c r="BL446" i="29" s="1"/>
  <c r="BL377" i="29"/>
  <c r="BL381" i="29" s="1"/>
  <c r="BL337" i="29"/>
  <c r="BL341" i="29" s="1"/>
  <c r="BL787" i="29"/>
  <c r="BK787" i="29"/>
  <c r="BL759" i="29"/>
  <c r="BL746" i="29"/>
  <c r="BL733" i="29"/>
  <c r="BL802" i="29"/>
  <c r="BL645" i="29"/>
  <c r="BL514" i="29"/>
  <c r="BK377" i="29"/>
  <c r="BL17" i="29"/>
  <c r="BL524" i="29" l="1"/>
  <c r="P76" i="31"/>
  <c r="O76" i="31" s="1"/>
  <c r="M82" i="31"/>
  <c r="M75" i="31"/>
  <c r="P75" i="31"/>
  <c r="O75" i="31" s="1"/>
  <c r="M76" i="31"/>
  <c r="O91" i="31"/>
  <c r="O74" i="31"/>
  <c r="O70" i="31"/>
  <c r="O73" i="31"/>
  <c r="BL828" i="29"/>
  <c r="BL655" i="29"/>
  <c r="L54" i="31"/>
  <c r="M54" i="31"/>
  <c r="M127" i="31" l="1"/>
  <c r="N127" i="31" s="1"/>
  <c r="BX828" i="29"/>
  <c r="P127" i="31" s="1"/>
  <c r="O127" i="31" s="1"/>
  <c r="O96" i="31"/>
  <c r="P82" i="31"/>
  <c r="O82" i="31" s="1"/>
  <c r="L101" i="31" l="1"/>
  <c r="L27" i="31"/>
  <c r="L24" i="31"/>
  <c r="BI802" i="29"/>
  <c r="BI787" i="29"/>
  <c r="BJ787" i="29"/>
  <c r="BH787" i="29"/>
  <c r="BK802" i="29"/>
  <c r="BJ802" i="29"/>
  <c r="BH802" i="29"/>
  <c r="BG801" i="29"/>
  <c r="BG802" i="29" s="1"/>
  <c r="BF801" i="29"/>
  <c r="BF802" i="29" s="1"/>
  <c r="BE801" i="29"/>
  <c r="BE802" i="29" s="1"/>
  <c r="BD801" i="29"/>
  <c r="BD802" i="29" s="1"/>
  <c r="AX802" i="29"/>
  <c r="AW802" i="29"/>
  <c r="M27" i="31" s="1"/>
  <c r="AV802" i="29"/>
  <c r="AU802" i="29"/>
  <c r="AT802" i="29"/>
  <c r="AS802" i="29"/>
  <c r="AR802" i="29"/>
  <c r="AQ802" i="29"/>
  <c r="AP802" i="29"/>
  <c r="AO802" i="29"/>
  <c r="AN802" i="29"/>
  <c r="AM802" i="29"/>
  <c r="AL802" i="29"/>
  <c r="AK802" i="29"/>
  <c r="AJ802" i="29"/>
  <c r="AI802" i="29"/>
  <c r="AH802" i="29"/>
  <c r="AG802" i="29"/>
  <c r="AF802" i="29"/>
  <c r="AE802" i="29"/>
  <c r="AD802" i="29"/>
  <c r="AC802" i="29"/>
  <c r="AB802" i="29"/>
  <c r="AA802" i="29"/>
  <c r="Z802" i="29"/>
  <c r="Y802" i="29"/>
  <c r="X802" i="29"/>
  <c r="W802" i="29"/>
  <c r="V802" i="29"/>
  <c r="U802" i="29"/>
  <c r="T802" i="29"/>
  <c r="S802" i="29"/>
  <c r="R802" i="29"/>
  <c r="Q802" i="29"/>
  <c r="P802" i="29"/>
  <c r="O802" i="29"/>
  <c r="N802" i="29"/>
  <c r="M802" i="29"/>
  <c r="L802" i="29"/>
  <c r="K802" i="29"/>
  <c r="J802" i="29"/>
  <c r="BC801" i="29"/>
  <c r="BC802" i="29" s="1"/>
  <c r="BB801" i="29"/>
  <c r="BB802" i="29" s="1"/>
  <c r="BA801" i="29"/>
  <c r="BA802" i="29" s="1"/>
  <c r="AZ801" i="29"/>
  <c r="AZ802" i="29" s="1"/>
  <c r="AY801" i="29"/>
  <c r="AY802" i="29" s="1"/>
  <c r="BF787" i="29"/>
  <c r="BE787" i="29"/>
  <c r="BD787" i="29"/>
  <c r="BC787" i="29"/>
  <c r="BB787" i="29"/>
  <c r="BA787" i="29"/>
  <c r="AZ787" i="29"/>
  <c r="AY787" i="29"/>
  <c r="AX787" i="29"/>
  <c r="BB779" i="29"/>
  <c r="AQ787" i="29"/>
  <c r="AP787" i="29"/>
  <c r="AO787" i="29"/>
  <c r="AN787" i="29"/>
  <c r="AM787" i="29"/>
  <c r="AL787" i="29"/>
  <c r="AK787" i="29"/>
  <c r="AJ787" i="29"/>
  <c r="AI787" i="29"/>
  <c r="AH787" i="29"/>
  <c r="AG787" i="29"/>
  <c r="AF787" i="29"/>
  <c r="AE787" i="29"/>
  <c r="AD787" i="29"/>
  <c r="AC787" i="29"/>
  <c r="AB787" i="29"/>
  <c r="AA787" i="29"/>
  <c r="Z787" i="29"/>
  <c r="Y787" i="29"/>
  <c r="X787" i="29"/>
  <c r="W787" i="29"/>
  <c r="V787" i="29"/>
  <c r="U787" i="29"/>
  <c r="T787" i="29"/>
  <c r="S787" i="29"/>
  <c r="R787" i="29"/>
  <c r="Q787" i="29"/>
  <c r="P787" i="29"/>
  <c r="O787" i="29"/>
  <c r="N787" i="29"/>
  <c r="M787" i="29"/>
  <c r="L787" i="29"/>
  <c r="K787" i="29"/>
  <c r="J787" i="29"/>
  <c r="AR787" i="29"/>
  <c r="BX787" i="29" l="1"/>
  <c r="BX802" i="29"/>
  <c r="P27" i="31"/>
  <c r="M24" i="31"/>
  <c r="O27" i="31" l="1"/>
  <c r="L40" i="31"/>
  <c r="N40" i="31"/>
  <c r="L56" i="31"/>
  <c r="L57" i="31"/>
  <c r="L15" i="31"/>
  <c r="L18" i="31"/>
  <c r="L117" i="31"/>
  <c r="L118" i="31"/>
  <c r="L36" i="31"/>
  <c r="L48" i="31"/>
  <c r="L109" i="31"/>
  <c r="M132" i="31"/>
  <c r="L23" i="31"/>
  <c r="L34" i="31"/>
  <c r="L7" i="31"/>
  <c r="L83" i="31"/>
  <c r="L71" i="31"/>
  <c r="L92" i="31"/>
  <c r="L58" i="31"/>
  <c r="L62" i="31"/>
  <c r="L17" i="31"/>
  <c r="L63" i="31"/>
  <c r="L85" i="31"/>
  <c r="L28" i="31"/>
  <c r="L119" i="31"/>
  <c r="L120" i="31"/>
  <c r="L46" i="31"/>
  <c r="L26" i="31"/>
  <c r="L64" i="31"/>
  <c r="L59" i="31"/>
  <c r="L66" i="31"/>
  <c r="L49" i="31"/>
  <c r="L77" i="31"/>
  <c r="L35" i="31"/>
  <c r="L72" i="31"/>
  <c r="L37" i="31"/>
  <c r="L121" i="31"/>
  <c r="L45" i="31"/>
  <c r="L12" i="31"/>
  <c r="L47" i="31"/>
  <c r="L19" i="31"/>
  <c r="L78" i="31"/>
  <c r="L22" i="31"/>
  <c r="L111" i="31"/>
  <c r="L68" i="31"/>
  <c r="L44" i="31"/>
  <c r="L122" i="31"/>
  <c r="L38" i="31"/>
  <c r="L123" i="31"/>
  <c r="L93" i="31"/>
  <c r="M93" i="31"/>
  <c r="N93" i="31"/>
  <c r="L60" i="31"/>
  <c r="M60" i="31"/>
  <c r="N60" i="31"/>
  <c r="L112" i="31"/>
  <c r="N112" i="31"/>
  <c r="L124" i="31"/>
  <c r="L29" i="31"/>
  <c r="M29" i="31"/>
  <c r="L3" i="31"/>
  <c r="M3" i="31"/>
  <c r="N3" i="31"/>
  <c r="L5" i="31"/>
  <c r="M5" i="31"/>
  <c r="N5" i="31"/>
  <c r="L113" i="31"/>
  <c r="M113" i="31"/>
  <c r="N113" i="31"/>
  <c r="M94" i="31"/>
  <c r="N94" i="31"/>
  <c r="L99" i="31"/>
  <c r="M99" i="31"/>
  <c r="N99" i="31"/>
  <c r="L125" i="31"/>
  <c r="M125" i="31"/>
  <c r="N125" i="31"/>
  <c r="L31" i="31"/>
  <c r="M31" i="31"/>
  <c r="L61" i="31"/>
  <c r="M61" i="31"/>
  <c r="N61" i="31"/>
  <c r="L20" i="31"/>
  <c r="M20" i="31"/>
  <c r="N20" i="31"/>
  <c r="L69" i="31"/>
  <c r="M69" i="31"/>
  <c r="N69" i="31"/>
  <c r="L50" i="31"/>
  <c r="M50" i="31"/>
  <c r="M2" i="31"/>
  <c r="L13" i="31"/>
  <c r="N13" i="31"/>
  <c r="L14" i="31"/>
  <c r="M14" i="31"/>
  <c r="N14" i="31"/>
  <c r="L79" i="31"/>
  <c r="M79" i="31"/>
  <c r="N79" i="31"/>
  <c r="L25" i="31"/>
  <c r="M25" i="31"/>
  <c r="L86" i="31"/>
  <c r="M86" i="31"/>
  <c r="N86" i="31"/>
  <c r="L100" i="31"/>
  <c r="M100" i="31"/>
  <c r="N100" i="31"/>
  <c r="L52" i="31"/>
  <c r="M52" i="31"/>
  <c r="L32" i="31"/>
  <c r="M32" i="31"/>
  <c r="L65" i="31"/>
  <c r="O65" i="31" s="1"/>
  <c r="M65" i="31"/>
  <c r="L53" i="31"/>
  <c r="M53" i="31"/>
  <c r="L126" i="31"/>
  <c r="M126" i="31"/>
  <c r="N126" i="31"/>
  <c r="O126" i="31" s="1"/>
  <c r="L67" i="31"/>
  <c r="M67" i="31"/>
  <c r="N67" i="31"/>
  <c r="M101" i="31"/>
  <c r="N101" i="31"/>
  <c r="L39" i="31"/>
  <c r="M39" i="31"/>
  <c r="N39" i="31"/>
  <c r="M55" i="31"/>
  <c r="N55" i="31"/>
  <c r="M8" i="31"/>
  <c r="L6" i="31"/>
  <c r="M6" i="31"/>
  <c r="N6" i="31"/>
  <c r="L41" i="31"/>
  <c r="M41" i="31"/>
  <c r="M4" i="31"/>
  <c r="N4" i="31"/>
  <c r="M87" i="31"/>
  <c r="N87" i="31"/>
  <c r="L10" i="31"/>
  <c r="M10" i="31"/>
  <c r="L11" i="31"/>
  <c r="M11" i="31"/>
  <c r="L9" i="31"/>
  <c r="M9" i="31"/>
  <c r="L102" i="31"/>
  <c r="M102" i="31"/>
  <c r="N102" i="31"/>
  <c r="L33" i="31"/>
  <c r="M33" i="31"/>
  <c r="L21" i="31"/>
  <c r="N21" i="31"/>
  <c r="L30" i="31"/>
  <c r="N30" i="31"/>
  <c r="M103" i="31"/>
  <c r="N103" i="31"/>
  <c r="L16" i="31"/>
  <c r="N16" i="31"/>
  <c r="L43" i="31"/>
  <c r="M43" i="31"/>
  <c r="N43" i="31"/>
  <c r="L95" i="31"/>
  <c r="M95" i="31"/>
  <c r="N95" i="31"/>
  <c r="L42" i="31"/>
  <c r="M42" i="31"/>
  <c r="BK83" i="30"/>
  <c r="BJ498" i="29"/>
  <c r="BI498" i="29"/>
  <c r="BG236" i="29"/>
  <c r="N83" i="31" s="1"/>
  <c r="P33" i="31"/>
  <c r="P41" i="31"/>
  <c r="P103" i="31"/>
  <c r="BJ83" i="30"/>
  <c r="P53" i="31" l="1"/>
  <c r="O53" i="31" s="1"/>
  <c r="O103" i="31"/>
  <c r="BW148" i="31" s="1"/>
  <c r="P55" i="31"/>
  <c r="O55" i="31" s="1"/>
  <c r="P42" i="31"/>
  <c r="O42" i="31" s="1"/>
  <c r="P87" i="31"/>
  <c r="O87" i="31" s="1"/>
  <c r="P32" i="31"/>
  <c r="O32" i="31" s="1"/>
  <c r="P4" i="31"/>
  <c r="O4" i="31" s="1"/>
  <c r="O29" i="31"/>
  <c r="O33" i="31"/>
  <c r="O41" i="31"/>
  <c r="BK772" i="29"/>
  <c r="BX772" i="29" s="1"/>
  <c r="BK759" i="29"/>
  <c r="BX759" i="29" s="1"/>
  <c r="BK746" i="29"/>
  <c r="BX746" i="29" s="1"/>
  <c r="BK733" i="29"/>
  <c r="BX733" i="29" s="1"/>
  <c r="BK707" i="29"/>
  <c r="BX707" i="29" s="1"/>
  <c r="BK694" i="29"/>
  <c r="BA772" i="29"/>
  <c r="AZ772" i="29"/>
  <c r="AY772" i="29"/>
  <c r="AX772" i="29"/>
  <c r="AW772" i="29"/>
  <c r="AV772" i="29"/>
  <c r="AU772" i="29"/>
  <c r="AT772" i="29"/>
  <c r="AS772" i="29"/>
  <c r="AR772" i="29"/>
  <c r="AQ772" i="29"/>
  <c r="AP772" i="29"/>
  <c r="AO772" i="29"/>
  <c r="AN772" i="29"/>
  <c r="AM772" i="29"/>
  <c r="AL772" i="29"/>
  <c r="AK772" i="29"/>
  <c r="AJ772" i="29"/>
  <c r="AI772" i="29"/>
  <c r="AH772" i="29"/>
  <c r="AG772" i="29"/>
  <c r="AF772" i="29"/>
  <c r="AE772" i="29"/>
  <c r="AD772" i="29"/>
  <c r="AC772" i="29"/>
  <c r="AB772" i="29"/>
  <c r="AA772" i="29"/>
  <c r="Z772" i="29"/>
  <c r="Y772" i="29"/>
  <c r="X772" i="29"/>
  <c r="W772" i="29"/>
  <c r="V772" i="29"/>
  <c r="U772" i="29"/>
  <c r="T772" i="29"/>
  <c r="S772" i="29"/>
  <c r="R772" i="29"/>
  <c r="Q772" i="29"/>
  <c r="P772" i="29"/>
  <c r="O772" i="29"/>
  <c r="N772" i="29"/>
  <c r="M772" i="29"/>
  <c r="L772" i="29"/>
  <c r="K772" i="29"/>
  <c r="J772" i="29"/>
  <c r="BA759" i="29"/>
  <c r="AZ759" i="29"/>
  <c r="AY759" i="29"/>
  <c r="AX759" i="29"/>
  <c r="AW759" i="29"/>
  <c r="AV759" i="29"/>
  <c r="AU759" i="29"/>
  <c r="AT759" i="29"/>
  <c r="AS759" i="29"/>
  <c r="AR759" i="29"/>
  <c r="AQ759" i="29"/>
  <c r="AP759" i="29"/>
  <c r="AO759" i="29"/>
  <c r="AN759" i="29"/>
  <c r="AM759" i="29"/>
  <c r="AL759" i="29"/>
  <c r="AK759" i="29"/>
  <c r="AJ759" i="29"/>
  <c r="AI759" i="29"/>
  <c r="AH759" i="29"/>
  <c r="AG759" i="29"/>
  <c r="AF759" i="29"/>
  <c r="AE759" i="29"/>
  <c r="AD759" i="29"/>
  <c r="AC759" i="29"/>
  <c r="AB759" i="29"/>
  <c r="AA759" i="29"/>
  <c r="Z759" i="29"/>
  <c r="Y759" i="29"/>
  <c r="X759" i="29"/>
  <c r="W759" i="29"/>
  <c r="V759" i="29"/>
  <c r="U759" i="29"/>
  <c r="T759" i="29"/>
  <c r="S759" i="29"/>
  <c r="R759" i="29"/>
  <c r="Q759" i="29"/>
  <c r="P759" i="29"/>
  <c r="O759" i="29"/>
  <c r="N759" i="29"/>
  <c r="M759" i="29"/>
  <c r="L759" i="29"/>
  <c r="K759" i="29"/>
  <c r="J759" i="29"/>
  <c r="BA746" i="29"/>
  <c r="AZ746" i="29"/>
  <c r="AY746" i="29"/>
  <c r="AX746" i="29"/>
  <c r="AW746" i="29"/>
  <c r="AV746" i="29"/>
  <c r="AU746" i="29"/>
  <c r="AT746" i="29"/>
  <c r="AS746" i="29"/>
  <c r="AR746" i="29"/>
  <c r="AQ746" i="29"/>
  <c r="AP746" i="29"/>
  <c r="AO746" i="29"/>
  <c r="AN746" i="29"/>
  <c r="AM746" i="29"/>
  <c r="AL746" i="29"/>
  <c r="AK746" i="29"/>
  <c r="AJ746" i="29"/>
  <c r="AI746" i="29"/>
  <c r="AH746" i="29"/>
  <c r="AG746" i="29"/>
  <c r="AF746" i="29"/>
  <c r="AE746" i="29"/>
  <c r="AD746" i="29"/>
  <c r="AC746" i="29"/>
  <c r="AB746" i="29"/>
  <c r="AA746" i="29"/>
  <c r="Z746" i="29"/>
  <c r="Y746" i="29"/>
  <c r="X746" i="29"/>
  <c r="W746" i="29"/>
  <c r="V746" i="29"/>
  <c r="U746" i="29"/>
  <c r="T746" i="29"/>
  <c r="S746" i="29"/>
  <c r="R746" i="29"/>
  <c r="Q746" i="29"/>
  <c r="P746" i="29"/>
  <c r="O746" i="29"/>
  <c r="N746" i="29"/>
  <c r="M746" i="29"/>
  <c r="L746" i="29"/>
  <c r="K746" i="29"/>
  <c r="J746" i="29"/>
  <c r="BA733" i="29"/>
  <c r="AZ733" i="29"/>
  <c r="AY733" i="29"/>
  <c r="AX733" i="29"/>
  <c r="AW733" i="29"/>
  <c r="AV733" i="29"/>
  <c r="AU733" i="29"/>
  <c r="AT733" i="29"/>
  <c r="AS733" i="29"/>
  <c r="AR733" i="29"/>
  <c r="AQ733" i="29"/>
  <c r="AP733" i="29"/>
  <c r="AO733" i="29"/>
  <c r="AN733" i="29"/>
  <c r="AM733" i="29"/>
  <c r="AL733" i="29"/>
  <c r="AK733" i="29"/>
  <c r="AJ733" i="29"/>
  <c r="AI733" i="29"/>
  <c r="AH733" i="29"/>
  <c r="AG733" i="29"/>
  <c r="AF733" i="29"/>
  <c r="AE733" i="29"/>
  <c r="AD733" i="29"/>
  <c r="AC733" i="29"/>
  <c r="AB733" i="29"/>
  <c r="AA733" i="29"/>
  <c r="Z733" i="29"/>
  <c r="Y733" i="29"/>
  <c r="X733" i="29"/>
  <c r="W733" i="29"/>
  <c r="V733" i="29"/>
  <c r="U733" i="29"/>
  <c r="T733" i="29"/>
  <c r="S733" i="29"/>
  <c r="R733" i="29"/>
  <c r="Q733" i="29"/>
  <c r="P733" i="29"/>
  <c r="O733" i="29"/>
  <c r="N733" i="29"/>
  <c r="M733" i="29"/>
  <c r="L733" i="29"/>
  <c r="K733" i="29"/>
  <c r="J733" i="29"/>
  <c r="BA720" i="29"/>
  <c r="AZ720" i="29"/>
  <c r="AY720" i="29"/>
  <c r="AX720" i="29"/>
  <c r="AW720" i="29"/>
  <c r="AV720" i="29"/>
  <c r="AU720" i="29"/>
  <c r="AT720" i="29"/>
  <c r="AS720" i="29"/>
  <c r="AR720" i="29"/>
  <c r="AQ720" i="29"/>
  <c r="AP720" i="29"/>
  <c r="AO720" i="29"/>
  <c r="AN720" i="29"/>
  <c r="AM720" i="29"/>
  <c r="AL720" i="29"/>
  <c r="AK720" i="29"/>
  <c r="AJ720" i="29"/>
  <c r="AI720" i="29"/>
  <c r="AH720" i="29"/>
  <c r="AG720" i="29"/>
  <c r="AF720" i="29"/>
  <c r="AE720" i="29"/>
  <c r="AD720" i="29"/>
  <c r="AC720" i="29"/>
  <c r="AB720" i="29"/>
  <c r="AA720" i="29"/>
  <c r="Z720" i="29"/>
  <c r="Y720" i="29"/>
  <c r="X720" i="29"/>
  <c r="W720" i="29"/>
  <c r="V720" i="29"/>
  <c r="U720" i="29"/>
  <c r="T720" i="29"/>
  <c r="S720" i="29"/>
  <c r="R720" i="29"/>
  <c r="Q720" i="29"/>
  <c r="P720" i="29"/>
  <c r="O720" i="29"/>
  <c r="N720" i="29"/>
  <c r="M720" i="29"/>
  <c r="L720" i="29"/>
  <c r="K720" i="29"/>
  <c r="J720" i="29"/>
  <c r="BA707" i="29"/>
  <c r="AZ707" i="29"/>
  <c r="AY707" i="29"/>
  <c r="AX707" i="29"/>
  <c r="AW707" i="29"/>
  <c r="AV707" i="29"/>
  <c r="AU707" i="29"/>
  <c r="AT707" i="29"/>
  <c r="AS707" i="29"/>
  <c r="AR707" i="29"/>
  <c r="AQ707" i="29"/>
  <c r="AP707" i="29"/>
  <c r="AO707" i="29"/>
  <c r="AN707" i="29"/>
  <c r="AM707" i="29"/>
  <c r="AL707" i="29"/>
  <c r="AK707" i="29"/>
  <c r="AJ707" i="29"/>
  <c r="AI707" i="29"/>
  <c r="AH707" i="29"/>
  <c r="AG707" i="29"/>
  <c r="AF707" i="29"/>
  <c r="AE707" i="29"/>
  <c r="AD707" i="29"/>
  <c r="AC707" i="29"/>
  <c r="AB707" i="29"/>
  <c r="AA707" i="29"/>
  <c r="Z707" i="29"/>
  <c r="Y707" i="29"/>
  <c r="X707" i="29"/>
  <c r="W707" i="29"/>
  <c r="V707" i="29"/>
  <c r="U707" i="29"/>
  <c r="T707" i="29"/>
  <c r="S707" i="29"/>
  <c r="R707" i="29"/>
  <c r="Q707" i="29"/>
  <c r="P707" i="29"/>
  <c r="O707" i="29"/>
  <c r="N707" i="29"/>
  <c r="M707" i="29"/>
  <c r="L707" i="29"/>
  <c r="K707" i="29"/>
  <c r="J707" i="29"/>
  <c r="BA694" i="29"/>
  <c r="AZ694" i="29"/>
  <c r="AY694" i="29"/>
  <c r="AX694" i="29"/>
  <c r="AW694" i="29"/>
  <c r="AV694" i="29"/>
  <c r="AU694" i="29"/>
  <c r="AT694" i="29"/>
  <c r="AS694" i="29"/>
  <c r="AR694" i="29"/>
  <c r="AQ694" i="29"/>
  <c r="AP694" i="29"/>
  <c r="AO694" i="29"/>
  <c r="AN694" i="29"/>
  <c r="AM694" i="29"/>
  <c r="AL694" i="29"/>
  <c r="AK694" i="29"/>
  <c r="AJ694" i="29"/>
  <c r="AI694" i="29"/>
  <c r="AH694" i="29"/>
  <c r="AG694" i="29"/>
  <c r="AF694" i="29"/>
  <c r="AE694" i="29"/>
  <c r="AD694" i="29"/>
  <c r="AC694" i="29"/>
  <c r="AB694" i="29"/>
  <c r="AA694" i="29"/>
  <c r="Z694" i="29"/>
  <c r="Y694" i="29"/>
  <c r="X694" i="29"/>
  <c r="W694" i="29"/>
  <c r="V694" i="29"/>
  <c r="U694" i="29"/>
  <c r="T694" i="29"/>
  <c r="S694" i="29"/>
  <c r="R694" i="29"/>
  <c r="Q694" i="29"/>
  <c r="P694" i="29"/>
  <c r="O694" i="29"/>
  <c r="N694" i="29"/>
  <c r="M694" i="29"/>
  <c r="L694" i="29"/>
  <c r="K694" i="29"/>
  <c r="J694" i="29"/>
  <c r="H593" i="29"/>
  <c r="H670" i="29"/>
  <c r="G670" i="29"/>
  <c r="G657" i="29"/>
  <c r="H632" i="29"/>
  <c r="G632" i="29"/>
  <c r="H619" i="29"/>
  <c r="G619" i="29"/>
  <c r="H606" i="29"/>
  <c r="G606" i="29"/>
  <c r="G593" i="29"/>
  <c r="H540" i="29"/>
  <c r="G540" i="29"/>
  <c r="H526" i="29"/>
  <c r="G526" i="29"/>
  <c r="H500" i="29"/>
  <c r="G500" i="29"/>
  <c r="H474" i="29"/>
  <c r="G474" i="29"/>
  <c r="H461" i="29"/>
  <c r="G461" i="29"/>
  <c r="H448" i="29"/>
  <c r="G448" i="29"/>
  <c r="H422" i="29"/>
  <c r="G422" i="29"/>
  <c r="H409" i="29"/>
  <c r="G409" i="29"/>
  <c r="H396" i="29"/>
  <c r="G396" i="29"/>
  <c r="H383" i="29"/>
  <c r="G383" i="29"/>
  <c r="H356" i="29"/>
  <c r="G356" i="29"/>
  <c r="H343" i="29"/>
  <c r="G343" i="29"/>
  <c r="H291" i="29"/>
  <c r="G291" i="29"/>
  <c r="H265" i="29"/>
  <c r="G265" i="29"/>
  <c r="G251" i="29"/>
  <c r="H238" i="29"/>
  <c r="G238" i="29"/>
  <c r="H224" i="29"/>
  <c r="G224" i="29"/>
  <c r="G210" i="29"/>
  <c r="H199" i="29"/>
  <c r="G199" i="29"/>
  <c r="H186" i="29"/>
  <c r="G186" i="29"/>
  <c r="H173" i="29"/>
  <c r="G173" i="29"/>
  <c r="H160" i="29"/>
  <c r="G160" i="29"/>
  <c r="H147" i="29"/>
  <c r="G147" i="29"/>
  <c r="H131" i="29"/>
  <c r="G131" i="29"/>
  <c r="H99" i="29"/>
  <c r="G99" i="29"/>
  <c r="H83" i="29"/>
  <c r="G83" i="29"/>
  <c r="H67" i="29"/>
  <c r="G67" i="29"/>
  <c r="H51" i="29"/>
  <c r="G51" i="29"/>
  <c r="BK442" i="29"/>
  <c r="BK446" i="29" s="1"/>
  <c r="BX446" i="29" s="1"/>
  <c r="BD446" i="29"/>
  <c r="BC446" i="29"/>
  <c r="BB446" i="29"/>
  <c r="BA446" i="29"/>
  <c r="AZ446" i="29"/>
  <c r="AY446" i="29"/>
  <c r="AX446" i="29"/>
  <c r="AT446" i="29"/>
  <c r="AS446" i="29"/>
  <c r="AR446" i="29"/>
  <c r="AQ446" i="29"/>
  <c r="AP446" i="29"/>
  <c r="AO446" i="29"/>
  <c r="AN446" i="29"/>
  <c r="AM446" i="29"/>
  <c r="AL446" i="29"/>
  <c r="AK446" i="29"/>
  <c r="AJ446" i="29"/>
  <c r="AI446" i="29"/>
  <c r="AH446" i="29"/>
  <c r="AG446" i="29"/>
  <c r="AF446" i="29"/>
  <c r="AE446" i="29"/>
  <c r="AD446" i="29"/>
  <c r="AC446" i="29"/>
  <c r="AB446" i="29"/>
  <c r="AA446" i="29"/>
  <c r="Z446" i="29"/>
  <c r="Y446" i="29"/>
  <c r="X446" i="29"/>
  <c r="W446" i="29"/>
  <c r="V446" i="29"/>
  <c r="U446" i="29"/>
  <c r="T446" i="29"/>
  <c r="S446" i="29"/>
  <c r="R446" i="29"/>
  <c r="Q446" i="29"/>
  <c r="P446" i="29"/>
  <c r="O446" i="29"/>
  <c r="N446" i="29"/>
  <c r="M446" i="29"/>
  <c r="L446" i="29"/>
  <c r="K446" i="29"/>
  <c r="J446" i="29"/>
  <c r="BJ305" i="29"/>
  <c r="BJ315" i="29" s="1"/>
  <c r="BK514" i="29"/>
  <c r="BK645" i="29"/>
  <c r="BK651" i="29"/>
  <c r="BJ655" i="29"/>
  <c r="BK587" i="29"/>
  <c r="BK583" i="29"/>
  <c r="BJ591" i="29"/>
  <c r="BK560" i="29"/>
  <c r="BK564" i="29" s="1"/>
  <c r="BJ564" i="29"/>
  <c r="BK516" i="29"/>
  <c r="BK519" i="29"/>
  <c r="BJ524" i="29"/>
  <c r="BK494" i="29"/>
  <c r="BK498" i="29" s="1"/>
  <c r="BK373" i="29"/>
  <c r="BK381" i="29" s="1"/>
  <c r="BJ381" i="29"/>
  <c r="BJ337" i="29"/>
  <c r="BJ341" i="29" s="1"/>
  <c r="BD381" i="29"/>
  <c r="BC381" i="29"/>
  <c r="BB381" i="29"/>
  <c r="BA381" i="29"/>
  <c r="AZ381" i="29"/>
  <c r="AY381" i="29"/>
  <c r="AX381" i="29"/>
  <c r="AW381" i="29"/>
  <c r="AU381" i="29"/>
  <c r="AT381" i="29"/>
  <c r="AS381" i="29"/>
  <c r="AR381" i="29"/>
  <c r="AQ381" i="29"/>
  <c r="AP381" i="29"/>
  <c r="AO381" i="29"/>
  <c r="AN381" i="29"/>
  <c r="AM381" i="29"/>
  <c r="AL381" i="29"/>
  <c r="AK381" i="29"/>
  <c r="AJ381" i="29"/>
  <c r="AI381" i="29"/>
  <c r="AH381" i="29"/>
  <c r="AG381" i="29"/>
  <c r="AF381" i="29"/>
  <c r="AE381" i="29"/>
  <c r="AD381" i="29"/>
  <c r="AC381" i="29"/>
  <c r="AB381" i="29"/>
  <c r="AA381" i="29"/>
  <c r="Z381" i="29"/>
  <c r="Y381" i="29"/>
  <c r="X381" i="29"/>
  <c r="W381" i="29"/>
  <c r="V381" i="29"/>
  <c r="U381" i="29"/>
  <c r="T381" i="29"/>
  <c r="S381" i="29"/>
  <c r="R381" i="29"/>
  <c r="Q381" i="29"/>
  <c r="P381" i="29"/>
  <c r="O381" i="29"/>
  <c r="N381" i="29"/>
  <c r="M381" i="29"/>
  <c r="L381" i="29"/>
  <c r="K381" i="29"/>
  <c r="J381" i="29"/>
  <c r="BK333" i="29"/>
  <c r="BD341" i="29"/>
  <c r="BC341" i="29"/>
  <c r="BB341" i="29"/>
  <c r="BA341" i="29"/>
  <c r="AZ341" i="29"/>
  <c r="AY341" i="29"/>
  <c r="AX341" i="29"/>
  <c r="AW341" i="29"/>
  <c r="AU341" i="29"/>
  <c r="AT341" i="29"/>
  <c r="AS341" i="29"/>
  <c r="AR341" i="29"/>
  <c r="AQ341" i="29"/>
  <c r="AP341" i="29"/>
  <c r="AO341" i="29"/>
  <c r="AN341" i="29"/>
  <c r="AM341" i="29"/>
  <c r="AL341" i="29"/>
  <c r="AK341" i="29"/>
  <c r="AJ341" i="29"/>
  <c r="AI341" i="29"/>
  <c r="AH341" i="29"/>
  <c r="AG341" i="29"/>
  <c r="AF341" i="29"/>
  <c r="AE341" i="29"/>
  <c r="AD341" i="29"/>
  <c r="AC341" i="29"/>
  <c r="AB341" i="29"/>
  <c r="AA341" i="29"/>
  <c r="Z341" i="29"/>
  <c r="Y341" i="29"/>
  <c r="X341" i="29"/>
  <c r="W341" i="29"/>
  <c r="V341" i="29"/>
  <c r="U341" i="29"/>
  <c r="T341" i="29"/>
  <c r="S341" i="29"/>
  <c r="R341" i="29"/>
  <c r="Q341" i="29"/>
  <c r="P341" i="29"/>
  <c r="O341" i="29"/>
  <c r="N341" i="29"/>
  <c r="M341" i="29"/>
  <c r="L341" i="29"/>
  <c r="K341" i="29"/>
  <c r="J341" i="29"/>
  <c r="BK315" i="29"/>
  <c r="N26" i="31" s="1"/>
  <c r="BK289" i="29"/>
  <c r="BJ289" i="29"/>
  <c r="BK5" i="29"/>
  <c r="BK17" i="29" s="1"/>
  <c r="BJ17" i="29"/>
  <c r="BX381" i="29" l="1"/>
  <c r="P11" i="31"/>
  <c r="O11" i="31" s="1"/>
  <c r="P71" i="31"/>
  <c r="O71" i="31" s="1"/>
  <c r="P64" i="31"/>
  <c r="O64" i="31" s="1"/>
  <c r="M64" i="31"/>
  <c r="M66" i="31"/>
  <c r="M72" i="31"/>
  <c r="N84" i="31"/>
  <c r="M62" i="31"/>
  <c r="M71" i="31"/>
  <c r="M68" i="31"/>
  <c r="M63" i="31"/>
  <c r="BX694" i="29"/>
  <c r="M57" i="31"/>
  <c r="N57" i="31"/>
  <c r="P68" i="31"/>
  <c r="O68" i="31" s="1"/>
  <c r="M110" i="31"/>
  <c r="P66" i="31"/>
  <c r="O66" i="31" s="1"/>
  <c r="M108" i="31"/>
  <c r="BK655" i="29"/>
  <c r="BK524" i="29"/>
  <c r="BK591" i="29"/>
  <c r="BK341" i="29"/>
  <c r="BX341" i="29" s="1"/>
  <c r="BG197" i="29"/>
  <c r="BH655" i="29"/>
  <c r="BG655" i="29"/>
  <c r="BI655" i="29"/>
  <c r="BE655" i="29"/>
  <c r="BD655" i="29"/>
  <c r="BC236" i="29"/>
  <c r="BE236" i="29"/>
  <c r="BF236" i="29"/>
  <c r="BB236" i="29"/>
  <c r="M83" i="31" s="1"/>
  <c r="G644" i="29"/>
  <c r="G580" i="29"/>
  <c r="G566" i="29"/>
  <c r="G553" i="29"/>
  <c r="G513" i="29"/>
  <c r="G487" i="29"/>
  <c r="G304" i="29"/>
  <c r="G19" i="29"/>
  <c r="G278" i="29"/>
  <c r="G2" i="29"/>
  <c r="G35" i="29"/>
  <c r="G37" i="30"/>
  <c r="G28" i="30"/>
  <c r="G24" i="30"/>
  <c r="G19" i="30"/>
  <c r="G18" i="30"/>
  <c r="G13" i="30"/>
  <c r="G11" i="30"/>
  <c r="G10" i="30"/>
  <c r="G7" i="30"/>
  <c r="G4" i="30"/>
  <c r="G3" i="30"/>
  <c r="BH83" i="30"/>
  <c r="AY83" i="30"/>
  <c r="AT83" i="30"/>
  <c r="AF83" i="30"/>
  <c r="AE83" i="30"/>
  <c r="BE59" i="30"/>
  <c r="BB59" i="30"/>
  <c r="AI59" i="30"/>
  <c r="M16" i="31" s="1"/>
  <c r="AH59" i="30"/>
  <c r="P93" i="31"/>
  <c r="AM54" i="30"/>
  <c r="AI54" i="30"/>
  <c r="M21" i="31" s="1"/>
  <c r="AH54" i="30"/>
  <c r="BE51" i="30"/>
  <c r="BC51" i="30"/>
  <c r="AX51" i="30"/>
  <c r="AU51" i="30"/>
  <c r="AN51" i="30"/>
  <c r="AK48" i="30"/>
  <c r="AJ48" i="30"/>
  <c r="AI48" i="30"/>
  <c r="BG46" i="30"/>
  <c r="BC46" i="30"/>
  <c r="AZ46" i="30"/>
  <c r="AL46" i="30"/>
  <c r="BC42" i="30"/>
  <c r="BX42" i="30" s="1"/>
  <c r="P54" i="31" s="1"/>
  <c r="O54" i="31" s="1"/>
  <c r="W35" i="30"/>
  <c r="R35" i="30"/>
  <c r="J35" i="30"/>
  <c r="P101" i="31"/>
  <c r="O101" i="31" s="1"/>
  <c r="P67" i="31"/>
  <c r="O67" i="31" s="1"/>
  <c r="BB32" i="30"/>
  <c r="BA32" i="30"/>
  <c r="BD24" i="30"/>
  <c r="BC24" i="30"/>
  <c r="BB24" i="30"/>
  <c r="AS23" i="30"/>
  <c r="AS83" i="30" s="1"/>
  <c r="AR23" i="30"/>
  <c r="AR83" i="30" s="1"/>
  <c r="AQ23" i="30"/>
  <c r="AQ83" i="30" s="1"/>
  <c r="AP23" i="30"/>
  <c r="AP83" i="30" s="1"/>
  <c r="AO23" i="30"/>
  <c r="AO83" i="30" s="1"/>
  <c r="AN23" i="30"/>
  <c r="AM23" i="30"/>
  <c r="AL23" i="30"/>
  <c r="AK23" i="30"/>
  <c r="AJ23" i="30"/>
  <c r="AI23" i="30"/>
  <c r="AH23" i="30"/>
  <c r="AG23" i="30"/>
  <c r="AB23" i="30"/>
  <c r="AA23" i="30"/>
  <c r="Z23" i="30"/>
  <c r="Y23" i="30"/>
  <c r="X23" i="30"/>
  <c r="BB22" i="30"/>
  <c r="BX22" i="30" s="1"/>
  <c r="P52" i="31" s="1"/>
  <c r="O52" i="31" s="1"/>
  <c r="AM20" i="30"/>
  <c r="AD20" i="30"/>
  <c r="AD83" i="30" s="1"/>
  <c r="AC20" i="30"/>
  <c r="AC83" i="30" s="1"/>
  <c r="AB20" i="30"/>
  <c r="AA20" i="30"/>
  <c r="Z20" i="30"/>
  <c r="Y20" i="30"/>
  <c r="X20" i="30"/>
  <c r="W20" i="30"/>
  <c r="V20" i="30"/>
  <c r="V83" i="30" s="1"/>
  <c r="U20" i="30"/>
  <c r="U83" i="30" s="1"/>
  <c r="T20" i="30"/>
  <c r="T83" i="30" s="1"/>
  <c r="S20" i="30"/>
  <c r="S83" i="30" s="1"/>
  <c r="R20" i="30"/>
  <c r="Q20" i="30"/>
  <c r="Q83" i="30" s="1"/>
  <c r="P20" i="30"/>
  <c r="P83" i="30" s="1"/>
  <c r="O20" i="30"/>
  <c r="O83" i="30" s="1"/>
  <c r="N20" i="30"/>
  <c r="N83" i="30" s="1"/>
  <c r="M20" i="30"/>
  <c r="M83" i="30" s="1"/>
  <c r="L20" i="30"/>
  <c r="L83" i="30" s="1"/>
  <c r="K20" i="30"/>
  <c r="J20" i="30"/>
  <c r="BC19" i="30"/>
  <c r="BB19" i="30"/>
  <c r="BA19" i="30"/>
  <c r="AW19" i="30"/>
  <c r="AU19" i="30"/>
  <c r="R19" i="30"/>
  <c r="P69" i="31"/>
  <c r="O69" i="31" s="1"/>
  <c r="P20" i="31"/>
  <c r="O20" i="31" s="1"/>
  <c r="BE14" i="30"/>
  <c r="BD14" i="30"/>
  <c r="BC14" i="30"/>
  <c r="BB14" i="30"/>
  <c r="BI83" i="30"/>
  <c r="BF13" i="30"/>
  <c r="BE13" i="30"/>
  <c r="P125" i="31"/>
  <c r="O125" i="31" s="1"/>
  <c r="P113" i="31"/>
  <c r="O113" i="31" s="1"/>
  <c r="BD8" i="30"/>
  <c r="BC8" i="30"/>
  <c r="BB8" i="30"/>
  <c r="AW8" i="30"/>
  <c r="AV8" i="30"/>
  <c r="AV83" i="30" s="1"/>
  <c r="AU8" i="30"/>
  <c r="AH8" i="30"/>
  <c r="AG8" i="30"/>
  <c r="R8" i="30"/>
  <c r="BG7" i="30"/>
  <c r="BF7" i="30"/>
  <c r="BE4" i="30"/>
  <c r="BD4" i="30"/>
  <c r="BC4" i="30"/>
  <c r="BB4" i="30"/>
  <c r="BA4" i="30"/>
  <c r="AZ4" i="30"/>
  <c r="AX4" i="30"/>
  <c r="AU4" i="30"/>
  <c r="AB4" i="30"/>
  <c r="R4" i="30"/>
  <c r="BC2" i="30"/>
  <c r="BB2" i="30"/>
  <c r="BG681" i="29"/>
  <c r="BF681" i="29"/>
  <c r="M124" i="31" s="1"/>
  <c r="BA681" i="29"/>
  <c r="AZ681" i="29"/>
  <c r="AY681" i="29"/>
  <c r="AX681" i="29"/>
  <c r="AW681" i="29"/>
  <c r="AV681" i="29"/>
  <c r="AU681" i="29"/>
  <c r="AT681" i="29"/>
  <c r="AS681" i="29"/>
  <c r="AR681" i="29"/>
  <c r="AQ681" i="29"/>
  <c r="AP681" i="29"/>
  <c r="AO681" i="29"/>
  <c r="AN681" i="29"/>
  <c r="AM681" i="29"/>
  <c r="AL681" i="29"/>
  <c r="AK681" i="29"/>
  <c r="AJ681" i="29"/>
  <c r="AI681" i="29"/>
  <c r="AH681" i="29"/>
  <c r="AG681" i="29"/>
  <c r="AF681" i="29"/>
  <c r="AE681" i="29"/>
  <c r="AD681" i="29"/>
  <c r="AC681" i="29"/>
  <c r="AB681" i="29"/>
  <c r="AA681" i="29"/>
  <c r="Z681" i="29"/>
  <c r="Y681" i="29"/>
  <c r="X681" i="29"/>
  <c r="W681" i="29"/>
  <c r="V681" i="29"/>
  <c r="U681" i="29"/>
  <c r="T681" i="29"/>
  <c r="S681" i="29"/>
  <c r="R681" i="29"/>
  <c r="Q681" i="29"/>
  <c r="P681" i="29"/>
  <c r="O681" i="29"/>
  <c r="N681" i="29"/>
  <c r="M681" i="29"/>
  <c r="L681" i="29"/>
  <c r="K681" i="29"/>
  <c r="J681" i="29"/>
  <c r="BH668" i="29"/>
  <c r="BG668" i="29"/>
  <c r="BA668" i="29"/>
  <c r="AZ668" i="29"/>
  <c r="AY668" i="29"/>
  <c r="AX668" i="29"/>
  <c r="AW668" i="29"/>
  <c r="AV668" i="29"/>
  <c r="AU668" i="29"/>
  <c r="AT668" i="29"/>
  <c r="AS668" i="29"/>
  <c r="AR668" i="29"/>
  <c r="AQ668" i="29"/>
  <c r="AP668" i="29"/>
  <c r="AO668" i="29"/>
  <c r="AN668" i="29"/>
  <c r="AM668" i="29"/>
  <c r="AL668" i="29"/>
  <c r="AK668" i="29"/>
  <c r="AJ668" i="29"/>
  <c r="AI668" i="29"/>
  <c r="AH668" i="29"/>
  <c r="AG668" i="29"/>
  <c r="AF668" i="29"/>
  <c r="AE668" i="29"/>
  <c r="AD668" i="29"/>
  <c r="AC668" i="29"/>
  <c r="AB668" i="29"/>
  <c r="AA668" i="29"/>
  <c r="Z668" i="29"/>
  <c r="Y668" i="29"/>
  <c r="X668" i="29"/>
  <c r="W668" i="29"/>
  <c r="V668" i="29"/>
  <c r="U668" i="29"/>
  <c r="T668" i="29"/>
  <c r="S668" i="29"/>
  <c r="R668" i="29"/>
  <c r="Q668" i="29"/>
  <c r="P668" i="29"/>
  <c r="O668" i="29"/>
  <c r="N668" i="29"/>
  <c r="M668" i="29"/>
  <c r="L668" i="29"/>
  <c r="K668" i="29"/>
  <c r="J668" i="29"/>
  <c r="BF664" i="29"/>
  <c r="BF668" i="29" s="1"/>
  <c r="M112" i="31" s="1"/>
  <c r="BA655" i="29"/>
  <c r="AZ655" i="29"/>
  <c r="AY655" i="29"/>
  <c r="AX655" i="29"/>
  <c r="AW655" i="29"/>
  <c r="AV655" i="29"/>
  <c r="AU655" i="29"/>
  <c r="AT655" i="29"/>
  <c r="AS655" i="29"/>
  <c r="AR655" i="29"/>
  <c r="AQ655" i="29"/>
  <c r="AP655" i="29"/>
  <c r="AO655" i="29"/>
  <c r="AN655" i="29"/>
  <c r="AM655" i="29"/>
  <c r="AL655" i="29"/>
  <c r="AK655" i="29"/>
  <c r="AJ655" i="29"/>
  <c r="AI655" i="29"/>
  <c r="AH655" i="29"/>
  <c r="AG655" i="29"/>
  <c r="AF655" i="29"/>
  <c r="AE655" i="29"/>
  <c r="AD655" i="29"/>
  <c r="AC655" i="29"/>
  <c r="AB655" i="29"/>
  <c r="AA655" i="29"/>
  <c r="Z655" i="29"/>
  <c r="Y655" i="29"/>
  <c r="X655" i="29"/>
  <c r="W655" i="29"/>
  <c r="V655" i="29"/>
  <c r="U655" i="29"/>
  <c r="T655" i="29"/>
  <c r="S655" i="29"/>
  <c r="R655" i="29"/>
  <c r="Q655" i="29"/>
  <c r="P655" i="29"/>
  <c r="O655" i="29"/>
  <c r="N655" i="29"/>
  <c r="M655" i="29"/>
  <c r="L655" i="29"/>
  <c r="K655" i="29"/>
  <c r="J655" i="29"/>
  <c r="BF647" i="29"/>
  <c r="BF655" i="29" s="1"/>
  <c r="BA642" i="29"/>
  <c r="AZ642" i="29"/>
  <c r="AY642" i="29"/>
  <c r="AX642" i="29"/>
  <c r="AW642" i="29"/>
  <c r="AV642" i="29"/>
  <c r="AU642" i="29"/>
  <c r="AT642" i="29"/>
  <c r="AS642" i="29"/>
  <c r="AR642" i="29"/>
  <c r="AQ642" i="29"/>
  <c r="AP642" i="29"/>
  <c r="AO642" i="29"/>
  <c r="AN642" i="29"/>
  <c r="AM642" i="29"/>
  <c r="AL642" i="29"/>
  <c r="AK642" i="29"/>
  <c r="AJ642" i="29"/>
  <c r="AI642" i="29"/>
  <c r="AH642" i="29"/>
  <c r="AG642" i="29"/>
  <c r="AF642" i="29"/>
  <c r="AE642" i="29"/>
  <c r="AD642" i="29"/>
  <c r="AC642" i="29"/>
  <c r="AB642" i="29"/>
  <c r="AA642" i="29"/>
  <c r="Z642" i="29"/>
  <c r="N44" i="31" s="1"/>
  <c r="Q642" i="29"/>
  <c r="P642" i="29"/>
  <c r="O642" i="29"/>
  <c r="N642" i="29"/>
  <c r="M44" i="31" s="1"/>
  <c r="M642" i="29"/>
  <c r="L642" i="29"/>
  <c r="K642" i="29"/>
  <c r="J642" i="29"/>
  <c r="Y641" i="29"/>
  <c r="Y642" i="29" s="1"/>
  <c r="X641" i="29"/>
  <c r="X642" i="29" s="1"/>
  <c r="W641" i="29"/>
  <c r="W642" i="29" s="1"/>
  <c r="V641" i="29"/>
  <c r="V642" i="29" s="1"/>
  <c r="U641" i="29"/>
  <c r="U642" i="29" s="1"/>
  <c r="T641" i="29"/>
  <c r="T642" i="29" s="1"/>
  <c r="S641" i="29"/>
  <c r="S642" i="29" s="1"/>
  <c r="R641" i="29"/>
  <c r="R642" i="29" s="1"/>
  <c r="BD630" i="29"/>
  <c r="BC630" i="29"/>
  <c r="BB630" i="29"/>
  <c r="BA630" i="29"/>
  <c r="AZ630" i="29"/>
  <c r="AY630" i="29"/>
  <c r="AX630" i="29"/>
  <c r="M123" i="31" s="1"/>
  <c r="AV630" i="29"/>
  <c r="AU630" i="29"/>
  <c r="AT630" i="29"/>
  <c r="AS630" i="29"/>
  <c r="AR630" i="29"/>
  <c r="AQ630" i="29"/>
  <c r="AP630" i="29"/>
  <c r="AO630" i="29"/>
  <c r="AN630" i="29"/>
  <c r="AM630" i="29"/>
  <c r="AL630" i="29"/>
  <c r="AK630" i="29"/>
  <c r="AJ630" i="29"/>
  <c r="AI630" i="29"/>
  <c r="AH630" i="29"/>
  <c r="AG630" i="29"/>
  <c r="AF630" i="29"/>
  <c r="AE630" i="29"/>
  <c r="AD630" i="29"/>
  <c r="AC630" i="29"/>
  <c r="AB630" i="29"/>
  <c r="AA630" i="29"/>
  <c r="Z630" i="29"/>
  <c r="Y630" i="29"/>
  <c r="X630" i="29"/>
  <c r="W630" i="29"/>
  <c r="V630" i="29"/>
  <c r="U630" i="29"/>
  <c r="T630" i="29"/>
  <c r="S630" i="29"/>
  <c r="R630" i="29"/>
  <c r="Q630" i="29"/>
  <c r="P630" i="29"/>
  <c r="O630" i="29"/>
  <c r="N630" i="29"/>
  <c r="M630" i="29"/>
  <c r="L630" i="29"/>
  <c r="K630" i="29"/>
  <c r="J630" i="29"/>
  <c r="AW629" i="29"/>
  <c r="BD617" i="29"/>
  <c r="BC617" i="29"/>
  <c r="BB617" i="29"/>
  <c r="BA617" i="29"/>
  <c r="AZ617" i="29"/>
  <c r="AX617" i="29"/>
  <c r="M122" i="31" s="1"/>
  <c r="AV617" i="29"/>
  <c r="AU617" i="29"/>
  <c r="AT617" i="29"/>
  <c r="AS617" i="29"/>
  <c r="AR617" i="29"/>
  <c r="AQ617" i="29"/>
  <c r="AP617" i="29"/>
  <c r="AO617" i="29"/>
  <c r="AN617" i="29"/>
  <c r="AM617" i="29"/>
  <c r="AL617" i="29"/>
  <c r="AK617" i="29"/>
  <c r="AJ617" i="29"/>
  <c r="AI617" i="29"/>
  <c r="AH617" i="29"/>
  <c r="AG617" i="29"/>
  <c r="AF617" i="29"/>
  <c r="AE617" i="29"/>
  <c r="AD617" i="29"/>
  <c r="AC617" i="29"/>
  <c r="AB617" i="29"/>
  <c r="AA617" i="29"/>
  <c r="Z617" i="29"/>
  <c r="Y617" i="29"/>
  <c r="X617" i="29"/>
  <c r="W617" i="29"/>
  <c r="V617" i="29"/>
  <c r="U617" i="29"/>
  <c r="T617" i="29"/>
  <c r="S617" i="29"/>
  <c r="R617" i="29"/>
  <c r="Q617" i="29"/>
  <c r="P617" i="29"/>
  <c r="O617" i="29"/>
  <c r="N617" i="29"/>
  <c r="M617" i="29"/>
  <c r="L617" i="29"/>
  <c r="K617" i="29"/>
  <c r="J617" i="29"/>
  <c r="AW616" i="29"/>
  <c r="AW617" i="29" s="1"/>
  <c r="AY614" i="29"/>
  <c r="AY617" i="29" s="1"/>
  <c r="N122" i="31" s="1"/>
  <c r="BC604" i="29"/>
  <c r="BB604" i="29"/>
  <c r="M111" i="31" s="1"/>
  <c r="BA604" i="29"/>
  <c r="AZ604" i="29"/>
  <c r="AY604" i="29"/>
  <c r="AX604" i="29"/>
  <c r="AW604" i="29"/>
  <c r="AV604" i="29"/>
  <c r="AU604" i="29"/>
  <c r="AT604" i="29"/>
  <c r="AS604" i="29"/>
  <c r="AR604" i="29"/>
  <c r="AQ604" i="29"/>
  <c r="AP604" i="29"/>
  <c r="AO604" i="29"/>
  <c r="AN604" i="29"/>
  <c r="AM604" i="29"/>
  <c r="AL604" i="29"/>
  <c r="AK604" i="29"/>
  <c r="AJ604" i="29"/>
  <c r="AI604" i="29"/>
  <c r="AH604" i="29"/>
  <c r="AG604" i="29"/>
  <c r="AF604" i="29"/>
  <c r="AE604" i="29"/>
  <c r="AD604" i="29"/>
  <c r="AC604" i="29"/>
  <c r="AB604" i="29"/>
  <c r="AA604" i="29"/>
  <c r="Z604" i="29"/>
  <c r="Y604" i="29"/>
  <c r="X604" i="29"/>
  <c r="W604" i="29"/>
  <c r="V604" i="29"/>
  <c r="U604" i="29"/>
  <c r="T604" i="29"/>
  <c r="S604" i="29"/>
  <c r="R604" i="29"/>
  <c r="Q604" i="29"/>
  <c r="P604" i="29"/>
  <c r="O604" i="29"/>
  <c r="N604" i="29"/>
  <c r="M604" i="29"/>
  <c r="L604" i="29"/>
  <c r="K604" i="29"/>
  <c r="J604" i="29"/>
  <c r="BD600" i="29"/>
  <c r="BD604" i="29" s="1"/>
  <c r="N111" i="31" s="1"/>
  <c r="BI591" i="29"/>
  <c r="BH591" i="29"/>
  <c r="BG591" i="29"/>
  <c r="BE591" i="29"/>
  <c r="BD591" i="29"/>
  <c r="BC591" i="29"/>
  <c r="BA591" i="29"/>
  <c r="AZ591" i="29"/>
  <c r="AY591" i="29"/>
  <c r="AX591" i="29"/>
  <c r="M22" i="31" s="1"/>
  <c r="AW591" i="29"/>
  <c r="AV591" i="29"/>
  <c r="AU591" i="29"/>
  <c r="AT591" i="29"/>
  <c r="AS591" i="29"/>
  <c r="AR591" i="29"/>
  <c r="AQ591" i="29"/>
  <c r="AP591" i="29"/>
  <c r="AO591" i="29"/>
  <c r="AN591" i="29"/>
  <c r="AM591" i="29"/>
  <c r="AL591" i="29"/>
  <c r="AK591" i="29"/>
  <c r="AJ591" i="29"/>
  <c r="AI591" i="29"/>
  <c r="AH591" i="29"/>
  <c r="AG591" i="29"/>
  <c r="AF591" i="29"/>
  <c r="AE591" i="29"/>
  <c r="AD591" i="29"/>
  <c r="AC591" i="29"/>
  <c r="AB591" i="29"/>
  <c r="AA591" i="29"/>
  <c r="Z591" i="29"/>
  <c r="Y591" i="29"/>
  <c r="X591" i="29"/>
  <c r="W591" i="29"/>
  <c r="V591" i="29"/>
  <c r="U591" i="29"/>
  <c r="T591" i="29"/>
  <c r="S591" i="29"/>
  <c r="R591" i="29"/>
  <c r="Q591" i="29"/>
  <c r="P591" i="29"/>
  <c r="O591" i="29"/>
  <c r="N591" i="29"/>
  <c r="M591" i="29"/>
  <c r="L591" i="29"/>
  <c r="K591" i="29"/>
  <c r="J591" i="29"/>
  <c r="BF583" i="29"/>
  <c r="BF591" i="29" s="1"/>
  <c r="BB583" i="29"/>
  <c r="BB591" i="29" s="1"/>
  <c r="BI578" i="29"/>
  <c r="N78" i="31" s="1"/>
  <c r="BH578" i="29"/>
  <c r="BG578" i="29"/>
  <c r="BE578" i="29"/>
  <c r="BD578" i="29"/>
  <c r="BC578" i="29"/>
  <c r="M78" i="31" s="1"/>
  <c r="BB578" i="29"/>
  <c r="BA578" i="29"/>
  <c r="AZ578" i="29"/>
  <c r="AY578" i="29"/>
  <c r="AX578" i="29"/>
  <c r="AW578" i="29"/>
  <c r="AV578" i="29"/>
  <c r="AU578" i="29"/>
  <c r="AT578" i="29"/>
  <c r="AS578" i="29"/>
  <c r="AR578" i="29"/>
  <c r="AQ578" i="29"/>
  <c r="AP578" i="29"/>
  <c r="AO578" i="29"/>
  <c r="AN578" i="29"/>
  <c r="AM578" i="29"/>
  <c r="AL578" i="29"/>
  <c r="AK578" i="29"/>
  <c r="AJ578" i="29"/>
  <c r="AI578" i="29"/>
  <c r="AH578" i="29"/>
  <c r="AG578" i="29"/>
  <c r="AF578" i="29"/>
  <c r="AE578" i="29"/>
  <c r="AD578" i="29"/>
  <c r="AC578" i="29"/>
  <c r="AB578" i="29"/>
  <c r="AA578" i="29"/>
  <c r="Z578" i="29"/>
  <c r="Y578" i="29"/>
  <c r="X578" i="29"/>
  <c r="W578" i="29"/>
  <c r="V578" i="29"/>
  <c r="U578" i="29"/>
  <c r="T578" i="29"/>
  <c r="S578" i="29"/>
  <c r="R578" i="29"/>
  <c r="Q578" i="29"/>
  <c r="P578" i="29"/>
  <c r="O578" i="29"/>
  <c r="N578" i="29"/>
  <c r="M578" i="29"/>
  <c r="L578" i="29"/>
  <c r="K578" i="29"/>
  <c r="J578" i="29"/>
  <c r="BF569" i="29"/>
  <c r="BF578" i="29" s="1"/>
  <c r="BI564" i="29"/>
  <c r="BH564" i="29"/>
  <c r="BG564" i="29"/>
  <c r="BX564" i="29" s="1"/>
  <c r="BE564" i="29"/>
  <c r="BD564" i="29"/>
  <c r="BC564" i="29"/>
  <c r="BB564" i="29"/>
  <c r="BA564" i="29"/>
  <c r="AZ564" i="29"/>
  <c r="AY564" i="29"/>
  <c r="AX564" i="29"/>
  <c r="AW564" i="29"/>
  <c r="AV564" i="29"/>
  <c r="AU564" i="29"/>
  <c r="AT564" i="29"/>
  <c r="AS564" i="29"/>
  <c r="AR564" i="29"/>
  <c r="AQ564" i="29"/>
  <c r="AP564" i="29"/>
  <c r="AO564" i="29"/>
  <c r="AN564" i="29"/>
  <c r="AM564" i="29"/>
  <c r="AL564" i="29"/>
  <c r="AK564" i="29"/>
  <c r="AJ564" i="29"/>
  <c r="AI564" i="29"/>
  <c r="AH564" i="29"/>
  <c r="AG564" i="29"/>
  <c r="AF564" i="29"/>
  <c r="AE564" i="29"/>
  <c r="AD564" i="29"/>
  <c r="AC564" i="29"/>
  <c r="AB564" i="29"/>
  <c r="AA564" i="29"/>
  <c r="Z564" i="29"/>
  <c r="Y564" i="29"/>
  <c r="X564" i="29"/>
  <c r="W564" i="29"/>
  <c r="V564" i="29"/>
  <c r="U564" i="29"/>
  <c r="T564" i="29"/>
  <c r="S564" i="29"/>
  <c r="R564" i="29"/>
  <c r="Q564" i="29"/>
  <c r="P564" i="29"/>
  <c r="O564" i="29"/>
  <c r="N564" i="29"/>
  <c r="M564" i="29"/>
  <c r="L564" i="29"/>
  <c r="K564" i="29"/>
  <c r="J564" i="29"/>
  <c r="BF556" i="29"/>
  <c r="BF564" i="29" s="1"/>
  <c r="BG551" i="29"/>
  <c r="N47" i="31" s="1"/>
  <c r="BF551" i="29"/>
  <c r="BE551" i="29"/>
  <c r="BD551" i="29"/>
  <c r="BC551" i="29"/>
  <c r="BB551" i="29"/>
  <c r="BA551" i="29"/>
  <c r="AZ551" i="29"/>
  <c r="AY551" i="29"/>
  <c r="AX551" i="29"/>
  <c r="AW551" i="29"/>
  <c r="AV551" i="29"/>
  <c r="M47" i="31" s="1"/>
  <c r="AU551" i="29"/>
  <c r="AT551" i="29"/>
  <c r="AS551" i="29"/>
  <c r="AR551" i="29"/>
  <c r="AQ551" i="29"/>
  <c r="AP551" i="29"/>
  <c r="AO551" i="29"/>
  <c r="AN551" i="29"/>
  <c r="AM551" i="29"/>
  <c r="AL551" i="29"/>
  <c r="AK551" i="29"/>
  <c r="AJ551" i="29"/>
  <c r="AI551" i="29"/>
  <c r="AH551" i="29"/>
  <c r="AG551" i="29"/>
  <c r="AF551" i="29"/>
  <c r="AE551" i="29"/>
  <c r="AD551" i="29"/>
  <c r="AC551" i="29"/>
  <c r="AB551" i="29"/>
  <c r="AA551" i="29"/>
  <c r="Z551" i="29"/>
  <c r="Y551" i="29"/>
  <c r="X551" i="29"/>
  <c r="W551" i="29"/>
  <c r="V551" i="29"/>
  <c r="U551" i="29"/>
  <c r="T551" i="29"/>
  <c r="S551" i="29"/>
  <c r="R551" i="29"/>
  <c r="Q551" i="29"/>
  <c r="P551" i="29"/>
  <c r="O551" i="29"/>
  <c r="N551" i="29"/>
  <c r="M551" i="29"/>
  <c r="L551" i="29"/>
  <c r="K551" i="29"/>
  <c r="J551" i="29"/>
  <c r="BD538" i="29"/>
  <c r="BC538" i="29"/>
  <c r="BB538" i="29"/>
  <c r="BA538" i="29"/>
  <c r="AZ538" i="29"/>
  <c r="AY538" i="29"/>
  <c r="AX538" i="29"/>
  <c r="AW538" i="29"/>
  <c r="AV538" i="29"/>
  <c r="AU538" i="29"/>
  <c r="AT538" i="29"/>
  <c r="AS538" i="29"/>
  <c r="AR538" i="29"/>
  <c r="AQ538" i="29"/>
  <c r="AP538" i="29"/>
  <c r="AO538" i="29"/>
  <c r="AN538" i="29"/>
  <c r="N12" i="31" s="1"/>
  <c r="AK538" i="29"/>
  <c r="AI538" i="29"/>
  <c r="AH538" i="29"/>
  <c r="AG538" i="29"/>
  <c r="AF538" i="29"/>
  <c r="AE538" i="29"/>
  <c r="W538" i="29"/>
  <c r="V538" i="29"/>
  <c r="U538" i="29"/>
  <c r="T538" i="29"/>
  <c r="S538" i="29"/>
  <c r="P538" i="29"/>
  <c r="O538" i="29"/>
  <c r="N538" i="29"/>
  <c r="M538" i="29"/>
  <c r="K538" i="29"/>
  <c r="M12" i="31" s="1"/>
  <c r="J538" i="29"/>
  <c r="AD537" i="29"/>
  <c r="AD538" i="29" s="1"/>
  <c r="AC537" i="29"/>
  <c r="AC538" i="29" s="1"/>
  <c r="AB537" i="29"/>
  <c r="AB538" i="29" s="1"/>
  <c r="AA537" i="29"/>
  <c r="AA538" i="29" s="1"/>
  <c r="Z537" i="29"/>
  <c r="Z538" i="29" s="1"/>
  <c r="Y537" i="29"/>
  <c r="Y538" i="29" s="1"/>
  <c r="X537" i="29"/>
  <c r="X538" i="29" s="1"/>
  <c r="L537" i="29"/>
  <c r="L538" i="29" s="1"/>
  <c r="AM533" i="29"/>
  <c r="AM538" i="29" s="1"/>
  <c r="AL533" i="29"/>
  <c r="AL538" i="29" s="1"/>
  <c r="AJ530" i="29"/>
  <c r="AJ538" i="29" s="1"/>
  <c r="R527" i="29"/>
  <c r="R538" i="29" s="1"/>
  <c r="Q527" i="29"/>
  <c r="Q538" i="29" s="1"/>
  <c r="BI524" i="29"/>
  <c r="BH524" i="29"/>
  <c r="BG524" i="29"/>
  <c r="BD524" i="29"/>
  <c r="BC524" i="29"/>
  <c r="BB524" i="29"/>
  <c r="BA524" i="29"/>
  <c r="AZ524" i="29"/>
  <c r="AY524" i="29"/>
  <c r="AX524" i="29"/>
  <c r="AW524" i="29"/>
  <c r="AV524" i="29"/>
  <c r="AU524" i="29"/>
  <c r="AT524" i="29"/>
  <c r="AS524" i="29"/>
  <c r="AR524" i="29"/>
  <c r="AQ524" i="29"/>
  <c r="AP524" i="29"/>
  <c r="AO524" i="29"/>
  <c r="AN524" i="29"/>
  <c r="AM524" i="29"/>
  <c r="AL524" i="29"/>
  <c r="AK524" i="29"/>
  <c r="AG524" i="29"/>
  <c r="AF524" i="29"/>
  <c r="AE524" i="29"/>
  <c r="AD524" i="29"/>
  <c r="AC524" i="29"/>
  <c r="AB524" i="29"/>
  <c r="AA524" i="29"/>
  <c r="Z524" i="29"/>
  <c r="Y524" i="29"/>
  <c r="X524" i="29"/>
  <c r="W524" i="29"/>
  <c r="V524" i="29"/>
  <c r="U524" i="29"/>
  <c r="T524" i="29"/>
  <c r="S524" i="29"/>
  <c r="R524" i="29"/>
  <c r="Q524" i="29"/>
  <c r="P524" i="29"/>
  <c r="O524" i="29"/>
  <c r="N524" i="29"/>
  <c r="M524" i="29"/>
  <c r="L524" i="29"/>
  <c r="K524" i="29"/>
  <c r="J524" i="29"/>
  <c r="BD511" i="29"/>
  <c r="BC511" i="29"/>
  <c r="BB511" i="29"/>
  <c r="BA511" i="29"/>
  <c r="AZ511" i="29"/>
  <c r="AY511" i="29"/>
  <c r="AX511" i="29"/>
  <c r="AW511" i="29"/>
  <c r="AV511" i="29"/>
  <c r="AU511" i="29"/>
  <c r="AT511" i="29"/>
  <c r="AS511" i="29"/>
  <c r="AR511" i="29"/>
  <c r="AQ511" i="29"/>
  <c r="AP511" i="29"/>
  <c r="AO511" i="29"/>
  <c r="AN511" i="29"/>
  <c r="AM511" i="29"/>
  <c r="AL511" i="29"/>
  <c r="AK511" i="29"/>
  <c r="AH511" i="29"/>
  <c r="AG511" i="29"/>
  <c r="AF511" i="29"/>
  <c r="AE511" i="29"/>
  <c r="AD511" i="29"/>
  <c r="AC511" i="29"/>
  <c r="AB511" i="29"/>
  <c r="AA511" i="29"/>
  <c r="Z511" i="29"/>
  <c r="Y511" i="29"/>
  <c r="X511" i="29"/>
  <c r="W511" i="29"/>
  <c r="V511" i="29"/>
  <c r="U511" i="29"/>
  <c r="T511" i="29"/>
  <c r="S511" i="29"/>
  <c r="R511" i="29"/>
  <c r="Q511" i="29"/>
  <c r="P511" i="29"/>
  <c r="O511" i="29"/>
  <c r="N511" i="29"/>
  <c r="M511" i="29"/>
  <c r="L511" i="29"/>
  <c r="K511" i="29"/>
  <c r="J511" i="29"/>
  <c r="AJ508" i="29"/>
  <c r="AJ511" i="29" s="1"/>
  <c r="N121" i="31" s="1"/>
  <c r="AI507" i="29"/>
  <c r="AI511" i="29" s="1"/>
  <c r="M121" i="31" s="1"/>
  <c r="BH498" i="29"/>
  <c r="BG498" i="29"/>
  <c r="BE498" i="29"/>
  <c r="BD498" i="29"/>
  <c r="BC498" i="29"/>
  <c r="BB498" i="29"/>
  <c r="BA498" i="29"/>
  <c r="AZ498" i="29"/>
  <c r="AY498" i="29"/>
  <c r="AX498" i="29"/>
  <c r="AW498" i="29"/>
  <c r="AV498" i="29"/>
  <c r="AU498" i="29"/>
  <c r="AT498" i="29"/>
  <c r="AS498" i="29"/>
  <c r="AR498" i="29"/>
  <c r="AQ498" i="29"/>
  <c r="AP498" i="29"/>
  <c r="AO498" i="29"/>
  <c r="AN498" i="29"/>
  <c r="AM498" i="29"/>
  <c r="AL498" i="29"/>
  <c r="AK498" i="29"/>
  <c r="AJ498" i="29"/>
  <c r="AI498" i="29"/>
  <c r="AH498" i="29"/>
  <c r="AG498" i="29"/>
  <c r="AF498" i="29"/>
  <c r="AE498" i="29"/>
  <c r="AD498" i="29"/>
  <c r="AC498" i="29"/>
  <c r="AB498" i="29"/>
  <c r="AA498" i="29"/>
  <c r="Z498" i="29"/>
  <c r="Y498" i="29"/>
  <c r="X498" i="29"/>
  <c r="W498" i="29"/>
  <c r="V498" i="29"/>
  <c r="U498" i="29"/>
  <c r="T498" i="29"/>
  <c r="S498" i="29"/>
  <c r="R498" i="29"/>
  <c r="Q498" i="29"/>
  <c r="P498" i="29"/>
  <c r="O498" i="29"/>
  <c r="N498" i="29"/>
  <c r="M498" i="29"/>
  <c r="L498" i="29"/>
  <c r="K498" i="29"/>
  <c r="J498" i="29"/>
  <c r="BF490" i="29"/>
  <c r="BF498" i="29" s="1"/>
  <c r="BD485" i="29"/>
  <c r="BC485" i="29"/>
  <c r="BB485" i="29"/>
  <c r="BA485" i="29"/>
  <c r="AZ485" i="29"/>
  <c r="AY485" i="29"/>
  <c r="AX485" i="29"/>
  <c r="AW485" i="29"/>
  <c r="AV485" i="29"/>
  <c r="AU485" i="29"/>
  <c r="AT485" i="29"/>
  <c r="N35" i="31" s="1"/>
  <c r="AR485" i="29"/>
  <c r="AO485" i="29"/>
  <c r="AN485" i="29"/>
  <c r="AM485" i="29"/>
  <c r="AK485" i="29"/>
  <c r="AJ485" i="29"/>
  <c r="AI485" i="29"/>
  <c r="AG485" i="29"/>
  <c r="AF485" i="29"/>
  <c r="AE485" i="29"/>
  <c r="M35" i="31" s="1"/>
  <c r="AD485" i="29"/>
  <c r="AC485" i="29"/>
  <c r="AB485" i="29"/>
  <c r="AA485" i="29"/>
  <c r="Z485" i="29"/>
  <c r="Y485" i="29"/>
  <c r="X485" i="29"/>
  <c r="W485" i="29"/>
  <c r="V485" i="29"/>
  <c r="U485" i="29"/>
  <c r="T485" i="29"/>
  <c r="S485" i="29"/>
  <c r="R485" i="29"/>
  <c r="Q485" i="29"/>
  <c r="P485" i="29"/>
  <c r="O485" i="29"/>
  <c r="N485" i="29"/>
  <c r="M485" i="29"/>
  <c r="L485" i="29"/>
  <c r="K485" i="29"/>
  <c r="J485" i="29"/>
  <c r="AS484" i="29"/>
  <c r="AS485" i="29" s="1"/>
  <c r="AL477" i="29"/>
  <c r="AL485" i="29" s="1"/>
  <c r="AH477" i="29"/>
  <c r="AH485" i="29" s="1"/>
  <c r="AQ475" i="29"/>
  <c r="AQ485" i="29" s="1"/>
  <c r="AP475" i="29"/>
  <c r="AP485" i="29" s="1"/>
  <c r="BD472" i="29"/>
  <c r="BC472" i="29"/>
  <c r="BB472" i="29"/>
  <c r="N77" i="31" s="1"/>
  <c r="BA472" i="29"/>
  <c r="AZ472" i="29"/>
  <c r="AY472" i="29"/>
  <c r="AX472" i="29"/>
  <c r="AW472" i="29"/>
  <c r="M77" i="31" s="1"/>
  <c r="AU472" i="29"/>
  <c r="AT472" i="29"/>
  <c r="AS472" i="29"/>
  <c r="AR472" i="29"/>
  <c r="AQ472" i="29"/>
  <c r="AP472" i="29"/>
  <c r="AO472" i="29"/>
  <c r="AN472" i="29"/>
  <c r="AM472" i="29"/>
  <c r="AL472" i="29"/>
  <c r="AK472" i="29"/>
  <c r="AJ472" i="29"/>
  <c r="AI472" i="29"/>
  <c r="AH472" i="29"/>
  <c r="AG472" i="29"/>
  <c r="AF472" i="29"/>
  <c r="AE472" i="29"/>
  <c r="AD472" i="29"/>
  <c r="AC472" i="29"/>
  <c r="AB472" i="29"/>
  <c r="AA472" i="29"/>
  <c r="Z472" i="29"/>
  <c r="Y472" i="29"/>
  <c r="X472" i="29"/>
  <c r="W472" i="29"/>
  <c r="V472" i="29"/>
  <c r="U472" i="29"/>
  <c r="T472" i="29"/>
  <c r="S472" i="29"/>
  <c r="R472" i="29"/>
  <c r="Q472" i="29"/>
  <c r="P472" i="29"/>
  <c r="O472" i="29"/>
  <c r="N472" i="29"/>
  <c r="M472" i="29"/>
  <c r="L472" i="29"/>
  <c r="K472" i="29"/>
  <c r="J472" i="29"/>
  <c r="AV468" i="29"/>
  <c r="AV472" i="29" s="1"/>
  <c r="BD459" i="29"/>
  <c r="BC459" i="29"/>
  <c r="BB459" i="29"/>
  <c r="N49" i="31" s="1"/>
  <c r="BA459" i="29"/>
  <c r="AZ459" i="29"/>
  <c r="AY459" i="29"/>
  <c r="AX459" i="29"/>
  <c r="AW459" i="29"/>
  <c r="AU459" i="29"/>
  <c r="AT459" i="29"/>
  <c r="AS459" i="29"/>
  <c r="M49" i="31" s="1"/>
  <c r="AQ459" i="29"/>
  <c r="AP459" i="29"/>
  <c r="AO459" i="29"/>
  <c r="AN459" i="29"/>
  <c r="AM459" i="29"/>
  <c r="AL459" i="29"/>
  <c r="AK459" i="29"/>
  <c r="AJ459" i="29"/>
  <c r="AI459" i="29"/>
  <c r="AH459" i="29"/>
  <c r="AG459" i="29"/>
  <c r="AF459" i="29"/>
  <c r="AE459" i="29"/>
  <c r="AD459" i="29"/>
  <c r="AC459" i="29"/>
  <c r="AB459" i="29"/>
  <c r="AA459" i="29"/>
  <c r="Z459" i="29"/>
  <c r="Y459" i="29"/>
  <c r="X459" i="29"/>
  <c r="W459" i="29"/>
  <c r="V459" i="29"/>
  <c r="U459" i="29"/>
  <c r="T459" i="29"/>
  <c r="S459" i="29"/>
  <c r="R459" i="29"/>
  <c r="Q459" i="29"/>
  <c r="P459" i="29"/>
  <c r="O459" i="29"/>
  <c r="N459" i="29"/>
  <c r="M459" i="29"/>
  <c r="L459" i="29"/>
  <c r="K459" i="29"/>
  <c r="J459" i="29"/>
  <c r="AV455" i="29"/>
  <c r="AV459" i="29" s="1"/>
  <c r="AR455" i="29"/>
  <c r="AR459" i="29" s="1"/>
  <c r="BD433" i="29"/>
  <c r="BC433" i="29"/>
  <c r="BB433" i="29"/>
  <c r="BA433" i="29"/>
  <c r="AZ433" i="29"/>
  <c r="AY433" i="29"/>
  <c r="AX433" i="29"/>
  <c r="AW433" i="29"/>
  <c r="N120" i="31" s="1"/>
  <c r="AV433" i="29"/>
  <c r="M120" i="31" s="1"/>
  <c r="AU433" i="29"/>
  <c r="AT433" i="29"/>
  <c r="AS433" i="29"/>
  <c r="AR433" i="29"/>
  <c r="AQ433" i="29"/>
  <c r="AP433" i="29"/>
  <c r="AO433" i="29"/>
  <c r="AN433" i="29"/>
  <c r="AM433" i="29"/>
  <c r="AL433" i="29"/>
  <c r="AK433" i="29"/>
  <c r="AJ433" i="29"/>
  <c r="AI433" i="29"/>
  <c r="AH433" i="29"/>
  <c r="AG433" i="29"/>
  <c r="AF433" i="29"/>
  <c r="AE433" i="29"/>
  <c r="AD433" i="29"/>
  <c r="AC433" i="29"/>
  <c r="AB433" i="29"/>
  <c r="AA433" i="29"/>
  <c r="Z433" i="29"/>
  <c r="Y433" i="29"/>
  <c r="X433" i="29"/>
  <c r="W433" i="29"/>
  <c r="V433" i="29"/>
  <c r="U433" i="29"/>
  <c r="T433" i="29"/>
  <c r="S433" i="29"/>
  <c r="R433" i="29"/>
  <c r="Q433" i="29"/>
  <c r="P433" i="29"/>
  <c r="O433" i="29"/>
  <c r="N433" i="29"/>
  <c r="M433" i="29"/>
  <c r="L433" i="29"/>
  <c r="K433" i="29"/>
  <c r="J433" i="29"/>
  <c r="BD420" i="29"/>
  <c r="BC420" i="29"/>
  <c r="BB420" i="29"/>
  <c r="BA420" i="29"/>
  <c r="AZ420" i="29"/>
  <c r="AY420" i="29"/>
  <c r="AW420" i="29"/>
  <c r="M119" i="31" s="1"/>
  <c r="AV420" i="29"/>
  <c r="AU420" i="29"/>
  <c r="AT420" i="29"/>
  <c r="AS420" i="29"/>
  <c r="AR420" i="29"/>
  <c r="AQ420" i="29"/>
  <c r="AP420" i="29"/>
  <c r="AO420" i="29"/>
  <c r="AN420" i="29"/>
  <c r="AM420" i="29"/>
  <c r="AL420" i="29"/>
  <c r="AK420" i="29"/>
  <c r="AJ420" i="29"/>
  <c r="AI420" i="29"/>
  <c r="AH420" i="29"/>
  <c r="AG420" i="29"/>
  <c r="AF420" i="29"/>
  <c r="AE420" i="29"/>
  <c r="AD420" i="29"/>
  <c r="AC420" i="29"/>
  <c r="AB420" i="29"/>
  <c r="AA420" i="29"/>
  <c r="Z420" i="29"/>
  <c r="Y420" i="29"/>
  <c r="X420" i="29"/>
  <c r="W420" i="29"/>
  <c r="V420" i="29"/>
  <c r="U420" i="29"/>
  <c r="T420" i="29"/>
  <c r="S420" i="29"/>
  <c r="R420" i="29"/>
  <c r="Q420" i="29"/>
  <c r="P420" i="29"/>
  <c r="O420" i="29"/>
  <c r="N420" i="29"/>
  <c r="M420" i="29"/>
  <c r="L420" i="29"/>
  <c r="K420" i="29"/>
  <c r="J420" i="29"/>
  <c r="AX417" i="29"/>
  <c r="AX420" i="29" s="1"/>
  <c r="N119" i="31" s="1"/>
  <c r="BG407" i="29"/>
  <c r="N59" i="31" s="1"/>
  <c r="BF407" i="29"/>
  <c r="BE407" i="29"/>
  <c r="BD407" i="29"/>
  <c r="BC407" i="29"/>
  <c r="BB407" i="29"/>
  <c r="BA407" i="29"/>
  <c r="AZ407" i="29"/>
  <c r="M59" i="31" s="1"/>
  <c r="AY407" i="29"/>
  <c r="AX407" i="29"/>
  <c r="AW407" i="29"/>
  <c r="AV407" i="29"/>
  <c r="AU407" i="29"/>
  <c r="AT407" i="29"/>
  <c r="AS407" i="29"/>
  <c r="AR407" i="29"/>
  <c r="AQ407" i="29"/>
  <c r="AP407" i="29"/>
  <c r="AO407" i="29"/>
  <c r="AN407" i="29"/>
  <c r="AM407" i="29"/>
  <c r="AL407" i="29"/>
  <c r="AK407" i="29"/>
  <c r="AJ407" i="29"/>
  <c r="AI407" i="29"/>
  <c r="AH407" i="29"/>
  <c r="AG407" i="29"/>
  <c r="AF407" i="29"/>
  <c r="AE407" i="29"/>
  <c r="AD407" i="29"/>
  <c r="AC407" i="29"/>
  <c r="AB407" i="29"/>
  <c r="AA407" i="29"/>
  <c r="Z407" i="29"/>
  <c r="Y407" i="29"/>
  <c r="X407" i="29"/>
  <c r="W407" i="29"/>
  <c r="V407" i="29"/>
  <c r="U407" i="29"/>
  <c r="T407" i="29"/>
  <c r="S407" i="29"/>
  <c r="R407" i="29"/>
  <c r="Q407" i="29"/>
  <c r="P407" i="29"/>
  <c r="O407" i="29"/>
  <c r="N407" i="29"/>
  <c r="M407" i="29"/>
  <c r="L407" i="29"/>
  <c r="K407" i="29"/>
  <c r="J407" i="29"/>
  <c r="BG394" i="29"/>
  <c r="N28" i="31" s="1"/>
  <c r="BE394" i="29"/>
  <c r="BD394" i="29"/>
  <c r="BC394" i="29"/>
  <c r="BA394" i="29"/>
  <c r="AZ394" i="29"/>
  <c r="AX394" i="29"/>
  <c r="AW394" i="29"/>
  <c r="AV394" i="29"/>
  <c r="AU394" i="29"/>
  <c r="AT394" i="29"/>
  <c r="AS394" i="29"/>
  <c r="AR394" i="29"/>
  <c r="AQ394" i="29"/>
  <c r="AO394" i="29"/>
  <c r="AN394" i="29"/>
  <c r="M28" i="31" s="1"/>
  <c r="AM394" i="29"/>
  <c r="AL394" i="29"/>
  <c r="AK394" i="29"/>
  <c r="AJ394" i="29"/>
  <c r="AI394" i="29"/>
  <c r="AH394" i="29"/>
  <c r="AG394" i="29"/>
  <c r="AF394" i="29"/>
  <c r="AE394" i="29"/>
  <c r="AD394" i="29"/>
  <c r="AC394" i="29"/>
  <c r="AB394" i="29"/>
  <c r="AA394" i="29"/>
  <c r="Z394" i="29"/>
  <c r="Y394" i="29"/>
  <c r="X394" i="29"/>
  <c r="W394" i="29"/>
  <c r="V394" i="29"/>
  <c r="U394" i="29"/>
  <c r="T394" i="29"/>
  <c r="S394" i="29"/>
  <c r="R394" i="29"/>
  <c r="Q394" i="29"/>
  <c r="P394" i="29"/>
  <c r="O394" i="29"/>
  <c r="N394" i="29"/>
  <c r="M394" i="29"/>
  <c r="L394" i="29"/>
  <c r="K394" i="29"/>
  <c r="J394" i="29"/>
  <c r="BB393" i="29"/>
  <c r="AY393" i="29"/>
  <c r="AY394" i="29" s="1"/>
  <c r="BB387" i="29"/>
  <c r="AP386" i="29"/>
  <c r="AP394" i="29" s="1"/>
  <c r="BF384" i="29"/>
  <c r="BF394" i="29" s="1"/>
  <c r="BB384" i="29"/>
  <c r="BD368" i="29"/>
  <c r="BC368" i="29"/>
  <c r="BB368" i="29"/>
  <c r="BA368" i="29"/>
  <c r="AZ368" i="29"/>
  <c r="AY368" i="29"/>
  <c r="AX368" i="29"/>
  <c r="N17" i="31" s="1"/>
  <c r="AW368" i="29"/>
  <c r="AV368" i="29"/>
  <c r="AU368" i="29"/>
  <c r="AT368" i="29"/>
  <c r="AS368" i="29"/>
  <c r="AR368" i="29"/>
  <c r="AQ368" i="29"/>
  <c r="AO368" i="29"/>
  <c r="AN368" i="29"/>
  <c r="AM368" i="29"/>
  <c r="AJ368" i="29"/>
  <c r="AI368" i="29"/>
  <c r="AG368" i="29"/>
  <c r="AF368" i="29"/>
  <c r="AE368" i="29"/>
  <c r="Y368" i="29"/>
  <c r="X368" i="29"/>
  <c r="W368" i="29"/>
  <c r="V368" i="29"/>
  <c r="U368" i="29"/>
  <c r="T368" i="29"/>
  <c r="S368" i="29"/>
  <c r="R368" i="29"/>
  <c r="Q368" i="29"/>
  <c r="P368" i="29"/>
  <c r="O368" i="29"/>
  <c r="N368" i="29"/>
  <c r="M368" i="29"/>
  <c r="L368" i="29"/>
  <c r="K368" i="29"/>
  <c r="J368" i="29"/>
  <c r="AL367" i="29"/>
  <c r="AD367" i="29"/>
  <c r="AC367" i="29"/>
  <c r="AB367" i="29"/>
  <c r="AA367" i="29"/>
  <c r="AA368" i="29" s="1"/>
  <c r="Z367" i="29"/>
  <c r="Z368" i="29" s="1"/>
  <c r="M17" i="31" s="1"/>
  <c r="AK360" i="29"/>
  <c r="AC360" i="29"/>
  <c r="AB360" i="29"/>
  <c r="AP359" i="29"/>
  <c r="AL359" i="29"/>
  <c r="AH359" i="29"/>
  <c r="AH368" i="29" s="1"/>
  <c r="AD359" i="29"/>
  <c r="BD354" i="29"/>
  <c r="BC354" i="29"/>
  <c r="BB354" i="29"/>
  <c r="BA354" i="29"/>
  <c r="AZ354" i="29"/>
  <c r="AY354" i="29"/>
  <c r="AX354" i="29"/>
  <c r="AW354" i="29"/>
  <c r="AU354" i="29"/>
  <c r="AT354" i="29"/>
  <c r="AS354" i="29"/>
  <c r="AR354" i="29"/>
  <c r="AQ354" i="29"/>
  <c r="AP354" i="29"/>
  <c r="AO354" i="29"/>
  <c r="AN354" i="29"/>
  <c r="AM354" i="29"/>
  <c r="AL354" i="29"/>
  <c r="AK354" i="29"/>
  <c r="AJ354" i="29"/>
  <c r="AI354" i="29"/>
  <c r="AH354" i="29"/>
  <c r="AG354" i="29"/>
  <c r="AF354" i="29"/>
  <c r="AE354" i="29"/>
  <c r="AD354" i="29"/>
  <c r="AC354" i="29"/>
  <c r="AB354" i="29"/>
  <c r="AA354" i="29"/>
  <c r="Z354" i="29"/>
  <c r="Y354" i="29"/>
  <c r="X354" i="29"/>
  <c r="W354" i="29"/>
  <c r="V354" i="29"/>
  <c r="U354" i="29"/>
  <c r="T354" i="29"/>
  <c r="S354" i="29"/>
  <c r="R354" i="29"/>
  <c r="Q354" i="29"/>
  <c r="P354" i="29"/>
  <c r="O354" i="29"/>
  <c r="N354" i="29"/>
  <c r="M354" i="29"/>
  <c r="L354" i="29"/>
  <c r="K354" i="29"/>
  <c r="J354" i="29"/>
  <c r="AV351" i="29"/>
  <c r="AV354" i="29" s="1"/>
  <c r="BD328" i="29"/>
  <c r="BC328" i="29"/>
  <c r="BB328" i="29"/>
  <c r="BA328" i="29"/>
  <c r="AZ328" i="29"/>
  <c r="AY328" i="29"/>
  <c r="AX328" i="29"/>
  <c r="AW328" i="29"/>
  <c r="AV328" i="29"/>
  <c r="AU328" i="29"/>
  <c r="AT328" i="29"/>
  <c r="AS328" i="29"/>
  <c r="AR328" i="29"/>
  <c r="AQ328" i="29"/>
  <c r="AP328" i="29"/>
  <c r="AO328" i="29"/>
  <c r="AN328" i="29"/>
  <c r="AM328" i="29"/>
  <c r="AL328" i="29"/>
  <c r="AK328" i="29"/>
  <c r="AJ328" i="29"/>
  <c r="AI328" i="29"/>
  <c r="AH328" i="29"/>
  <c r="AG328" i="29"/>
  <c r="AF328" i="29"/>
  <c r="AE328" i="29"/>
  <c r="AD328" i="29"/>
  <c r="AC328" i="29"/>
  <c r="AB328" i="29"/>
  <c r="AA328" i="29"/>
  <c r="Z328" i="29"/>
  <c r="Y328" i="29"/>
  <c r="X328" i="29"/>
  <c r="W328" i="29"/>
  <c r="V328" i="29"/>
  <c r="U328" i="29"/>
  <c r="T328" i="29"/>
  <c r="S328" i="29"/>
  <c r="R328" i="29"/>
  <c r="Q328" i="29"/>
  <c r="P328" i="29"/>
  <c r="O328" i="29"/>
  <c r="N328" i="29"/>
  <c r="M328" i="29"/>
  <c r="L328" i="29"/>
  <c r="K328" i="29"/>
  <c r="J328" i="29"/>
  <c r="BI315" i="29"/>
  <c r="BG315" i="29"/>
  <c r="BE315" i="29"/>
  <c r="BD315" i="29"/>
  <c r="BC315" i="29"/>
  <c r="BB315" i="29"/>
  <c r="BA315" i="29"/>
  <c r="AZ315" i="29"/>
  <c r="AX315" i="29"/>
  <c r="AW315" i="29"/>
  <c r="AV315" i="29"/>
  <c r="AU315" i="29"/>
  <c r="AT315" i="29"/>
  <c r="AS315" i="29"/>
  <c r="AR315" i="29"/>
  <c r="AQ315" i="29"/>
  <c r="M26" i="31" s="1"/>
  <c r="AP315" i="29"/>
  <c r="AO315" i="29"/>
  <c r="AN315" i="29"/>
  <c r="AM315" i="29"/>
  <c r="AL315" i="29"/>
  <c r="AK315" i="29"/>
  <c r="AJ315" i="29"/>
  <c r="AI315" i="29"/>
  <c r="AH315" i="29"/>
  <c r="AG315" i="29"/>
  <c r="AF315" i="29"/>
  <c r="AE315" i="29"/>
  <c r="AD315" i="29"/>
  <c r="AC315" i="29"/>
  <c r="AB315" i="29"/>
  <c r="AA315" i="29"/>
  <c r="Z315" i="29"/>
  <c r="Y315" i="29"/>
  <c r="X315" i="29"/>
  <c r="W315" i="29"/>
  <c r="V315" i="29"/>
  <c r="U315" i="29"/>
  <c r="T315" i="29"/>
  <c r="S315" i="29"/>
  <c r="R315" i="29"/>
  <c r="Q315" i="29"/>
  <c r="P315" i="29"/>
  <c r="O315" i="29"/>
  <c r="N315" i="29"/>
  <c r="M315" i="29"/>
  <c r="L315" i="29"/>
  <c r="K315" i="29"/>
  <c r="J315" i="29"/>
  <c r="AY314" i="29"/>
  <c r="BF307" i="29"/>
  <c r="BF315" i="29" s="1"/>
  <c r="BH305" i="29"/>
  <c r="BH315" i="29" s="1"/>
  <c r="AY305" i="29"/>
  <c r="BD302" i="29"/>
  <c r="BC302" i="29"/>
  <c r="BB302" i="29"/>
  <c r="BA302" i="29"/>
  <c r="AZ302" i="29"/>
  <c r="AY302" i="29"/>
  <c r="AX302" i="29"/>
  <c r="AW302" i="29"/>
  <c r="AV302" i="29"/>
  <c r="AS302" i="29"/>
  <c r="AJ302" i="29"/>
  <c r="AI302" i="29"/>
  <c r="AH302" i="29"/>
  <c r="AG302" i="29"/>
  <c r="AF302" i="29"/>
  <c r="AE302" i="29"/>
  <c r="AD302" i="29"/>
  <c r="AC302" i="29"/>
  <c r="AB302" i="29"/>
  <c r="AA302" i="29"/>
  <c r="Z302" i="29"/>
  <c r="Y302" i="29"/>
  <c r="X302" i="29"/>
  <c r="W302" i="29"/>
  <c r="V302" i="29"/>
  <c r="U302" i="29"/>
  <c r="T302" i="29"/>
  <c r="S302" i="29"/>
  <c r="R302" i="29"/>
  <c r="Q302" i="29"/>
  <c r="P302" i="29"/>
  <c r="O302" i="29"/>
  <c r="N302" i="29"/>
  <c r="M302" i="29"/>
  <c r="L302" i="29"/>
  <c r="K302" i="29"/>
  <c r="J302" i="29"/>
  <c r="AT301" i="29"/>
  <c r="AT302" i="29" s="1"/>
  <c r="AU299" i="29"/>
  <c r="AU302" i="29" s="1"/>
  <c r="N46" i="31" s="1"/>
  <c r="AR292" i="29"/>
  <c r="AR302" i="29" s="1"/>
  <c r="AQ292" i="29"/>
  <c r="AQ302" i="29" s="1"/>
  <c r="AP292" i="29"/>
  <c r="AP302" i="29" s="1"/>
  <c r="AO292" i="29"/>
  <c r="AO302" i="29" s="1"/>
  <c r="AN292" i="29"/>
  <c r="AN302" i="29" s="1"/>
  <c r="AM292" i="29"/>
  <c r="AM302" i="29" s="1"/>
  <c r="AL292" i="29"/>
  <c r="AL302" i="29" s="1"/>
  <c r="AK292" i="29"/>
  <c r="AK302" i="29" s="1"/>
  <c r="M46" i="31" s="1"/>
  <c r="BI289" i="29"/>
  <c r="BH289" i="29"/>
  <c r="BG289" i="29"/>
  <c r="BF289" i="29"/>
  <c r="BD289" i="29"/>
  <c r="BC289" i="29"/>
  <c r="BB289" i="29"/>
  <c r="BA289" i="29"/>
  <c r="AZ289" i="29"/>
  <c r="AY289" i="29"/>
  <c r="AX289" i="29"/>
  <c r="AW289" i="29"/>
  <c r="AV289" i="29"/>
  <c r="AU289" i="29"/>
  <c r="AT289" i="29"/>
  <c r="AS289" i="29"/>
  <c r="AR289" i="29"/>
  <c r="AQ289" i="29"/>
  <c r="AP289" i="29"/>
  <c r="AO289" i="29"/>
  <c r="AN289" i="29"/>
  <c r="AM289" i="29"/>
  <c r="AL289" i="29"/>
  <c r="AK289" i="29"/>
  <c r="AG289" i="29"/>
  <c r="AF289" i="29"/>
  <c r="AE289" i="29"/>
  <c r="AD289" i="29"/>
  <c r="AC289" i="29"/>
  <c r="AB289" i="29"/>
  <c r="AA289" i="29"/>
  <c r="Z289" i="29"/>
  <c r="Y289" i="29"/>
  <c r="X289" i="29"/>
  <c r="W289" i="29"/>
  <c r="V289" i="29"/>
  <c r="U289" i="29"/>
  <c r="T289" i="29"/>
  <c r="S289" i="29"/>
  <c r="R289" i="29"/>
  <c r="Q289" i="29"/>
  <c r="P289" i="29"/>
  <c r="O289" i="29"/>
  <c r="N289" i="29"/>
  <c r="M289" i="29"/>
  <c r="L289" i="29"/>
  <c r="K289" i="29"/>
  <c r="J289" i="29"/>
  <c r="AI285" i="29"/>
  <c r="AI289" i="29" s="1"/>
  <c r="AH285" i="29"/>
  <c r="AH289" i="29" s="1"/>
  <c r="BF282" i="29"/>
  <c r="AJ282" i="29"/>
  <c r="AJ289" i="29" s="1"/>
  <c r="AY276" i="29"/>
  <c r="AX276" i="29"/>
  <c r="AW276" i="29"/>
  <c r="AV276" i="29"/>
  <c r="AU276" i="29"/>
  <c r="AT276" i="29"/>
  <c r="AS276" i="29"/>
  <c r="AR276" i="29"/>
  <c r="AQ276" i="29"/>
  <c r="AP276" i="29"/>
  <c r="AO276" i="29"/>
  <c r="AN276" i="29"/>
  <c r="AM276" i="29"/>
  <c r="AL276" i="29"/>
  <c r="AK276" i="29"/>
  <c r="AJ276" i="29"/>
  <c r="AI276" i="29"/>
  <c r="AH276" i="29"/>
  <c r="AG276" i="29"/>
  <c r="AF276" i="29"/>
  <c r="AE276" i="29"/>
  <c r="AD276" i="29"/>
  <c r="AC276" i="29"/>
  <c r="AB276" i="29"/>
  <c r="AA276" i="29"/>
  <c r="Z276" i="29"/>
  <c r="Y276" i="29"/>
  <c r="X276" i="29"/>
  <c r="W276" i="29"/>
  <c r="V276" i="29"/>
  <c r="U276" i="29"/>
  <c r="T276" i="29"/>
  <c r="S276" i="29"/>
  <c r="R276" i="29"/>
  <c r="Q276" i="29"/>
  <c r="P276" i="29"/>
  <c r="O276" i="29"/>
  <c r="N92" i="31" s="1"/>
  <c r="M276" i="29"/>
  <c r="J276" i="29"/>
  <c r="N275" i="29"/>
  <c r="N276" i="29" s="1"/>
  <c r="L275" i="29"/>
  <c r="K275" i="29"/>
  <c r="K276" i="29" s="1"/>
  <c r="M92" i="31" s="1"/>
  <c r="L271" i="29"/>
  <c r="BI263" i="29"/>
  <c r="N85" i="31" s="1"/>
  <c r="BH263" i="29"/>
  <c r="BG263" i="29"/>
  <c r="BE263" i="29"/>
  <c r="BD263" i="29"/>
  <c r="M85" i="31" s="1"/>
  <c r="AX263" i="29"/>
  <c r="AW263" i="29"/>
  <c r="AV263" i="29"/>
  <c r="AU263" i="29"/>
  <c r="AT263" i="29"/>
  <c r="AS263" i="29"/>
  <c r="AR263" i="29"/>
  <c r="AQ263" i="29"/>
  <c r="AP263" i="29"/>
  <c r="AO263" i="29"/>
  <c r="AN263" i="29"/>
  <c r="AM263" i="29"/>
  <c r="AL263" i="29"/>
  <c r="AK263" i="29"/>
  <c r="AJ263" i="29"/>
  <c r="AI263" i="29"/>
  <c r="AH263" i="29"/>
  <c r="AG263" i="29"/>
  <c r="AF263" i="29"/>
  <c r="AE263" i="29"/>
  <c r="AD263" i="29"/>
  <c r="AC263" i="29"/>
  <c r="AB263" i="29"/>
  <c r="AA263" i="29"/>
  <c r="Z263" i="29"/>
  <c r="Y263" i="29"/>
  <c r="X263" i="29"/>
  <c r="W263" i="29"/>
  <c r="V263" i="29"/>
  <c r="U263" i="29"/>
  <c r="T263" i="29"/>
  <c r="S263" i="29"/>
  <c r="R263" i="29"/>
  <c r="Q263" i="29"/>
  <c r="P263" i="29"/>
  <c r="O263" i="29"/>
  <c r="N263" i="29"/>
  <c r="M263" i="29"/>
  <c r="L263" i="29"/>
  <c r="K263" i="29"/>
  <c r="J263" i="29"/>
  <c r="BF255" i="29"/>
  <c r="BF263" i="29" s="1"/>
  <c r="BG249" i="29"/>
  <c r="N58" i="31" s="1"/>
  <c r="BF249" i="29"/>
  <c r="BE249" i="29"/>
  <c r="BD249" i="29"/>
  <c r="BC249" i="29"/>
  <c r="BB249" i="29"/>
  <c r="BA249" i="29"/>
  <c r="AZ249" i="29"/>
  <c r="M58" i="31" s="1"/>
  <c r="AX249" i="29"/>
  <c r="AW249" i="29"/>
  <c r="AV249" i="29"/>
  <c r="AU249" i="29"/>
  <c r="AT249" i="29"/>
  <c r="AS249" i="29"/>
  <c r="AR249" i="29"/>
  <c r="AQ249" i="29"/>
  <c r="AP249" i="29"/>
  <c r="AO249" i="29"/>
  <c r="AN249" i="29"/>
  <c r="AM249" i="29"/>
  <c r="AL249" i="29"/>
  <c r="AK249" i="29"/>
  <c r="AJ249" i="29"/>
  <c r="AI249" i="29"/>
  <c r="AH249" i="29"/>
  <c r="AG249" i="29"/>
  <c r="AF249" i="29"/>
  <c r="AE249" i="29"/>
  <c r="AD249" i="29"/>
  <c r="AC249" i="29"/>
  <c r="AB249" i="29"/>
  <c r="AA249" i="29"/>
  <c r="Z249" i="29"/>
  <c r="Y249" i="29"/>
  <c r="X249" i="29"/>
  <c r="W249" i="29"/>
  <c r="V249" i="29"/>
  <c r="U249" i="29"/>
  <c r="T249" i="29"/>
  <c r="S249" i="29"/>
  <c r="R249" i="29"/>
  <c r="Q249" i="29"/>
  <c r="P249" i="29"/>
  <c r="O249" i="29"/>
  <c r="N249" i="29"/>
  <c r="M249" i="29"/>
  <c r="L249" i="29"/>
  <c r="K249" i="29"/>
  <c r="J249" i="29"/>
  <c r="AY248" i="29"/>
  <c r="AY249" i="29" s="1"/>
  <c r="BA236" i="29"/>
  <c r="AZ236" i="29"/>
  <c r="AY236" i="29"/>
  <c r="AX236" i="29"/>
  <c r="AW236" i="29"/>
  <c r="AV236" i="29"/>
  <c r="AU236" i="29"/>
  <c r="AT236" i="29"/>
  <c r="AS236" i="29"/>
  <c r="AR236" i="29"/>
  <c r="AQ236" i="29"/>
  <c r="AP236" i="29"/>
  <c r="AO236" i="29"/>
  <c r="AN236" i="29"/>
  <c r="AM236" i="29"/>
  <c r="AL236" i="29"/>
  <c r="AK236" i="29"/>
  <c r="AJ236" i="29"/>
  <c r="AI236" i="29"/>
  <c r="AH236" i="29"/>
  <c r="AG236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BD235" i="29"/>
  <c r="BD236" i="29" s="1"/>
  <c r="AY222" i="29"/>
  <c r="AX222" i="29"/>
  <c r="AW222" i="29"/>
  <c r="AV222" i="29"/>
  <c r="AU222" i="29"/>
  <c r="AT222" i="29"/>
  <c r="AS222" i="29"/>
  <c r="AR222" i="29"/>
  <c r="AQ222" i="29"/>
  <c r="AP222" i="29"/>
  <c r="AO222" i="29"/>
  <c r="AN222" i="29"/>
  <c r="AL222" i="29"/>
  <c r="AK222" i="29"/>
  <c r="AJ222" i="29"/>
  <c r="AI222" i="29"/>
  <c r="AH222" i="29"/>
  <c r="AG222" i="29"/>
  <c r="AF222" i="29"/>
  <c r="AE222" i="29"/>
  <c r="AD222" i="29"/>
  <c r="AC222" i="29"/>
  <c r="AB222" i="29"/>
  <c r="AA222" i="29"/>
  <c r="Z222" i="29"/>
  <c r="Y222" i="29"/>
  <c r="X222" i="29"/>
  <c r="W222" i="29"/>
  <c r="V222" i="29"/>
  <c r="U222" i="29"/>
  <c r="T222" i="29"/>
  <c r="S222" i="29"/>
  <c r="R222" i="29"/>
  <c r="Q222" i="29"/>
  <c r="P222" i="29"/>
  <c r="O222" i="29"/>
  <c r="N222" i="29"/>
  <c r="M222" i="29"/>
  <c r="L222" i="29"/>
  <c r="K222" i="29"/>
  <c r="J222" i="29"/>
  <c r="AM220" i="29"/>
  <c r="AM211" i="29"/>
  <c r="AY208" i="29"/>
  <c r="AX208" i="29"/>
  <c r="AW208" i="29"/>
  <c r="AV208" i="29"/>
  <c r="AU208" i="29"/>
  <c r="AT208" i="29"/>
  <c r="AS208" i="29"/>
  <c r="AR208" i="29"/>
  <c r="AQ208" i="29"/>
  <c r="AP208" i="29"/>
  <c r="AO208" i="29"/>
  <c r="AN208" i="29"/>
  <c r="AM208" i="29"/>
  <c r="AL208" i="29"/>
  <c r="AK208" i="29"/>
  <c r="AJ208" i="29"/>
  <c r="AI208" i="29"/>
  <c r="AH208" i="29"/>
  <c r="AG208" i="29"/>
  <c r="AF208" i="29"/>
  <c r="AE208" i="29"/>
  <c r="O208" i="29"/>
  <c r="N208" i="29"/>
  <c r="M208" i="29"/>
  <c r="L208" i="29"/>
  <c r="K208" i="29"/>
  <c r="J208" i="29"/>
  <c r="AD207" i="29"/>
  <c r="AC207" i="29"/>
  <c r="AB207" i="29"/>
  <c r="AA207" i="29"/>
  <c r="Z207" i="29"/>
  <c r="Y207" i="29"/>
  <c r="X207" i="29"/>
  <c r="X206" i="29"/>
  <c r="AD205" i="29"/>
  <c r="AD200" i="29"/>
  <c r="AC200" i="29"/>
  <c r="AB200" i="29"/>
  <c r="AA200" i="29"/>
  <c r="Z200" i="29"/>
  <c r="Y200" i="29"/>
  <c r="X200" i="29"/>
  <c r="W200" i="29"/>
  <c r="W208" i="29" s="1"/>
  <c r="V200" i="29"/>
  <c r="V208" i="29" s="1"/>
  <c r="U200" i="29"/>
  <c r="U208" i="29" s="1"/>
  <c r="T200" i="29"/>
  <c r="T208" i="29" s="1"/>
  <c r="S200" i="29"/>
  <c r="S208" i="29" s="1"/>
  <c r="R200" i="29"/>
  <c r="R208" i="29" s="1"/>
  <c r="Q200" i="29"/>
  <c r="Q208" i="29" s="1"/>
  <c r="P200" i="29"/>
  <c r="P208" i="29" s="1"/>
  <c r="M34" i="31" s="1"/>
  <c r="AY197" i="29"/>
  <c r="AX197" i="29"/>
  <c r="AW197" i="29"/>
  <c r="AV197" i="29"/>
  <c r="AU197" i="29"/>
  <c r="AT197" i="29"/>
  <c r="AS197" i="29"/>
  <c r="AR197" i="29"/>
  <c r="AQ197" i="29"/>
  <c r="AP197" i="29"/>
  <c r="AO197" i="29"/>
  <c r="AN197" i="29"/>
  <c r="AM197" i="29"/>
  <c r="AL197" i="29"/>
  <c r="AH197" i="29"/>
  <c r="AG197" i="29"/>
  <c r="AF197" i="29"/>
  <c r="AE197" i="29"/>
  <c r="AD197" i="29"/>
  <c r="AC197" i="29"/>
  <c r="AB197" i="29"/>
  <c r="AA197" i="29"/>
  <c r="Z197" i="29"/>
  <c r="Y197" i="29"/>
  <c r="X197" i="29"/>
  <c r="W197" i="29"/>
  <c r="V197" i="29"/>
  <c r="U197" i="29"/>
  <c r="T197" i="29"/>
  <c r="S197" i="29"/>
  <c r="R197" i="29"/>
  <c r="Q197" i="29"/>
  <c r="P197" i="29"/>
  <c r="O197" i="29"/>
  <c r="N197" i="29"/>
  <c r="M197" i="29"/>
  <c r="L197" i="29"/>
  <c r="K197" i="29"/>
  <c r="J197" i="29"/>
  <c r="AY184" i="29"/>
  <c r="AX184" i="29"/>
  <c r="AW184" i="29"/>
  <c r="AV184" i="29"/>
  <c r="AU184" i="29"/>
  <c r="AT184" i="29"/>
  <c r="AS184" i="29"/>
  <c r="AR184" i="29"/>
  <c r="AQ184" i="29"/>
  <c r="AP184" i="29"/>
  <c r="AO184" i="29"/>
  <c r="AN184" i="29"/>
  <c r="AM184" i="29"/>
  <c r="AL184" i="29"/>
  <c r="AI184" i="29"/>
  <c r="AH184" i="29"/>
  <c r="AG184" i="29"/>
  <c r="AF184" i="29"/>
  <c r="AE184" i="29"/>
  <c r="AD184" i="29"/>
  <c r="AC184" i="29"/>
  <c r="AB184" i="29"/>
  <c r="AA184" i="29"/>
  <c r="Z184" i="29"/>
  <c r="Y184" i="29"/>
  <c r="X184" i="29"/>
  <c r="W184" i="29"/>
  <c r="V184" i="29"/>
  <c r="U184" i="29"/>
  <c r="T184" i="29"/>
  <c r="S184" i="29"/>
  <c r="R184" i="29"/>
  <c r="Q184" i="29"/>
  <c r="P184" i="29"/>
  <c r="O184" i="29"/>
  <c r="N184" i="29"/>
  <c r="M184" i="29"/>
  <c r="L184" i="29"/>
  <c r="K184" i="29"/>
  <c r="J184" i="29"/>
  <c r="AK181" i="29"/>
  <c r="AK184" i="29" s="1"/>
  <c r="N109" i="31" s="1"/>
  <c r="AJ177" i="29"/>
  <c r="AJ184" i="29" s="1"/>
  <c r="M109" i="31" s="1"/>
  <c r="AY171" i="29"/>
  <c r="AX171" i="29"/>
  <c r="AW171" i="29"/>
  <c r="AV171" i="29"/>
  <c r="AU171" i="29"/>
  <c r="N131" i="31" s="1"/>
  <c r="AT171" i="29"/>
  <c r="M131" i="31" s="1"/>
  <c r="AS171" i="29"/>
  <c r="AR171" i="29"/>
  <c r="AQ171" i="29"/>
  <c r="AP171" i="29"/>
  <c r="AO171" i="29"/>
  <c r="AN171" i="29"/>
  <c r="AM171" i="29"/>
  <c r="AL171" i="29"/>
  <c r="AK171" i="29"/>
  <c r="AJ171" i="29"/>
  <c r="AI171" i="29"/>
  <c r="AH171" i="29"/>
  <c r="AG171" i="29"/>
  <c r="AF171" i="29"/>
  <c r="AE171" i="29"/>
  <c r="AD171" i="29"/>
  <c r="AC171" i="29"/>
  <c r="AB171" i="29"/>
  <c r="AA171" i="29"/>
  <c r="Z171" i="29"/>
  <c r="Y171" i="29"/>
  <c r="X171" i="29"/>
  <c r="W171" i="29"/>
  <c r="V171" i="29"/>
  <c r="U171" i="29"/>
  <c r="T171" i="29"/>
  <c r="S171" i="29"/>
  <c r="R171" i="29"/>
  <c r="Q171" i="29"/>
  <c r="P171" i="29"/>
  <c r="O171" i="29"/>
  <c r="N171" i="29"/>
  <c r="M171" i="29"/>
  <c r="L171" i="29"/>
  <c r="K171" i="29"/>
  <c r="J171" i="29"/>
  <c r="AY158" i="29"/>
  <c r="AX158" i="29"/>
  <c r="AW158" i="29"/>
  <c r="N48" i="31" s="1"/>
  <c r="AU158" i="29"/>
  <c r="AT158" i="29"/>
  <c r="AS158" i="29"/>
  <c r="AR158" i="29"/>
  <c r="AQ158" i="29"/>
  <c r="AP158" i="29"/>
  <c r="AO158" i="29"/>
  <c r="AN158" i="29"/>
  <c r="AM158" i="29"/>
  <c r="M48" i="31" s="1"/>
  <c r="AL158" i="29"/>
  <c r="AK158" i="29"/>
  <c r="AJ158" i="29"/>
  <c r="AI158" i="29"/>
  <c r="AH158" i="29"/>
  <c r="AG158" i="29"/>
  <c r="AF158" i="29"/>
  <c r="AE158" i="29"/>
  <c r="AD158" i="29"/>
  <c r="AC158" i="29"/>
  <c r="AB158" i="29"/>
  <c r="AA158" i="29"/>
  <c r="Z158" i="29"/>
  <c r="Y158" i="29"/>
  <c r="X158" i="29"/>
  <c r="W158" i="29"/>
  <c r="V158" i="29"/>
  <c r="U158" i="29"/>
  <c r="T158" i="29"/>
  <c r="S158" i="29"/>
  <c r="R158" i="29"/>
  <c r="Q158" i="29"/>
  <c r="P158" i="29"/>
  <c r="O158" i="29"/>
  <c r="N158" i="29"/>
  <c r="M158" i="29"/>
  <c r="L158" i="29"/>
  <c r="K158" i="29"/>
  <c r="J158" i="29"/>
  <c r="AV157" i="29"/>
  <c r="AV158" i="29" s="1"/>
  <c r="BD145" i="29"/>
  <c r="BD158" i="29" s="1"/>
  <c r="BD171" i="29" s="1"/>
  <c r="BC145" i="29"/>
  <c r="BC158" i="29" s="1"/>
  <c r="BC171" i="29" s="1"/>
  <c r="BB145" i="29"/>
  <c r="BB158" i="29" s="1"/>
  <c r="BB171" i="29" s="1"/>
  <c r="BA145" i="29"/>
  <c r="BA158" i="29" s="1"/>
  <c r="BA171" i="29" s="1"/>
  <c r="AZ145" i="29"/>
  <c r="AZ158" i="29" s="1"/>
  <c r="AZ171" i="29" s="1"/>
  <c r="AY145" i="29"/>
  <c r="AX145" i="29"/>
  <c r="AW145" i="29"/>
  <c r="AV145" i="29"/>
  <c r="AU145" i="29"/>
  <c r="AT145" i="29"/>
  <c r="AS145" i="29"/>
  <c r="AO145" i="29"/>
  <c r="AN145" i="29"/>
  <c r="AM145" i="29"/>
  <c r="AL145" i="29"/>
  <c r="AK145" i="29"/>
  <c r="AJ145" i="29"/>
  <c r="AG145" i="29"/>
  <c r="AF145" i="29"/>
  <c r="AE145" i="29"/>
  <c r="V145" i="29"/>
  <c r="U145" i="29"/>
  <c r="T145" i="29"/>
  <c r="S145" i="29"/>
  <c r="R145" i="29"/>
  <c r="Q145" i="29"/>
  <c r="P145" i="29"/>
  <c r="O145" i="29"/>
  <c r="N145" i="29"/>
  <c r="M145" i="29"/>
  <c r="L145" i="29"/>
  <c r="K145" i="29"/>
  <c r="J145" i="29"/>
  <c r="AH144" i="29"/>
  <c r="AD144" i="29"/>
  <c r="AC144" i="29"/>
  <c r="AC145" i="29" s="1"/>
  <c r="AB144" i="29"/>
  <c r="AB145" i="29" s="1"/>
  <c r="AA144" i="29"/>
  <c r="AA145" i="29" s="1"/>
  <c r="Z144" i="29"/>
  <c r="Z145" i="29" s="1"/>
  <c r="Y144" i="29"/>
  <c r="X144" i="29"/>
  <c r="X145" i="29" s="1"/>
  <c r="M23" i="31" s="1"/>
  <c r="AR142" i="29"/>
  <c r="AR145" i="29" s="1"/>
  <c r="N23" i="31" s="1"/>
  <c r="W136" i="29"/>
  <c r="W145" i="29" s="1"/>
  <c r="AP134" i="29"/>
  <c r="AP145" i="29" s="1"/>
  <c r="AH134" i="29"/>
  <c r="AD134" i="29"/>
  <c r="Y134" i="29"/>
  <c r="AQ132" i="29"/>
  <c r="AQ145" i="29" s="1"/>
  <c r="AI132" i="29"/>
  <c r="AI145" i="29" s="1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BD113" i="29"/>
  <c r="BC113" i="29"/>
  <c r="BB113" i="29"/>
  <c r="BA113" i="29"/>
  <c r="AZ113" i="29"/>
  <c r="AY113" i="29"/>
  <c r="AX113" i="29"/>
  <c r="AW113" i="29"/>
  <c r="N118" i="31" s="1"/>
  <c r="AU113" i="29"/>
  <c r="AT113" i="29"/>
  <c r="AS113" i="29"/>
  <c r="AR113" i="29"/>
  <c r="AQ113" i="29"/>
  <c r="AP113" i="29"/>
  <c r="AO113" i="29"/>
  <c r="AN113" i="29"/>
  <c r="AM113" i="29"/>
  <c r="AL113" i="29"/>
  <c r="AK113" i="29"/>
  <c r="AJ113" i="29"/>
  <c r="AI113" i="29"/>
  <c r="AH113" i="29"/>
  <c r="AG113" i="29"/>
  <c r="AF113" i="29"/>
  <c r="AE113" i="29"/>
  <c r="AD113" i="29"/>
  <c r="AC113" i="29"/>
  <c r="AB113" i="29"/>
  <c r="AA113" i="29"/>
  <c r="Z113" i="29"/>
  <c r="Y113" i="29"/>
  <c r="X113" i="29"/>
  <c r="W113" i="29"/>
  <c r="V113" i="29"/>
  <c r="U113" i="29"/>
  <c r="T113" i="29"/>
  <c r="S113" i="29"/>
  <c r="R113" i="29"/>
  <c r="Q113" i="29"/>
  <c r="P113" i="29"/>
  <c r="O113" i="29"/>
  <c r="N113" i="29"/>
  <c r="M113" i="29"/>
  <c r="L113" i="29"/>
  <c r="K113" i="29"/>
  <c r="J113" i="29"/>
  <c r="AV112" i="29"/>
  <c r="AV113" i="29" s="1"/>
  <c r="M118" i="31" s="1"/>
  <c r="BD97" i="29"/>
  <c r="BC97" i="29"/>
  <c r="BB97" i="29"/>
  <c r="BA97" i="29"/>
  <c r="AZ97" i="29"/>
  <c r="AY97" i="29"/>
  <c r="AX97" i="29"/>
  <c r="AW97" i="29"/>
  <c r="AV97" i="29"/>
  <c r="AU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AT94" i="29"/>
  <c r="AT97" i="29" s="1"/>
  <c r="BD81" i="29"/>
  <c r="BC81" i="29"/>
  <c r="BB81" i="29"/>
  <c r="BA81" i="29"/>
  <c r="AZ81" i="29"/>
  <c r="AY81" i="29"/>
  <c r="AX81" i="29"/>
  <c r="AW81" i="29"/>
  <c r="AV81" i="29"/>
  <c r="AU81" i="29"/>
  <c r="AT81" i="29"/>
  <c r="AS81" i="29"/>
  <c r="AR81" i="29"/>
  <c r="AQ81" i="29"/>
  <c r="N15" i="31" s="1"/>
  <c r="AK81" i="29"/>
  <c r="AJ81" i="29"/>
  <c r="AG81" i="29"/>
  <c r="W81" i="29"/>
  <c r="V81" i="29"/>
  <c r="O81" i="29"/>
  <c r="N81" i="29"/>
  <c r="M81" i="29"/>
  <c r="L81" i="29"/>
  <c r="K81" i="29"/>
  <c r="J81" i="29"/>
  <c r="AP80" i="29"/>
  <c r="AO80" i="29"/>
  <c r="AO81" i="29" s="1"/>
  <c r="AN80" i="29"/>
  <c r="AN81" i="29" s="1"/>
  <c r="AM80" i="29"/>
  <c r="AL80" i="29"/>
  <c r="AI80" i="29"/>
  <c r="AI81" i="29" s="1"/>
  <c r="AH80" i="29"/>
  <c r="AF80" i="29"/>
  <c r="AF81" i="29" s="1"/>
  <c r="AE80" i="29"/>
  <c r="AE81" i="29" s="1"/>
  <c r="AD80" i="29"/>
  <c r="AC80" i="29"/>
  <c r="AC81" i="29" s="1"/>
  <c r="AB80" i="29"/>
  <c r="AB81" i="29" s="1"/>
  <c r="AA80" i="29"/>
  <c r="AA81" i="29" s="1"/>
  <c r="Z80" i="29"/>
  <c r="Z81" i="29" s="1"/>
  <c r="Y80" i="29"/>
  <c r="X80" i="29"/>
  <c r="X81" i="29" s="1"/>
  <c r="U80" i="29"/>
  <c r="U81" i="29" s="1"/>
  <c r="T80" i="29"/>
  <c r="T81" i="29" s="1"/>
  <c r="S80" i="29"/>
  <c r="S81" i="29" s="1"/>
  <c r="R80" i="29"/>
  <c r="R81" i="29" s="1"/>
  <c r="Q80" i="29"/>
  <c r="Q81" i="29" s="1"/>
  <c r="M15" i="31" s="1"/>
  <c r="AP70" i="29"/>
  <c r="AL70" i="29"/>
  <c r="AH70" i="29"/>
  <c r="AD70" i="29"/>
  <c r="Y70" i="29"/>
  <c r="AM68" i="29"/>
  <c r="P68" i="29"/>
  <c r="P81" i="29" s="1"/>
  <c r="BE65" i="29"/>
  <c r="BD65" i="29"/>
  <c r="BC65" i="29"/>
  <c r="BB65" i="29"/>
  <c r="BA65" i="29"/>
  <c r="AZ65" i="29"/>
  <c r="AY65" i="29"/>
  <c r="AX65" i="29"/>
  <c r="AW65" i="29"/>
  <c r="AV65" i="29"/>
  <c r="AU65" i="29"/>
  <c r="AT65" i="29"/>
  <c r="AS65" i="29"/>
  <c r="AR65" i="29"/>
  <c r="AQ65" i="29"/>
  <c r="AP65" i="29"/>
  <c r="AO65" i="29"/>
  <c r="AN65" i="29"/>
  <c r="AM65" i="29"/>
  <c r="AL65" i="29"/>
  <c r="AK65" i="29"/>
  <c r="AJ65" i="29"/>
  <c r="AI65" i="29"/>
  <c r="AH65" i="29"/>
  <c r="AG65" i="29"/>
  <c r="AF65" i="29"/>
  <c r="AE65" i="29"/>
  <c r="AD65" i="29"/>
  <c r="AC65" i="29"/>
  <c r="AB65" i="29"/>
  <c r="AA65" i="29"/>
  <c r="Z65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BE49" i="29"/>
  <c r="N56" i="31" s="1"/>
  <c r="BD49" i="29"/>
  <c r="BC49" i="29"/>
  <c r="BA49" i="29"/>
  <c r="AZ49" i="29"/>
  <c r="AY49" i="29"/>
  <c r="AX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AW48" i="29"/>
  <c r="AW49" i="29" s="1"/>
  <c r="BB38" i="29"/>
  <c r="BB49" i="29" s="1"/>
  <c r="BH33" i="29"/>
  <c r="BG33" i="29"/>
  <c r="BC33" i="29"/>
  <c r="BB33" i="29"/>
  <c r="BA33" i="29"/>
  <c r="AZ33" i="29"/>
  <c r="AX33" i="29"/>
  <c r="AW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AY32" i="29"/>
  <c r="AY33" i="29" s="1"/>
  <c r="AV26" i="29"/>
  <c r="AV33" i="29" s="1"/>
  <c r="M56" i="31" s="1"/>
  <c r="BI17" i="29"/>
  <c r="BH17" i="29"/>
  <c r="BG17" i="29"/>
  <c r="BF17" i="29"/>
  <c r="BE17" i="29"/>
  <c r="BD17" i="29"/>
  <c r="BC17" i="29"/>
  <c r="BA17" i="29"/>
  <c r="AZ17" i="29"/>
  <c r="AX17" i="29"/>
  <c r="AW17" i="29"/>
  <c r="AV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BB16" i="29"/>
  <c r="AY16" i="29"/>
  <c r="AY17" i="29" s="1"/>
  <c r="AU8" i="29"/>
  <c r="AU17" i="29" s="1"/>
  <c r="BB5" i="29"/>
  <c r="BB3" i="29"/>
  <c r="BX24" i="30" l="1"/>
  <c r="BX13" i="30"/>
  <c r="BX83" i="30" s="1"/>
  <c r="BX51" i="30"/>
  <c r="BX524" i="29"/>
  <c r="BX498" i="29"/>
  <c r="BX591" i="29"/>
  <c r="BX655" i="29"/>
  <c r="BX129" i="29"/>
  <c r="P22" i="31"/>
  <c r="O22" i="31" s="1"/>
  <c r="BX35" i="30"/>
  <c r="BX14" i="30"/>
  <c r="P115" i="31" s="1"/>
  <c r="O115" i="31" s="1"/>
  <c r="BX2" i="30"/>
  <c r="BX7" i="30"/>
  <c r="P104" i="31" s="1"/>
  <c r="O104" i="31" s="1"/>
  <c r="BX20" i="30"/>
  <c r="BX19" i="30"/>
  <c r="BX46" i="30"/>
  <c r="P95" i="31" s="1"/>
  <c r="O95" i="31" s="1"/>
  <c r="BX54" i="30"/>
  <c r="P139" i="31" s="1"/>
  <c r="O139" i="31" s="1"/>
  <c r="BX32" i="30"/>
  <c r="BX48" i="30"/>
  <c r="P141" i="31" s="1"/>
  <c r="O141" i="31" s="1"/>
  <c r="BX59" i="30"/>
  <c r="BX4" i="30"/>
  <c r="BX8" i="30"/>
  <c r="P88" i="31" s="1"/>
  <c r="O88" i="31" s="1"/>
  <c r="BX23" i="30"/>
  <c r="BX263" i="29"/>
  <c r="P85" i="31" s="1"/>
  <c r="O85" i="31" s="1"/>
  <c r="BX236" i="29"/>
  <c r="P83" i="31" s="1"/>
  <c r="O83" i="31" s="1"/>
  <c r="M30" i="31"/>
  <c r="P79" i="31"/>
  <c r="O79" i="31" s="1"/>
  <c r="K83" i="30"/>
  <c r="M13" i="31"/>
  <c r="M51" i="31"/>
  <c r="O93" i="31"/>
  <c r="P43" i="31"/>
  <c r="O43" i="31" s="1"/>
  <c r="P94" i="31"/>
  <c r="O94" i="31" s="1"/>
  <c r="P50" i="31"/>
  <c r="O50" i="31" s="1"/>
  <c r="P6" i="31"/>
  <c r="O6" i="31" s="1"/>
  <c r="P99" i="31"/>
  <c r="O99" i="31" s="1"/>
  <c r="P102" i="31"/>
  <c r="O102" i="31" s="1"/>
  <c r="P86" i="31"/>
  <c r="O86" i="31" s="1"/>
  <c r="N7" i="31"/>
  <c r="M133" i="31"/>
  <c r="N133" i="31"/>
  <c r="P108" i="31"/>
  <c r="P57" i="31"/>
  <c r="M130" i="31"/>
  <c r="N130" i="31"/>
  <c r="M38" i="31"/>
  <c r="P72" i="31"/>
  <c r="O72" i="31" s="1"/>
  <c r="M18" i="31"/>
  <c r="M40" i="31"/>
  <c r="P110" i="31"/>
  <c r="M134" i="31"/>
  <c r="N134" i="31"/>
  <c r="M45" i="31"/>
  <c r="N123" i="31"/>
  <c r="BW161" i="31" s="1"/>
  <c r="N124" i="31"/>
  <c r="P63" i="31"/>
  <c r="O63" i="31" s="1"/>
  <c r="BX197" i="29"/>
  <c r="P132" i="31" s="1"/>
  <c r="O132" i="31" s="1"/>
  <c r="N132" i="31"/>
  <c r="M19" i="31"/>
  <c r="M37" i="31"/>
  <c r="M117" i="31"/>
  <c r="N117" i="31"/>
  <c r="M84" i="31"/>
  <c r="Y83" i="30"/>
  <c r="Z83" i="30"/>
  <c r="BX289" i="29"/>
  <c r="BX113" i="29"/>
  <c r="P118" i="31" s="1"/>
  <c r="O118" i="31" s="1"/>
  <c r="BX668" i="29"/>
  <c r="P112" i="31" s="1"/>
  <c r="O112" i="31" s="1"/>
  <c r="BX578" i="29"/>
  <c r="P78" i="31" s="1"/>
  <c r="O78" i="31" s="1"/>
  <c r="BX97" i="29"/>
  <c r="P117" i="31" s="1"/>
  <c r="O117" i="31" s="1"/>
  <c r="BX65" i="29"/>
  <c r="P130" i="31" s="1"/>
  <c r="O130" i="31" s="1"/>
  <c r="BX33" i="29"/>
  <c r="BX49" i="29"/>
  <c r="P56" i="31" s="1"/>
  <c r="O56" i="31" s="1"/>
  <c r="AM83" i="30"/>
  <c r="W83" i="30"/>
  <c r="AN83" i="30"/>
  <c r="BG83" i="30"/>
  <c r="AA83" i="30"/>
  <c r="AG83" i="30"/>
  <c r="X83" i="30"/>
  <c r="AB83" i="30"/>
  <c r="BB83" i="30"/>
  <c r="AU83" i="30"/>
  <c r="AX83" i="30"/>
  <c r="AJ83" i="30"/>
  <c r="R83" i="30"/>
  <c r="AK83" i="30"/>
  <c r="BE83" i="30"/>
  <c r="BC83" i="30"/>
  <c r="BD83" i="30"/>
  <c r="AI83" i="30"/>
  <c r="AH83" i="30"/>
  <c r="AL83" i="30"/>
  <c r="AW83" i="30"/>
  <c r="J83" i="30"/>
  <c r="AZ83" i="30"/>
  <c r="BA83" i="30"/>
  <c r="BF83" i="30"/>
  <c r="AH145" i="29"/>
  <c r="Z208" i="29"/>
  <c r="AD145" i="29"/>
  <c r="Y81" i="29"/>
  <c r="Y208" i="29"/>
  <c r="AM81" i="29"/>
  <c r="AM222" i="29"/>
  <c r="X208" i="29"/>
  <c r="AL368" i="29"/>
  <c r="AY315" i="29"/>
  <c r="BX315" i="29" s="1"/>
  <c r="P26" i="31" s="1"/>
  <c r="O26" i="31" s="1"/>
  <c r="AC208" i="29"/>
  <c r="AA208" i="29"/>
  <c r="AB208" i="29"/>
  <c r="AB368" i="29"/>
  <c r="BX630" i="29"/>
  <c r="P123" i="31" s="1"/>
  <c r="O123" i="31" s="1"/>
  <c r="AP81" i="29"/>
  <c r="AD81" i="29"/>
  <c r="BX328" i="29"/>
  <c r="P134" i="31" s="1"/>
  <c r="O134" i="31" s="1"/>
  <c r="BX551" i="29"/>
  <c r="P47" i="31" s="1"/>
  <c r="O47" i="31" s="1"/>
  <c r="BX184" i="29"/>
  <c r="P109" i="31" s="1"/>
  <c r="O109" i="31" s="1"/>
  <c r="BX433" i="29"/>
  <c r="P120" i="31" s="1"/>
  <c r="O120" i="31" s="1"/>
  <c r="BX681" i="29"/>
  <c r="P124" i="31" s="1"/>
  <c r="O124" i="31" s="1"/>
  <c r="BX171" i="29"/>
  <c r="P131" i="31" s="1"/>
  <c r="O131" i="31" s="1"/>
  <c r="BX420" i="29"/>
  <c r="P119" i="31" s="1"/>
  <c r="O119" i="31" s="1"/>
  <c r="AC368" i="29"/>
  <c r="BX354" i="29"/>
  <c r="P133" i="31" s="1"/>
  <c r="O133" i="31" s="1"/>
  <c r="BB17" i="29"/>
  <c r="BX17" i="29" s="1"/>
  <c r="AD368" i="29"/>
  <c r="BB394" i="29"/>
  <c r="BX394" i="29" s="1"/>
  <c r="P28" i="31" s="1"/>
  <c r="O28" i="31" s="1"/>
  <c r="BX407" i="29"/>
  <c r="P59" i="31" s="1"/>
  <c r="O59" i="31" s="1"/>
  <c r="AH81" i="29"/>
  <c r="BX158" i="29"/>
  <c r="P48" i="31" s="1"/>
  <c r="O48" i="31" s="1"/>
  <c r="AD208" i="29"/>
  <c r="N34" i="31" s="1"/>
  <c r="BX472" i="29"/>
  <c r="P77" i="31" s="1"/>
  <c r="O77" i="31" s="1"/>
  <c r="Y145" i="29"/>
  <c r="AL81" i="29"/>
  <c r="BX249" i="29"/>
  <c r="P58" i="31" s="1"/>
  <c r="O58" i="31" s="1"/>
  <c r="BX511" i="29"/>
  <c r="P121" i="31" s="1"/>
  <c r="O121" i="31" s="1"/>
  <c r="L276" i="29"/>
  <c r="AP368" i="29"/>
  <c r="BC208" i="29"/>
  <c r="BX485" i="29"/>
  <c r="P35" i="31" s="1"/>
  <c r="O35" i="31" s="1"/>
  <c r="AZ208" i="29"/>
  <c r="BA208" i="29"/>
  <c r="BX617" i="29"/>
  <c r="P122" i="31" s="1"/>
  <c r="O122" i="31" s="1"/>
  <c r="BX604" i="29"/>
  <c r="P111" i="31" s="1"/>
  <c r="O111" i="31" s="1"/>
  <c r="BD208" i="29"/>
  <c r="BB208" i="29"/>
  <c r="BX538" i="29"/>
  <c r="P12" i="31" s="1"/>
  <c r="O12" i="31" s="1"/>
  <c r="BX302" i="29"/>
  <c r="P46" i="31" s="1"/>
  <c r="O46" i="31" s="1"/>
  <c r="BX459" i="29"/>
  <c r="P49" i="31" s="1"/>
  <c r="O49" i="31" s="1"/>
  <c r="BX642" i="29"/>
  <c r="P44" i="31" s="1"/>
  <c r="O44" i="31" s="1"/>
  <c r="AK368" i="29"/>
  <c r="N172" i="31" l="1"/>
  <c r="BW160" i="31"/>
  <c r="P39" i="31"/>
  <c r="O39" i="31" s="1"/>
  <c r="P14" i="31"/>
  <c r="O14" i="31" s="1"/>
  <c r="P100" i="31"/>
  <c r="O100" i="31" s="1"/>
  <c r="P16" i="31"/>
  <c r="O16" i="31" s="1"/>
  <c r="P147" i="31"/>
  <c r="BW147" i="31" s="1"/>
  <c r="P8" i="31"/>
  <c r="O8" i="31" s="1"/>
  <c r="P31" i="31"/>
  <c r="P60" i="31"/>
  <c r="O60" i="31" s="1"/>
  <c r="P40" i="31"/>
  <c r="P10" i="31"/>
  <c r="O10" i="31" s="1"/>
  <c r="P5" i="31"/>
  <c r="O5" i="31" s="1"/>
  <c r="P13" i="31"/>
  <c r="O13" i="31" s="1"/>
  <c r="P25" i="31"/>
  <c r="O25" i="31" s="1"/>
  <c r="P21" i="31"/>
  <c r="O21" i="31" s="1"/>
  <c r="P51" i="31"/>
  <c r="O51" i="31" s="1"/>
  <c r="P61" i="31"/>
  <c r="O61" i="31" s="1"/>
  <c r="P30" i="31"/>
  <c r="O30" i="31" s="1"/>
  <c r="P3" i="31"/>
  <c r="P9" i="31"/>
  <c r="O9" i="31" s="1"/>
  <c r="P126" i="31"/>
  <c r="P2" i="31"/>
  <c r="P84" i="31"/>
  <c r="O84" i="31" s="1"/>
  <c r="P36" i="31"/>
  <c r="O36" i="31" s="1"/>
  <c r="P19" i="31"/>
  <c r="O19" i="31" s="1"/>
  <c r="P45" i="31"/>
  <c r="O45" i="31" s="1"/>
  <c r="P62" i="31"/>
  <c r="O62" i="31" s="1"/>
  <c r="P38" i="31"/>
  <c r="O38" i="31" s="1"/>
  <c r="M7" i="31"/>
  <c r="M172" i="31" s="1"/>
  <c r="P18" i="31"/>
  <c r="O18" i="31" s="1"/>
  <c r="P37" i="31"/>
  <c r="O37" i="31" s="1"/>
  <c r="BX81" i="29"/>
  <c r="P15" i="31" s="1"/>
  <c r="BX208" i="29"/>
  <c r="P34" i="31" s="1"/>
  <c r="O34" i="31" s="1"/>
  <c r="BX276" i="29"/>
  <c r="P92" i="31" s="1"/>
  <c r="O92" i="31" s="1"/>
  <c r="BX145" i="29"/>
  <c r="P23" i="31" s="1"/>
  <c r="O23" i="31" s="1"/>
  <c r="BX368" i="29"/>
  <c r="P17" i="31" s="1"/>
  <c r="O17" i="31" s="1"/>
  <c r="O31" i="31" l="1"/>
  <c r="O40" i="31"/>
  <c r="O3" i="31"/>
  <c r="O15" i="31"/>
  <c r="BX222" i="29"/>
  <c r="BX1206" i="29" s="1"/>
  <c r="P7" i="31" l="1"/>
  <c r="O7" i="31" l="1"/>
  <c r="O7" i="20" l="1"/>
  <c r="P24" i="20"/>
  <c r="R36" i="20"/>
  <c r="R35" i="20"/>
  <c r="Q35" i="20"/>
  <c r="O34" i="20"/>
  <c r="N34" i="20"/>
  <c r="O33" i="20"/>
  <c r="N33" i="20"/>
  <c r="L33" i="20"/>
  <c r="O32" i="20"/>
  <c r="N32" i="20"/>
  <c r="O31" i="20"/>
  <c r="N31" i="20"/>
  <c r="N30" i="20"/>
  <c r="L30" i="20"/>
  <c r="O29" i="20"/>
  <c r="N29" i="20"/>
  <c r="B29" i="20"/>
  <c r="L28" i="20"/>
  <c r="B28" i="20"/>
  <c r="O27" i="20"/>
  <c r="N27" i="20"/>
  <c r="P26" i="20"/>
  <c r="O26" i="20"/>
  <c r="N26" i="20"/>
  <c r="P25" i="20"/>
  <c r="O25" i="20"/>
  <c r="N25" i="20"/>
  <c r="O24" i="20"/>
  <c r="N24" i="20"/>
  <c r="B23" i="20"/>
  <c r="O21" i="20"/>
  <c r="N21" i="20"/>
  <c r="O20" i="20"/>
  <c r="N20" i="20"/>
  <c r="B20" i="20"/>
  <c r="O19" i="20"/>
  <c r="N19" i="20"/>
  <c r="B19" i="20"/>
  <c r="O18" i="20"/>
  <c r="N18" i="20"/>
  <c r="S17" i="20"/>
  <c r="S16" i="20"/>
  <c r="S15" i="20"/>
  <c r="S14" i="20"/>
  <c r="S13" i="20"/>
  <c r="S12" i="20"/>
  <c r="N12" i="20"/>
  <c r="L12" i="20"/>
  <c r="S11" i="20"/>
  <c r="N11" i="20"/>
  <c r="S10" i="20"/>
  <c r="L10" i="20"/>
  <c r="S9" i="20"/>
  <c r="L9" i="20"/>
  <c r="S8" i="20"/>
  <c r="S7" i="20"/>
  <c r="S6" i="20"/>
  <c r="S5" i="20"/>
  <c r="O12" i="20"/>
  <c r="M21" i="20" l="1"/>
  <c r="P21" i="20" s="1"/>
  <c r="M18" i="20"/>
  <c r="P18" i="20" s="1"/>
  <c r="O9" i="20"/>
  <c r="S36" i="20"/>
  <c r="N35" i="20"/>
  <c r="S35" i="20"/>
  <c r="S39" i="20"/>
  <c r="U3" i="17"/>
  <c r="M17" i="20"/>
  <c r="P17" i="20" s="1"/>
  <c r="Z3" i="17"/>
  <c r="B4" i="17"/>
  <c r="B6" i="17"/>
  <c r="M28" i="20" l="1"/>
  <c r="P28" i="20" s="1"/>
  <c r="M27" i="20"/>
  <c r="P27" i="20" s="1"/>
  <c r="M30" i="20"/>
  <c r="P30" i="20" s="1"/>
  <c r="M22" i="20"/>
  <c r="P22" i="20" s="1"/>
  <c r="M29" i="20"/>
  <c r="O13" i="20"/>
  <c r="O14" i="20"/>
  <c r="O15" i="20"/>
  <c r="O6" i="20"/>
  <c r="O11" i="20"/>
  <c r="O17" i="20"/>
  <c r="O5" i="20"/>
  <c r="O10" i="20"/>
  <c r="O16" i="20"/>
  <c r="M12" i="20"/>
  <c r="P12" i="20" s="1"/>
  <c r="M5" i="20" l="1"/>
  <c r="P5" i="20" s="1"/>
  <c r="M6" i="20"/>
  <c r="P6" i="20" s="1"/>
  <c r="O35" i="20"/>
  <c r="R39" i="20"/>
  <c r="S41" i="20" s="1"/>
  <c r="M13" i="20"/>
  <c r="P13" i="20" s="1"/>
  <c r="M7" i="20"/>
  <c r="P7" i="20" s="1"/>
  <c r="M14" i="20"/>
  <c r="P14" i="20" s="1"/>
  <c r="M15" i="20"/>
  <c r="P15" i="20" s="1"/>
  <c r="M16" i="20"/>
  <c r="P16" i="20" s="1"/>
  <c r="M31" i="20" l="1"/>
  <c r="P31" i="20" s="1"/>
  <c r="M10" i="20"/>
  <c r="P10" i="20" s="1"/>
  <c r="M11" i="20"/>
  <c r="P11" i="20" s="1"/>
  <c r="M8" i="20" l="1"/>
  <c r="P8" i="20" s="1"/>
  <c r="Z8" i="17" l="1"/>
  <c r="B8" i="17"/>
  <c r="C8" i="17" s="1"/>
  <c r="Z4" i="17"/>
  <c r="Z11" i="17"/>
  <c r="Z9" i="17"/>
  <c r="Z7" i="17"/>
  <c r="Z6" i="17"/>
  <c r="W8" i="17" l="1"/>
  <c r="AA8" i="17" s="1"/>
  <c r="G4" i="19"/>
  <c r="H4" i="19" s="1"/>
  <c r="C11" i="19"/>
  <c r="C9" i="19"/>
  <c r="C8" i="19"/>
  <c r="C5" i="19"/>
  <c r="M33" i="20" l="1"/>
  <c r="P33" i="20" s="1"/>
  <c r="Z10" i="17"/>
  <c r="AA5" i="17"/>
  <c r="Z5" i="17"/>
  <c r="H19" i="19" l="1"/>
  <c r="H12" i="19"/>
  <c r="H13" i="19"/>
  <c r="H14" i="19"/>
  <c r="H15" i="19"/>
  <c r="H16" i="19"/>
  <c r="H17" i="19"/>
  <c r="H18" i="19"/>
  <c r="F3" i="19"/>
  <c r="G3" i="19"/>
  <c r="G5" i="19"/>
  <c r="G10" i="19"/>
  <c r="G6" i="19"/>
  <c r="H6" i="19" s="1"/>
  <c r="G7" i="19"/>
  <c r="E9" i="16"/>
  <c r="E6" i="16"/>
  <c r="E8" i="16"/>
  <c r="W4" i="17"/>
  <c r="B11" i="17"/>
  <c r="B10" i="17"/>
  <c r="B9" i="17"/>
  <c r="U9" i="17" s="1"/>
  <c r="B7" i="17"/>
  <c r="W6" i="17"/>
  <c r="W3" i="17"/>
  <c r="AA3" i="17" s="1"/>
  <c r="H3" i="19" l="1"/>
  <c r="M34" i="20"/>
  <c r="P34" i="20" s="1"/>
  <c r="M32" i="20"/>
  <c r="P32" i="20" s="1"/>
  <c r="C7" i="17"/>
  <c r="U7" i="17"/>
  <c r="AA9" i="17"/>
  <c r="S6" i="17"/>
  <c r="U6" i="17"/>
  <c r="S10" i="17"/>
  <c r="U10" i="17"/>
  <c r="AA10" i="17" s="1"/>
  <c r="S11" i="17"/>
  <c r="U11" i="17"/>
  <c r="C4" i="17"/>
  <c r="U4" i="17"/>
  <c r="AA4" i="17" s="1"/>
  <c r="C7" i="19"/>
  <c r="H7" i="19" s="1"/>
  <c r="C10" i="19"/>
  <c r="C3" i="17"/>
  <c r="C6" i="17"/>
  <c r="C11" i="17"/>
  <c r="C10" i="17"/>
  <c r="C9" i="17"/>
  <c r="AA6" i="17" l="1"/>
  <c r="AA11" i="17"/>
  <c r="AA7" i="17"/>
  <c r="C20" i="19"/>
  <c r="H10" i="19"/>
  <c r="G11" i="19" l="1"/>
  <c r="H11" i="19" s="1"/>
  <c r="G9" i="19"/>
  <c r="H9" i="19" s="1"/>
  <c r="G8" i="19"/>
  <c r="H5" i="19"/>
  <c r="H8" i="19" l="1"/>
  <c r="G20" i="19"/>
  <c r="F20" i="19"/>
  <c r="D20" i="19"/>
  <c r="E20" i="19"/>
  <c r="B20" i="19"/>
  <c r="H20" i="19" l="1"/>
  <c r="B5" i="17"/>
  <c r="C5" i="17" s="1"/>
  <c r="G4" i="17" l="1"/>
  <c r="Q4" i="17"/>
  <c r="O4" i="17"/>
  <c r="M4" i="17"/>
  <c r="K4" i="17"/>
  <c r="I4" i="17"/>
  <c r="I7" i="17"/>
  <c r="O7" i="17"/>
  <c r="M7" i="17"/>
  <c r="Q7" i="17"/>
  <c r="K7" i="17"/>
  <c r="G3" i="17"/>
  <c r="E3" i="17"/>
  <c r="K3" i="17"/>
  <c r="I3" i="17"/>
  <c r="Q3" i="17"/>
  <c r="O3" i="17"/>
  <c r="M3" i="17"/>
  <c r="E7" i="16" l="1"/>
  <c r="E10" i="16"/>
  <c r="E4" i="16"/>
  <c r="M20" i="20" l="1"/>
  <c r="P20" i="20" s="1"/>
  <c r="M23" i="20"/>
  <c r="P23" i="20" s="1"/>
  <c r="M19" i="20"/>
  <c r="C11" i="16"/>
  <c r="E11" i="16" s="1"/>
  <c r="C5" i="16"/>
  <c r="E5" i="16" s="1"/>
  <c r="A11" i="16"/>
  <c r="A10" i="16"/>
  <c r="A7" i="16"/>
  <c r="A5" i="16"/>
  <c r="A4" i="16"/>
  <c r="P19" i="20" l="1"/>
  <c r="E12" i="16"/>
  <c r="P39" i="2" l="1"/>
  <c r="M9" i="20" l="1"/>
  <c r="P9" i="20" l="1"/>
  <c r="P35" i="20" s="1"/>
  <c r="M35" i="20"/>
  <c r="P24" i="31" l="1"/>
  <c r="P172" i="31" s="1"/>
  <c r="O24" i="31" l="1"/>
  <c r="O2" i="31"/>
  <c r="O172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Diana Miranda</author>
  </authors>
  <commentList>
    <comment ref="R4" authorId="0" shapeId="0" xr:uid="{DA560C44-F111-4628-806F-FE1D09484CE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NF+BPR
</t>
        </r>
      </text>
    </comment>
    <comment ref="K20" authorId="0" shapeId="0" xr:uid="{5AEA9D90-8982-4C9B-AA9A-13E6CCF5C22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L20" authorId="0" shapeId="0" xr:uid="{C67BAA34-635B-499F-97F8-10F9EEF1F7D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M20" authorId="0" shapeId="0" xr:uid="{A4443DC4-F11D-41CD-A1F4-CEA2B783335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N20" authorId="0" shapeId="0" xr:uid="{3F39D9AE-E173-4422-9A7E-0C49840D3D2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O20" authorId="0" shapeId="0" xr:uid="{71C2DF37-A667-4A0A-805D-3861BF5A79E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P20" authorId="0" shapeId="0" xr:uid="{479A2E09-97CA-46CF-BBF4-DDE3B6662CD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Q20" authorId="0" shapeId="0" xr:uid="{F780100A-F2E6-4C20-9386-AACB1DCEB63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R20" authorId="0" shapeId="0" xr:uid="{C0136F4C-7F45-4251-B74A-4F9B8DD7295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+BPL</t>
        </r>
      </text>
    </comment>
    <comment ref="S20" authorId="0" shapeId="0" xr:uid="{BD6285E2-122A-4184-8A71-5B80BE77EC8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T20" authorId="0" shapeId="0" xr:uid="{37FB87B0-8451-41C5-8760-2607F4D4E78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U20" authorId="0" shapeId="0" xr:uid="{B50DC71A-68F9-4019-852A-CC349C60CE2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V20" authorId="0" shapeId="0" xr:uid="{9B3DE584-0CA9-41A1-8F8C-EA25A58445A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W20" authorId="0" shapeId="0" xr:uid="{F1ACCDED-28B7-444B-9826-25AF979CC7F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X20" authorId="0" shapeId="0" xr:uid="{64BD7B95-50EB-4229-B6A9-63EADAB3569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Y20" authorId="0" shapeId="0" xr:uid="{756F8D05-3168-47AC-89DF-9023CD6DD04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Z20" authorId="0" shapeId="0" xr:uid="{3944F71C-DBC1-42F9-A327-D3DDFD13A48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AA20" authorId="0" shapeId="0" xr:uid="{2CCC5872-8907-4C97-AC19-872D69844B3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AB20" authorId="0" shapeId="0" xr:uid="{FA687B3A-0097-4A88-8366-B852BAFE90D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  <comment ref="AC20" authorId="0" shapeId="0" xr:uid="{33834FEF-61E3-4373-8F23-AF43550FC6B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+BPL</t>
        </r>
      </text>
    </comment>
    <comment ref="AD20" authorId="0" shapeId="0" xr:uid="{D4E45E36-39C3-48C6-A2ED-120EFB1896E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Valor mensal + abastecimentos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Diana Miranda</author>
  </authors>
  <commentList>
    <comment ref="AN4" authorId="0" shapeId="0" xr:uid="{B2AB5AC1-F2F8-4D99-84C3-3F78236A9DD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Uber
</t>
        </r>
      </text>
    </comment>
    <comment ref="V10" authorId="0" shapeId="0" xr:uid="{11BBD202-E4F0-4280-AAF7-20175406A44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Houve um adiantamento da cesta e foi pago mais uma vez</t>
        </r>
      </text>
    </comment>
    <comment ref="P16" authorId="0" shapeId="0" xr:uid="{3AACC0CB-5397-47E1-BA2F-9C85C3B6ADB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
</t>
        </r>
      </text>
    </comment>
    <comment ref="Q16" authorId="0" shapeId="0" xr:uid="{023FDBD8-E8C7-4524-97F8-10E02A2C974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R16" authorId="0" shapeId="0" xr:uid="{ACFE273A-0D2E-4993-AAE7-5C96BE18535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S16" authorId="0" shapeId="0" xr:uid="{8322AC17-34D6-4C4F-AFBF-AA80602D125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T16" authorId="0" shapeId="0" xr:uid="{C7276711-36B7-4659-B1FF-8C69A13F404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U16" authorId="0" shapeId="0" xr:uid="{6D5E9FF1-C22C-45D0-8D30-FD23393D15C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V16" authorId="0" shapeId="0" xr:uid="{4B7A1D6B-3BBC-470D-9DC5-11D5EE062C5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W16" authorId="0" shapeId="0" xr:uid="{D1FA2C66-4CA4-4904-A700-C3F42F5BFE8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
</t>
        </r>
      </text>
    </comment>
    <comment ref="X16" authorId="0" shapeId="0" xr:uid="{8B5B88A9-26C5-41E6-A15D-1592A28970B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13º+INSS+DESCONTO VT</t>
        </r>
      </text>
    </comment>
    <comment ref="Y16" authorId="0" shapeId="0" xr:uid="{FAE6D009-6CB0-46CA-B569-17F1035BB11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</t>
        </r>
      </text>
    </comment>
    <comment ref="Z16" authorId="0" shapeId="0" xr:uid="{E6F5CEF1-FEC7-4020-8A61-5044C9184BD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</t>
        </r>
      </text>
    </comment>
    <comment ref="AA16" authorId="0" shapeId="0" xr:uid="{BE6589D2-D5BF-4085-B662-65EFC8A894E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
</t>
        </r>
      </text>
    </comment>
    <comment ref="AB16" authorId="0" shapeId="0" xr:uid="{718A1CCE-7FEF-4B04-8364-B4F516DF34D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
</t>
        </r>
      </text>
    </comment>
    <comment ref="AC16" authorId="0" shapeId="0" xr:uid="{CC676658-7E0A-455F-A194-02196A9E128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VT+DESCONTO ADTO
</t>
        </r>
      </text>
    </comment>
    <comment ref="AD16" authorId="0" shapeId="0" xr:uid="{321BC149-22ED-4C2F-A67C-73B309A1825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VT+DESCONTO ADTO</t>
        </r>
      </text>
    </comment>
    <comment ref="AE16" authorId="0" shapeId="0" xr:uid="{C2EAA8A5-73DE-4DA7-997F-0A69D4D23ED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Ajuste da diferença de R$ 6,67</t>
        </r>
      </text>
    </comment>
    <comment ref="BX17" authorId="0" shapeId="0" xr:uid="{F1F47A39-D263-4D27-971A-4DD96B73396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R$ 102,30 primeiro vt não consta no GC</t>
        </r>
      </text>
    </comment>
    <comment ref="AN21" authorId="0" shapeId="0" xr:uid="{A5DE2B07-3F4F-439F-AD47-9E808EFE13F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Uber
</t>
        </r>
      </text>
    </comment>
    <comment ref="BX33" authorId="0" shapeId="0" xr:uid="{78E84B5F-BFD4-4A5D-AF39-27262A4C245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R$ 102,30 primeiro vt não consta no GC</t>
        </r>
      </text>
    </comment>
    <comment ref="AN37" authorId="0" shapeId="0" xr:uid="{39174BD9-89F3-472F-B68E-A2ECE237C2A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Uber
</t>
        </r>
      </text>
    </comment>
    <comment ref="BX49" authorId="0" shapeId="0" xr:uid="{36F8CF89-345F-47C5-ACAA-7DD2E558F41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R$ 102,30 primeiro vt não consta no GC</t>
        </r>
      </text>
    </comment>
    <comment ref="AN53" authorId="0" shapeId="0" xr:uid="{7561D171-356D-4C50-B11E-67FAF6585FB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Uber
</t>
        </r>
      </text>
    </comment>
    <comment ref="AN69" authorId="0" shapeId="0" xr:uid="{26264BDA-42F4-4EC6-9E61-D19B5CC109F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Uber
</t>
        </r>
      </text>
    </comment>
    <comment ref="V75" authorId="0" shapeId="0" xr:uid="{C283005A-D23C-4960-993A-DF33463CAED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Houve um adiantamento da cesta e foi pago mais uma vez</t>
        </r>
      </text>
    </comment>
    <comment ref="P80" authorId="0" shapeId="0" xr:uid="{FAEF4C3C-3808-4843-A5CD-146EC12DE8A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
</t>
        </r>
      </text>
    </comment>
    <comment ref="Q80" authorId="0" shapeId="0" xr:uid="{5D65A28C-1E25-421E-8F3A-73E77C8BB77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R80" authorId="0" shapeId="0" xr:uid="{801CFCB1-BC10-453D-B076-A46CC621A86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S80" authorId="0" shapeId="0" xr:uid="{4CC80952-FB88-4941-BB21-AE1E32B1B07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T80" authorId="0" shapeId="0" xr:uid="{1F476449-B77A-4660-B777-98464DCFC23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U80" authorId="0" shapeId="0" xr:uid="{0B774BBA-E5BD-4C3E-B300-92E48E5D709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V80" authorId="0" shapeId="0" xr:uid="{5FA2F22C-9C12-4571-8D7A-320D50FE1B8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W80" authorId="0" shapeId="0" xr:uid="{C8D55EF3-61A0-4BCB-B476-1264F749B1F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
</t>
        </r>
      </text>
    </comment>
    <comment ref="X80" authorId="0" shapeId="0" xr:uid="{A0209A29-0DDF-4F6A-B1AD-8A54697640F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13º+INSS+DESCONTO VT</t>
        </r>
      </text>
    </comment>
    <comment ref="Y80" authorId="0" shapeId="0" xr:uid="{941AC0D2-1C6E-429F-B2EC-6D66661CE62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</t>
        </r>
      </text>
    </comment>
    <comment ref="Z80" authorId="0" shapeId="0" xr:uid="{C1FF7A25-9FBB-46F7-AD0F-4D9AED399AA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</t>
        </r>
      </text>
    </comment>
    <comment ref="AA80" authorId="0" shapeId="0" xr:uid="{5D93E173-1D47-4D2F-AFCD-A05E1CB5DA5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
</t>
        </r>
      </text>
    </comment>
    <comment ref="AB80" authorId="0" shapeId="0" xr:uid="{04AA19B6-CAB8-4CEE-B6D9-DED09815685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
</t>
        </r>
      </text>
    </comment>
    <comment ref="AC80" authorId="0" shapeId="0" xr:uid="{FAEBBCB6-0E87-46B7-A6F5-7C810590AAD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VT+DESCONTO ADTO
</t>
        </r>
      </text>
    </comment>
    <comment ref="AD80" authorId="0" shapeId="0" xr:uid="{3D3F4711-DE9C-4BD4-A80B-514AF66D0BB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VT+DESCONTO ADTO</t>
        </r>
      </text>
    </comment>
    <comment ref="AE80" authorId="0" shapeId="0" xr:uid="{C15C4895-602D-4D05-82EB-3A569E8134D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Ajuste da diferença de R$ 6,67</t>
        </r>
      </text>
    </comment>
    <comment ref="BX81" authorId="0" shapeId="0" xr:uid="{385E63A3-C395-4B64-9FAF-0452A838EFE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R$ 102,30 primeiro vt não consta no GC</t>
        </r>
      </text>
    </comment>
    <comment ref="AN85" authorId="0" shapeId="0" xr:uid="{7793AC26-A758-4024-A237-826DA34CC21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Uber
</t>
        </r>
      </text>
    </comment>
    <comment ref="V91" authorId="0" shapeId="0" xr:uid="{C42D9293-3E6E-410E-8399-75C8E114D95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Houve um adiantamento da cesta e foi pago mais uma vez</t>
        </r>
      </text>
    </comment>
    <comment ref="P96" authorId="0" shapeId="0" xr:uid="{C1331D59-F88B-4821-9D6F-647C5DFBF16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
</t>
        </r>
      </text>
    </comment>
    <comment ref="Q96" authorId="0" shapeId="0" xr:uid="{949D3EBB-E1F7-4185-AFC2-47C2F9E7D61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R96" authorId="0" shapeId="0" xr:uid="{E24FF1C0-3BC6-4D8F-A606-E9B4B3323DC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S96" authorId="0" shapeId="0" xr:uid="{92B44216-143B-44EB-B40F-321DED43824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T96" authorId="0" shapeId="0" xr:uid="{3BC39A2E-CEBD-409C-B2A7-B33320298B7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ADTO</t>
        </r>
      </text>
    </comment>
    <comment ref="U96" authorId="0" shapeId="0" xr:uid="{C78B8BFE-CFEE-4F60-A013-C9A44585718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V96" authorId="0" shapeId="0" xr:uid="{077373E5-93D9-4DA4-A552-13C65C3F9E5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W96" authorId="0" shapeId="0" xr:uid="{4C09F113-4F35-407D-9BD8-B24BC614BFD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
</t>
        </r>
      </text>
    </comment>
    <comment ref="X96" authorId="0" shapeId="0" xr:uid="{F19AC7A7-7290-4E3B-AA47-EB3367E33F5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13º+INSS+DESCONTO VT</t>
        </r>
      </text>
    </comment>
    <comment ref="Y96" authorId="0" shapeId="0" xr:uid="{2D6B3234-5FAB-4830-8193-67C385A4BE6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</t>
        </r>
      </text>
    </comment>
    <comment ref="Z96" authorId="0" shapeId="0" xr:uid="{1E5FBC4E-06F9-44C4-9650-7961F5BE910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</t>
        </r>
      </text>
    </comment>
    <comment ref="AA96" authorId="0" shapeId="0" xr:uid="{A68B1962-F8C1-4954-9630-CC4950ACE69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
</t>
        </r>
      </text>
    </comment>
    <comment ref="AB96" authorId="0" shapeId="0" xr:uid="{DAEAAFAB-161A-4A98-8EC1-8DA1EFB7375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
</t>
        </r>
      </text>
    </comment>
    <comment ref="AC96" authorId="0" shapeId="0" xr:uid="{2357A272-0881-4F84-B9B3-CBA701EC3CF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VT+DESCONTO ADTO
</t>
        </r>
      </text>
    </comment>
    <comment ref="AD96" authorId="0" shapeId="0" xr:uid="{C43C393F-B51C-4C34-857B-1E5379B98F2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VT+DESCONTO ADTO</t>
        </r>
      </text>
    </comment>
    <comment ref="AE96" authorId="0" shapeId="0" xr:uid="{C11F4AEF-A749-4FBB-96D5-3FD52B663F4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Ajuste da diferença de R$ 6,67</t>
        </r>
      </text>
    </comment>
    <comment ref="BX97" authorId="0" shapeId="0" xr:uid="{F9363CAF-BA90-439E-B111-BD733E20DC7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R$ 102,30 primeiro vt não consta no GC</t>
        </r>
      </text>
    </comment>
    <comment ref="AD113" authorId="0" shapeId="0" xr:uid="{BC241AFB-03EC-48DE-A462-17C71C189AB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R$ 22,73 ajustado</t>
        </r>
      </text>
    </comment>
    <comment ref="BX113" authorId="0" shapeId="0" xr:uid="{DE692C22-F01E-48F3-B017-E8D49F47D5C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de R$ 1.645,49 é referente ao FGTS pago na Rescisão da colaboradora</t>
        </r>
      </text>
    </comment>
    <comment ref="W144" authorId="0" shapeId="0" xr:uid="{00A27C00-A884-4D4C-9384-31DCB5348EB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
</t>
        </r>
      </text>
    </comment>
    <comment ref="X144" authorId="0" shapeId="0" xr:uid="{2BE80962-69D8-414F-A380-4875211339B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VT+DESC. 13º</t>
        </r>
      </text>
    </comment>
    <comment ref="Y144" authorId="0" shapeId="0" xr:uid="{7F9F70C3-020F-48CE-A70A-19D0148D875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</t>
        </r>
      </text>
    </comment>
    <comment ref="Z144" authorId="0" shapeId="0" xr:uid="{C572ED0C-2A78-4244-91D1-FF452DB03A0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</t>
        </r>
      </text>
    </comment>
    <comment ref="AA144" authorId="0" shapeId="0" xr:uid="{82499823-5FB8-4D66-951A-508E1673D85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</t>
        </r>
      </text>
    </comment>
    <comment ref="AB144" authorId="0" shapeId="0" xr:uid="{E66A3C79-CEE7-43CE-800D-DB079735F00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</t>
        </r>
      </text>
    </comment>
    <comment ref="AC144" authorId="0" shapeId="0" xr:uid="{26881B91-A0B5-4058-AEEA-9D58E3BE10F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INSS+DESCONTO VT</t>
        </r>
      </text>
    </comment>
    <comment ref="AD144" authorId="0" shapeId="0" xr:uid="{EC4B87A8-812A-4910-BBF6-2998CF30BDA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INSS+IRRF+DESC VT
</t>
        </r>
      </text>
    </comment>
    <comment ref="AE144" authorId="0" shapeId="0" xr:uid="{4E9374FE-28A9-4CEF-93F2-0EC9C0613DC9}">
      <text>
        <r>
          <rPr>
            <b/>
            <sz val="9"/>
            <color indexed="81"/>
            <rFont val="Segoe UI"/>
            <family val="2"/>
          </rPr>
          <t>Diana Miranda:
INSS</t>
        </r>
      </text>
    </comment>
    <comment ref="AD145" authorId="0" shapeId="0" xr:uid="{0F6A68F8-1457-4080-83A5-08F9280B6FB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R$ 22,73 ajustado</t>
        </r>
      </text>
    </comment>
    <comment ref="BX145" authorId="0" shapeId="0" xr:uid="{55D43CC9-6A3B-48B9-85B8-3907D329108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de R$ 1.645,49 é referente ao FGTS pago na Rescisão da colaboradora</t>
        </r>
      </text>
    </comment>
    <comment ref="BX184" authorId="0" shapeId="0" xr:uid="{22C88933-747A-4AC0-A4BB-B6853449910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de R$ 313,25 por conta do FGTS - Recisório</t>
        </r>
      </text>
    </comment>
    <comment ref="O207" authorId="0" shapeId="0" xr:uid="{EC917183-DD01-446F-9BF0-667023E55E5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207" authorId="0" shapeId="0" xr:uid="{1CE42348-04D0-4B9C-B606-F1CE5469C32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207" authorId="0" shapeId="0" xr:uid="{5D72535D-A285-49D7-893F-AEDC5FDB22B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207" authorId="0" shapeId="0" xr:uid="{FE1A7EA7-749A-4854-B1AA-2BBFE130BAB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
</t>
        </r>
      </text>
    </comment>
    <comment ref="S207" authorId="0" shapeId="0" xr:uid="{71FAB532-A535-4C72-9D77-064ECD0B67A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T207" authorId="0" shapeId="0" xr:uid="{6BB5B2FE-D826-4F06-BC50-BBE73928ECF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U207" authorId="0" shapeId="0" xr:uid="{8BBE3FEB-22FC-4134-B1C2-54D50AF6108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V207" authorId="0" shapeId="0" xr:uid="{CA1178B9-96FA-456C-B10F-5AA4A91671B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W207" authorId="0" shapeId="0" xr:uid="{0168FBB7-4A4E-4A4C-876F-A4279CC6B6D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X207" authorId="0" shapeId="0" xr:uid="{FDD679D3-0A38-4F23-BED3-10D3AA1A720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13º</t>
        </r>
      </text>
    </comment>
    <comment ref="Y207" authorId="0" shapeId="0" xr:uid="{F62BB493-1B25-4707-ACA3-E712BA184B7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Z207" authorId="0" shapeId="0" xr:uid="{4AD0CF28-4DE7-49B8-A0BE-2159BCB882F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AA207" authorId="0" shapeId="0" xr:uid="{E0C9B64B-0546-4370-9EB8-203962829EA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AB207" authorId="0" shapeId="0" xr:uid="{3E16A776-E313-494A-B555-A77295506CE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AC207" authorId="0" shapeId="0" xr:uid="{DDA5EA46-8D42-4C89-BB78-44356C4E21F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AD207" authorId="0" shapeId="0" xr:uid="{AC7B0ADE-E2BD-424B-AC00-37E9F45D89A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BX208" authorId="0" shapeId="0" xr:uid="{D72065FF-5235-4933-BD95-A64B2068C9A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e a planilha:
R$ 927,15 FGTS - Rescisão 
R$ 70,00 reembolso combustivel</t>
        </r>
      </text>
    </comment>
    <comment ref="K275" authorId="0" shapeId="0" xr:uid="{1FAE381F-1C3F-44B1-9353-76F4EFEF99D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VALE</t>
        </r>
      </text>
    </comment>
    <comment ref="L275" authorId="0" shapeId="0" xr:uid="{C5AAA9B9-B435-4AAB-B1BF-18F2429CAE3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VALE</t>
        </r>
      </text>
    </comment>
    <comment ref="M275" authorId="0" shapeId="0" xr:uid="{2009A69B-6BE2-4696-BE7A-C85C026DF46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N275" authorId="0" shapeId="0" xr:uid="{B8DCCF43-80B4-4829-AE05-F768092A3CB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VALE</t>
        </r>
      </text>
    </comment>
    <comment ref="Z301" authorId="0" shapeId="0" xr:uid="{2F5AD22A-C209-4CEB-88E6-B352B48B0C7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INSS+FALTA+DESC VT</t>
        </r>
      </text>
    </comment>
    <comment ref="AA301" authorId="0" shapeId="0" xr:uid="{663D94DC-0701-4862-971F-72E440233B3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AB301" authorId="0" shapeId="0" xr:uid="{5724A027-89E8-44A8-9E20-B4941668368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AC301" authorId="0" shapeId="0" xr:uid="{7354B7F4-F31E-4C30-BB46-A4FDBA1308B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</t>
        </r>
      </text>
    </comment>
    <comment ref="AE301" authorId="0" shapeId="0" xr:uid="{7362086B-4FF9-45A5-954F-53C6D5B8F6B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Z314" authorId="0" shapeId="0" xr:uid="{4D91E49B-1F22-489F-BE5E-33E329A8E25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INSS+FALTA+DESC VT</t>
        </r>
      </text>
    </comment>
    <comment ref="AA314" authorId="0" shapeId="0" xr:uid="{33F64A8D-8716-4D3E-8332-2E845B34332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AB314" authorId="0" shapeId="0" xr:uid="{221134A5-1973-4986-B54A-466D9288F27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AC314" authorId="0" shapeId="0" xr:uid="{0167F5C5-19AE-4112-A5C6-723C474930B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</t>
        </r>
      </text>
    </comment>
    <comment ref="AE314" authorId="0" shapeId="0" xr:uid="{6BBB134A-D7EA-44AE-9D52-939BFC7F9EE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BX315" authorId="0" shapeId="0" xr:uid="{43754DBB-4840-4AE9-9643-DC2B53B2379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da Planilha R$ 99,80, referente ao custo de nr</t>
        </r>
      </text>
    </comment>
    <comment ref="Z327" authorId="0" shapeId="0" xr:uid="{9CF44071-F2C2-4B8A-B2E2-2FCC5FC0135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INSS+FALTA+DESC VT</t>
        </r>
      </text>
    </comment>
    <comment ref="AA327" authorId="0" shapeId="0" xr:uid="{09A680CD-4149-4870-8B15-729065FD838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AB327" authorId="0" shapeId="0" xr:uid="{030CCF05-7B48-49D7-A44C-7E7A7B25F24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AC327" authorId="0" shapeId="0" xr:uid="{2330B3C1-722B-4D43-B158-1D855FCBF04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</t>
        </r>
      </text>
    </comment>
    <comment ref="AE327" authorId="0" shapeId="0" xr:uid="{2D4E40F2-BDA4-45F3-BAF5-CFC42998A22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Z340" authorId="0" shapeId="0" xr:uid="{2255AC7C-72CF-4810-99A2-D127E21AE3A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INSS+FALTA+DESC VT</t>
        </r>
      </text>
    </comment>
    <comment ref="AA340" authorId="0" shapeId="0" xr:uid="{90529F6F-6A51-4A48-B44F-75D996D3BCF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AB340" authorId="0" shapeId="0" xr:uid="{555DA0BF-DB40-4B02-B59A-4C7BD423409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AC340" authorId="0" shapeId="0" xr:uid="{6DE994DA-B64A-488F-BAD2-AA2AE3CB886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</t>
        </r>
      </text>
    </comment>
    <comment ref="AE340" authorId="0" shapeId="0" xr:uid="{87FEEA2A-EE72-4E6F-8989-3AEF9B1D77D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Z353" authorId="0" shapeId="0" xr:uid="{DF4D1B4A-4ADB-45E6-91DC-8043D013504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INSS+FALTA+DESC VT</t>
        </r>
      </text>
    </comment>
    <comment ref="AA353" authorId="0" shapeId="0" xr:uid="{49D69F4C-AB41-4AB4-9F18-4438FBFA47A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AB353" authorId="0" shapeId="0" xr:uid="{D29A4144-C7E3-4936-A0DC-77C3F8653E6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AC353" authorId="0" shapeId="0" xr:uid="{3793E660-549E-4D9B-BB35-13C848F0A7E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</t>
        </r>
      </text>
    </comment>
    <comment ref="AE353" authorId="0" shapeId="0" xr:uid="{0BDAF042-5C11-43B7-BE59-B1BA187911F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Z367" authorId="0" shapeId="0" xr:uid="{B765D8FE-699C-49A8-8A50-7CDF3772061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INSS+FALTA+DESC VT</t>
        </r>
      </text>
    </comment>
    <comment ref="AA367" authorId="0" shapeId="0" xr:uid="{FE43BA95-E557-47C8-B7E6-89A81F5F972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AB367" authorId="0" shapeId="0" xr:uid="{5552C383-E3F8-4999-B66F-D75FC06AC0D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AC367" authorId="0" shapeId="0" xr:uid="{EDAE67B6-7513-42F5-8091-28E7F8DF6F2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</t>
        </r>
      </text>
    </comment>
    <comment ref="AE367" authorId="0" shapeId="0" xr:uid="{E9011373-B805-42CD-8028-42B21B2AF0B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Z380" authorId="0" shapeId="0" xr:uid="{B3230E35-4A0D-4F2B-B60C-DFF5745577F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INSS+FALTA+DESC VT</t>
        </r>
      </text>
    </comment>
    <comment ref="AA380" authorId="0" shapeId="0" xr:uid="{E7D2BCF6-FFE0-42DE-8D36-B83FF6AA0E6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AB380" authorId="0" shapeId="0" xr:uid="{2123EFA2-621D-418D-9A5B-7EA05A9C028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INSS+DESC. VT</t>
        </r>
      </text>
    </comment>
    <comment ref="AC380" authorId="0" shapeId="0" xr:uid="{4C68B054-93CF-4F84-8739-9850563766D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INSS+FALTA</t>
        </r>
      </text>
    </comment>
    <comment ref="AE380" authorId="0" shapeId="0" xr:uid="{67DC70BF-AB23-449C-BE53-D624EF171A8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AG462" authorId="0" shapeId="0" xr:uid="{55A60921-4095-4D8D-9244-DBD59314ADE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Contém diferença salárial - R$ 222,17</t>
        </r>
      </text>
    </comment>
    <comment ref="BX472" authorId="0" shapeId="0" xr:uid="{120BEAD4-99EE-4E8C-B500-7614349D3AA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com a planilha R$ 50,00 reais exame admissional</t>
        </r>
      </text>
    </comment>
    <comment ref="AG475" authorId="0" shapeId="0" xr:uid="{1BFA7E43-6739-477E-B649-F85869130BD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Contém diferença salárial - R$ 222,17</t>
        </r>
      </text>
    </comment>
    <comment ref="BX485" authorId="0" shapeId="0" xr:uid="{32EB2C92-F28C-4513-BE9C-5FE9FEB6FE3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com a planilha R$ 50,00 reais exame admissional</t>
        </r>
      </text>
    </comment>
    <comment ref="AG488" authorId="0" shapeId="0" xr:uid="{F0891268-988C-46AC-9D14-5AA62CA6254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Contém diferença salárial - R$ 222,17</t>
        </r>
      </text>
    </comment>
    <comment ref="BX511" authorId="0" shapeId="0" xr:uid="{87FBB6B8-CDAA-45E3-9208-711E77E192F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com a planilha: R$ 14,80, referente ao FGTS de rescisão</t>
        </r>
      </text>
    </comment>
    <comment ref="K537" authorId="0" shapeId="0" xr:uid="{890B8938-3BEB-46BC-9989-C4786209592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L537" authorId="0" shapeId="0" xr:uid="{4E56AFD6-BF5F-4288-87AD-748651DA246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13º</t>
        </r>
      </text>
    </comment>
    <comment ref="M537" authorId="0" shapeId="0" xr:uid="{3EF157E0-F11B-4401-8A4F-ED81950BB22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N537" authorId="0" shapeId="0" xr:uid="{795D340B-45CD-4859-BF94-DABCF9659D0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537" authorId="0" shapeId="0" xr:uid="{C91753C9-08A3-437C-AE5A-533EDF753EE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537" authorId="0" shapeId="0" xr:uid="{EF7C70F9-2824-4A05-92AA-80AD7639F5D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537" authorId="0" shapeId="0" xr:uid="{228B560B-3328-4ABA-8AF0-14E0786CBA6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537" authorId="0" shapeId="0" xr:uid="{803101A2-26E1-4D70-A92A-3EB9A08A697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S537" authorId="0" shapeId="0" xr:uid="{B08F201F-4277-41EF-8719-61EF21C9135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T537" authorId="0" shapeId="0" xr:uid="{53C2FE3A-6CCF-413F-9C18-6639C533DDC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U537" authorId="0" shapeId="0" xr:uid="{8DB356B3-AC7F-418A-8044-AE23718060B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V537" authorId="0" shapeId="0" xr:uid="{2004AC19-87C3-4DF1-B9DD-45212667704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W537" authorId="0" shapeId="0" xr:uid="{A7E7A2CF-037E-4982-8E78-A66084B8854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X537" authorId="0" shapeId="0" xr:uid="{F4A83454-BCAB-42A2-8FE3-108C7C97A53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13º
</t>
        </r>
      </text>
    </comment>
    <comment ref="Y537" authorId="0" shapeId="0" xr:uid="{9CB352C4-182D-4BB8-B23C-A11473858DB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Z537" authorId="0" shapeId="0" xr:uid="{269E7004-871A-4476-B9D0-09E4D3D46F2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VT+FALTA
</t>
        </r>
      </text>
    </comment>
    <comment ref="AA537" authorId="0" shapeId="0" xr:uid="{17B59BA4-059A-4C09-8867-980F250FEA0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
</t>
        </r>
      </text>
    </comment>
    <comment ref="AB537" authorId="0" shapeId="0" xr:uid="{38B18972-6FC1-45DB-A505-929F050D518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
</t>
        </r>
      </text>
    </comment>
    <comment ref="AC537" authorId="0" shapeId="0" xr:uid="{F1654A8B-AEF6-44BE-9182-AA345797E36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
</t>
        </r>
      </text>
    </comment>
    <comment ref="AD537" authorId="0" shapeId="0" xr:uid="{C7B71FD5-B014-4842-A2E0-73040D11A06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
</t>
        </r>
      </text>
    </comment>
    <comment ref="AE537" authorId="0" shapeId="0" xr:uid="{7F5A9ECE-785E-479D-B3B5-49731322A9E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AG541" authorId="0" shapeId="0" xr:uid="{DBDA03B5-6EE9-44D7-AE7A-2FBB6C6CB8F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Contém diferença salárial - R$ 222,17</t>
        </r>
      </text>
    </comment>
    <comment ref="BX551" authorId="0" shapeId="0" xr:uid="{68E86A87-7A5E-4B4B-AF02-9EBDC006501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com a planilha R$ 50,00 reais exame admissional</t>
        </r>
      </text>
    </comment>
    <comment ref="AG554" authorId="0" shapeId="0" xr:uid="{4238376F-7E06-420E-BE92-653F798818A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Contém diferença salárial - R$ 222,17</t>
        </r>
      </text>
    </comment>
    <comment ref="BX564" authorId="0" shapeId="0" xr:uid="{C284C71D-934F-4D98-8ACA-2E8C1C870AD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com a planilha R$ 50,00 reais exame admissional</t>
        </r>
      </text>
    </comment>
    <comment ref="AG567" authorId="0" shapeId="0" xr:uid="{8008359B-1BEC-4A48-8069-EC4E30C0420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Contém diferença salárial - R$ 222,17</t>
        </r>
      </text>
    </comment>
    <comment ref="AG581" authorId="0" shapeId="0" xr:uid="{2A1174CA-18EA-471B-9C86-2CFBECD287F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Contém diferença salárial - R$ 222,17</t>
        </r>
      </text>
    </comment>
    <comment ref="BX591" authorId="0" shapeId="0" xr:uid="{1C6C5B44-4E90-4F6C-8CB9-75F1828A598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com a planilha R$ 50,00 reais exame admissional</t>
        </r>
      </text>
    </comment>
    <comment ref="AG594" authorId="0" shapeId="0" xr:uid="{FA4455C3-E033-4707-B4E0-169E08AB192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Contém diferença salárial - R$ 222,17</t>
        </r>
      </text>
    </comment>
    <comment ref="BX604" authorId="0" shapeId="0" xr:uid="{BF0BA1DE-8D18-47F0-B79B-DFA4CADB67F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com a planilha R$ 50,00 reais exame admissional</t>
        </r>
      </text>
    </comment>
    <comment ref="AG607" authorId="0" shapeId="0" xr:uid="{5346F909-5924-4F88-9D5A-2643675E3FA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Contém diferença salárial - R$ 222,17</t>
        </r>
      </text>
    </comment>
    <comment ref="BX617" authorId="0" shapeId="0" xr:uid="{AB019667-EBF9-4BB8-A10E-B93F6F2312B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com a planilha R$ 50,00 reais exame admissional</t>
        </r>
      </text>
    </comment>
    <comment ref="AG620" authorId="0" shapeId="0" xr:uid="{D1A4AF0A-995D-4518-B7C7-5DA645E6B6F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Contém diferença salárial - R$ 222,17</t>
        </r>
      </text>
    </comment>
    <comment ref="BX630" authorId="0" shapeId="0" xr:uid="{FC360198-9F8B-4480-B8E5-769BD5BE768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com a planilha R$ 50,00 reais exame admissional</t>
        </r>
      </text>
    </comment>
    <comment ref="N641" authorId="0" shapeId="0" xr:uid="{F7A6EB30-7199-4B69-B3B7-8E0B4408D2A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641" authorId="0" shapeId="0" xr:uid="{4E735B85-389D-4DA0-ADAF-FB11A090CD7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641" authorId="0" shapeId="0" xr:uid="{A2098FCE-DEDF-48AA-909E-EE177D93632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641" authorId="0" shapeId="0" xr:uid="{4FDDE760-8C0C-4AF5-A647-F316E76DB00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641" authorId="0" shapeId="0" xr:uid="{0A8A19D2-91C1-4004-B286-5D5DA6DCBA8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641" authorId="0" shapeId="0" xr:uid="{662EC976-C7D0-4423-9079-517F1C75490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641" authorId="0" shapeId="0" xr:uid="{8ECA5C86-CDAF-4603-BE8B-91DAA208DB3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641" authorId="0" shapeId="0" xr:uid="{3BE8716E-C0BD-44D8-9399-26CB5C3AB87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641" authorId="0" shapeId="0" xr:uid="{58E6C0CB-BC40-4D64-8E4D-ED1E37DCB99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641" authorId="0" shapeId="0" xr:uid="{6BCB6685-0B08-452E-BA3A-C938450F882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641" authorId="0" shapeId="0" xr:uid="{DE137D1B-E4A7-4BDC-BF19-69CA751A33A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641" authorId="0" shapeId="0" xr:uid="{1DF9F93C-682F-454C-B42A-0532C3BF771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654" authorId="0" shapeId="0" xr:uid="{651ACFC0-1FAC-40A9-A8D6-EB8312B6D43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654" authorId="0" shapeId="0" xr:uid="{C25B24C2-8EDF-4E1A-ADC0-A42A95439DA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654" authorId="0" shapeId="0" xr:uid="{A2DAF421-3910-4E8C-B6E7-A4F64DAD934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654" authorId="0" shapeId="0" xr:uid="{339EDAD9-7233-4AA1-B2E5-2C16790018F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654" authorId="0" shapeId="0" xr:uid="{7D990EB8-D7BA-4A45-9D89-F7C5DB58A80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654" authorId="0" shapeId="0" xr:uid="{8F914293-A2ED-4A50-A726-94BE6DAF450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654" authorId="0" shapeId="0" xr:uid="{ED9584E4-F6AB-48EE-AA8D-6EA3F9E2074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654" authorId="0" shapeId="0" xr:uid="{F384ABEE-EFA9-4EDD-8339-D0E2D2154A3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654" authorId="0" shapeId="0" xr:uid="{0661D519-B2DB-44DA-8816-02F55B5139E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654" authorId="0" shapeId="0" xr:uid="{289AC20E-28E9-406A-A542-FE324A31B53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654" authorId="0" shapeId="0" xr:uid="{7544E147-172B-4048-AB7C-61A7683E171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654" authorId="0" shapeId="0" xr:uid="{E28986C0-9033-43F4-9302-4497DB1CDF9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667" authorId="0" shapeId="0" xr:uid="{663D7403-F262-4548-A4A6-EAB33E470ED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667" authorId="0" shapeId="0" xr:uid="{86350B4A-3C37-4CC5-9BA5-2B1BBA08CC8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667" authorId="0" shapeId="0" xr:uid="{C1439BC3-355E-469A-A49E-C01EA21C1B0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667" authorId="0" shapeId="0" xr:uid="{D7D1274F-DA00-4AA7-A462-7A890B54F3C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667" authorId="0" shapeId="0" xr:uid="{A347306A-0DFD-46E9-BAD4-B64EDA7B9BA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667" authorId="0" shapeId="0" xr:uid="{702927C5-813A-462C-B2D9-2599E039CE4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667" authorId="0" shapeId="0" xr:uid="{18607BAD-FD8B-4D6E-8D08-6725EFA32FC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667" authorId="0" shapeId="0" xr:uid="{CC6BCDBA-4544-4190-BC18-B0D65BCC5F0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667" authorId="0" shapeId="0" xr:uid="{9BF15324-FDF7-4289-A4D7-AB2CEE23AE4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667" authorId="0" shapeId="0" xr:uid="{8D9EFE59-5068-4FA8-8BA7-234FDB8D720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667" authorId="0" shapeId="0" xr:uid="{B7166BA6-81D9-447B-9CBA-1B3D8D05A91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667" authorId="0" shapeId="0" xr:uid="{D01CFB1D-DA4C-4D00-A061-005150195A4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BX668" authorId="0" shapeId="0" xr:uid="{CA6E163B-0666-43FE-B86F-2ED8ACA00FB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Diferença do GC R$ 102,30 primeiro vt não consta no GC</t>
        </r>
      </text>
    </comment>
    <comment ref="N680" authorId="0" shapeId="0" xr:uid="{8205FF5B-C9FF-4001-8704-9AFBC53DB2D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680" authorId="0" shapeId="0" xr:uid="{FECF0C7B-27AD-491B-A693-07A8EDDA425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680" authorId="0" shapeId="0" xr:uid="{6A01CA09-189C-4228-A165-788C3DC0969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680" authorId="0" shapeId="0" xr:uid="{C02C9453-6A8D-4F6E-A50A-73F16644E7D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680" authorId="0" shapeId="0" xr:uid="{04D29689-7B87-4822-8DB2-8E28CC80157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680" authorId="0" shapeId="0" xr:uid="{100E977D-E44C-421A-869F-9BFCA3569CA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680" authorId="0" shapeId="0" xr:uid="{CCA3663E-2782-4546-BC7C-A089353B6BA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680" authorId="0" shapeId="0" xr:uid="{521A0E2C-9146-4F4A-B640-DFB30CEB04B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680" authorId="0" shapeId="0" xr:uid="{3625CF3C-9C04-42C8-900C-E718C8A0B5F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680" authorId="0" shapeId="0" xr:uid="{A8A6CB1F-004B-4B04-9FA3-9400F741B81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680" authorId="0" shapeId="0" xr:uid="{7D2C6229-5D21-47DE-BDB4-6C4271743A0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680" authorId="0" shapeId="0" xr:uid="{C0D3F4FE-3E07-47C8-89F7-409E69B8EB3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693" authorId="0" shapeId="0" xr:uid="{BAC7EA05-5930-4E8C-9C33-090467FED42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693" authorId="0" shapeId="0" xr:uid="{0F3EC9F5-D237-42E0-86A1-0237454653B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693" authorId="0" shapeId="0" xr:uid="{1B451A4E-5227-40A6-B863-2AE05415853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693" authorId="0" shapeId="0" xr:uid="{19869F1C-43DE-4D75-9B8A-3A941337D2C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693" authorId="0" shapeId="0" xr:uid="{88044C29-757E-4DE6-8342-EB7126C6497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693" authorId="0" shapeId="0" xr:uid="{22272A3E-097C-4996-8F1D-9417A3BC99D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693" authorId="0" shapeId="0" xr:uid="{9E2B3A86-CCE9-41FD-A8FF-9D00026EFC9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693" authorId="0" shapeId="0" xr:uid="{D5279662-42C0-4B39-8EEA-9B2AADB40D7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693" authorId="0" shapeId="0" xr:uid="{13936CAA-529E-421E-9863-318AAD8651B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693" authorId="0" shapeId="0" xr:uid="{5BDFE6AC-A9D5-4ED0-BC1E-162E14791EF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693" authorId="0" shapeId="0" xr:uid="{4D5DABE3-06AB-48AE-8098-F8DD4E23567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693" authorId="0" shapeId="0" xr:uid="{39310F7B-4008-46CE-8BBA-4247BEA5935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706" authorId="0" shapeId="0" xr:uid="{C31A13A9-9B36-4DE9-8837-700EE491C9A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706" authorId="0" shapeId="0" xr:uid="{D09F3B0F-D124-435A-BA5E-5600FB74ADD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706" authorId="0" shapeId="0" xr:uid="{3C2DACC0-3AA7-4728-8815-58DD9B192D6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706" authorId="0" shapeId="0" xr:uid="{52BF1DF2-8BB9-4E65-9750-3257F8ABD90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706" authorId="0" shapeId="0" xr:uid="{31B661F3-1162-4376-BCDB-15D0D646BA0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706" authorId="0" shapeId="0" xr:uid="{977085B2-7321-4777-ADE0-DB07789FA0F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706" authorId="0" shapeId="0" xr:uid="{243080FE-0D36-41C8-80A0-B2DEB3C8FE3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706" authorId="0" shapeId="0" xr:uid="{24234443-4F24-41C9-85D0-5F33331BBDF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706" authorId="0" shapeId="0" xr:uid="{C428DB5B-784D-4A8B-BD29-8B5A30CA943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706" authorId="0" shapeId="0" xr:uid="{D8F87877-0C1D-42FB-8065-8EF6C03A409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706" authorId="0" shapeId="0" xr:uid="{C51F634B-4E3C-4969-BBA7-B46D857E207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706" authorId="0" shapeId="0" xr:uid="{9F2C3FD5-EBD6-425F-BDAA-3FA1A6A1118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719" authorId="0" shapeId="0" xr:uid="{2CDAC949-A527-4544-A07B-7871B5FE936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719" authorId="0" shapeId="0" xr:uid="{1592BD2E-E5B6-46B5-852F-9AFEE585022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719" authorId="0" shapeId="0" xr:uid="{98743C86-2A18-4429-A49C-B47766D4ACB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719" authorId="0" shapeId="0" xr:uid="{15874832-E368-4CDF-AF0D-299D2D114BD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719" authorId="0" shapeId="0" xr:uid="{23828D66-DAA6-43D0-9B12-406549EA73C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719" authorId="0" shapeId="0" xr:uid="{1D0B301F-337D-41C8-8C36-09F622F7218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719" authorId="0" shapeId="0" xr:uid="{D7AA7354-81FE-499D-A23E-1CF60891D8E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719" authorId="0" shapeId="0" xr:uid="{4991B937-C122-400C-8A95-43235836562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719" authorId="0" shapeId="0" xr:uid="{CB1F8390-0054-4CFD-AD33-30C4F6A7CA7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719" authorId="0" shapeId="0" xr:uid="{4A25750B-5418-460D-B28C-3F94F49F6C3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719" authorId="0" shapeId="0" xr:uid="{9A87C96F-7DA1-455D-B198-FB9139886AB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719" authorId="0" shapeId="0" xr:uid="{A4BD5FCF-D0F5-45E6-91E5-0811F3FA00E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732" authorId="0" shapeId="0" xr:uid="{452E8BF7-66E3-49C1-A324-B134BFA1B4A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732" authorId="0" shapeId="0" xr:uid="{9C6403AE-4457-424D-9814-0C2DC471C6D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732" authorId="0" shapeId="0" xr:uid="{EC844C7B-9514-4DE0-85D2-C1BC2396449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732" authorId="0" shapeId="0" xr:uid="{B6471199-C197-4AAB-AB68-9D2902D6F51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732" authorId="0" shapeId="0" xr:uid="{B23DBD69-5FEE-45CF-92AC-6A8D680E7E3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732" authorId="0" shapeId="0" xr:uid="{36ACFD24-7293-486F-9B50-62C0D5F9132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732" authorId="0" shapeId="0" xr:uid="{22227615-EBF3-4720-A232-9354EE43DE0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732" authorId="0" shapeId="0" xr:uid="{76A9E8B8-7AE5-44BF-A8EC-EE4731588FD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732" authorId="0" shapeId="0" xr:uid="{BDE7CEDA-62CB-4BE6-97E5-93665C94FF6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732" authorId="0" shapeId="0" xr:uid="{0E7EAE06-8A7F-4C72-80A5-ADF84C9AC5D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732" authorId="0" shapeId="0" xr:uid="{EC6564DA-248B-4967-AF74-AF893AF35E2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732" authorId="0" shapeId="0" xr:uid="{471F0ECD-BF0A-4E1C-8EC5-FD495EC2AE9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745" authorId="0" shapeId="0" xr:uid="{8A7D6313-E92D-420C-871C-C6D38392DAA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745" authorId="0" shapeId="0" xr:uid="{DDC48AD3-2BFE-4115-90E8-CDC3E5BED7F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745" authorId="0" shapeId="0" xr:uid="{33B009B5-3DFD-49E0-BEB5-3987CC56321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745" authorId="0" shapeId="0" xr:uid="{744F206B-C2F8-4604-B8EA-B452A2F8020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745" authorId="0" shapeId="0" xr:uid="{5DFAE77F-CC82-4BDA-9200-14C02A36247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745" authorId="0" shapeId="0" xr:uid="{DBC71021-F7DD-45AF-8DBC-98E2B295558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745" authorId="0" shapeId="0" xr:uid="{2CCCD1BA-69F8-4989-8C0F-113B582D23E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745" authorId="0" shapeId="0" xr:uid="{3783B221-4B44-4F84-9338-B2DCFC5AADC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745" authorId="0" shapeId="0" xr:uid="{FA00A842-E5BC-454F-8236-2BC5C02C361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745" authorId="0" shapeId="0" xr:uid="{272C25AC-1953-4E44-A9D1-A1AB5ED487E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745" authorId="0" shapeId="0" xr:uid="{62C0679C-58A7-4306-8216-4E44AA1786A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745" authorId="0" shapeId="0" xr:uid="{60ED1D75-3D40-45C6-B3E8-20075BE7455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758" authorId="0" shapeId="0" xr:uid="{88A7F60E-BF00-43DB-9B1C-AE138BF25A4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758" authorId="0" shapeId="0" xr:uid="{65DCD531-EC07-4A46-9B1C-45884FFD7A9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758" authorId="0" shapeId="0" xr:uid="{8243C34D-10D5-4735-B282-5454831F442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758" authorId="0" shapeId="0" xr:uid="{01EE56EA-3875-4CCB-8C9C-D1B96A9F7D7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758" authorId="0" shapeId="0" xr:uid="{A3C6ADD3-2B0F-46BC-9D0E-98540315DA1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758" authorId="0" shapeId="0" xr:uid="{F85901A1-C51C-4E37-90D7-D72218C7954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758" authorId="0" shapeId="0" xr:uid="{F1FA9364-F7BF-428C-9514-D8772D63B39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758" authorId="0" shapeId="0" xr:uid="{C35E5718-FC3A-4CC9-ACCF-C8B30B6EC49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758" authorId="0" shapeId="0" xr:uid="{EFDD5DBE-91BE-49A8-8599-12D08AAE65B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758" authorId="0" shapeId="0" xr:uid="{D5F1A269-A67E-4589-AB7D-13E71927B5A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758" authorId="0" shapeId="0" xr:uid="{DA593ED3-8F83-4345-8741-1574FEDFCE6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758" authorId="0" shapeId="0" xr:uid="{F702E7E8-A6F5-4455-889D-650B734F907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771" authorId="0" shapeId="0" xr:uid="{0EC14618-EE53-415F-8A9D-49C25DEC745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771" authorId="0" shapeId="0" xr:uid="{2445FD1E-214B-48EF-B1CD-5EF0E4B536C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771" authorId="0" shapeId="0" xr:uid="{FA26CA05-84ED-4B6C-864B-EB051DD5E1B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771" authorId="0" shapeId="0" xr:uid="{9E21ACF5-2E43-4114-AFE2-E2EFFCB3DB7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771" authorId="0" shapeId="0" xr:uid="{A62BAFD6-5014-4323-B45F-306DA4F2014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771" authorId="0" shapeId="0" xr:uid="{A34CEA35-D7BB-4C69-A3A0-5D471939C29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771" authorId="0" shapeId="0" xr:uid="{95A30E01-C744-4C28-B32A-07AAE67154A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771" authorId="0" shapeId="0" xr:uid="{12D779F4-1E5F-4E71-ABD5-2253A4D85AC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771" authorId="0" shapeId="0" xr:uid="{B079A9EF-ED7A-4501-B190-BFE769DE8FC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771" authorId="0" shapeId="0" xr:uid="{D3B7FF4F-B21B-4386-96D2-01E92492498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771" authorId="0" shapeId="0" xr:uid="{E488DE78-38F8-4E60-B9C6-C11D5BEF590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771" authorId="0" shapeId="0" xr:uid="{63D16163-F8A0-4185-9FFE-4750A79F8EF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K786" authorId="0" shapeId="0" xr:uid="{B9AD6802-02EA-4FA1-9BC4-B4EFE3FD6EB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L786" authorId="0" shapeId="0" xr:uid="{ED8F6897-A37D-4C8C-9A41-895DA647BA3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M786" authorId="0" shapeId="0" xr:uid="{ED8C1967-53E7-4B86-B277-E07AE202F38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ADTO
</t>
        </r>
      </text>
    </comment>
    <comment ref="N786" authorId="0" shapeId="0" xr:uid="{060DA0B0-11F4-4EAB-A17A-48D0D11DD6A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ADTO+DESC 13º</t>
        </r>
      </text>
    </comment>
    <comment ref="O786" authorId="0" shapeId="0" xr:uid="{1DB510EF-DE79-4015-B6DA-B2DDE9ED5C2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</t>
        </r>
      </text>
    </comment>
    <comment ref="P786" authorId="0" shapeId="0" xr:uid="{0E29D602-EA52-4060-9895-D9844331FCA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ADTO1+DESC ADTO2
</t>
        </r>
      </text>
    </comment>
    <comment ref="Q786" authorId="0" shapeId="0" xr:uid="{71D7CCD6-80E9-4CB2-A81A-F491530C800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ADTO1+DESC ADTO2</t>
        </r>
      </text>
    </comment>
    <comment ref="R786" authorId="0" shapeId="0" xr:uid="{3B6201E4-FE7A-4D0E-91C8-1BB0DC5F92B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ADTO1+DESC ADTO2+DESC ADTO3
</t>
        </r>
      </text>
    </comment>
    <comment ref="S786" authorId="0" shapeId="0" xr:uid="{035FDDC1-6B67-4C6F-ABB8-CA2C30316DB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ADTO1+DESC ADTO2+DESC ADTO3</t>
        </r>
      </text>
    </comment>
    <comment ref="T786" authorId="0" shapeId="0" xr:uid="{D738EF46-ED8E-47D7-8971-A296202FD94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VT+IRRF+DESC ADTO1+DESC ADTO2+DESC ADTO4</t>
        </r>
      </text>
    </comment>
    <comment ref="R801" authorId="0" shapeId="0" xr:uid="{8D4CB992-7B11-4C43-8574-2A939205087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S801" authorId="0" shapeId="0" xr:uid="{C9475732-CDF9-4315-959B-6D078092B9B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T801" authorId="0" shapeId="0" xr:uid="{8F827BB4-236D-4D51-9144-DD136B62B58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ADTO
</t>
        </r>
      </text>
    </comment>
    <comment ref="U801" authorId="0" shapeId="0" xr:uid="{82EF5641-34F4-40A3-B7D8-196A393BF9A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ADTO+DESC 13º</t>
        </r>
      </text>
    </comment>
    <comment ref="V801" authorId="0" shapeId="0" xr:uid="{5A794CC7-CEEA-41D0-8532-6C2F388A70D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</t>
        </r>
      </text>
    </comment>
    <comment ref="W801" authorId="0" shapeId="0" xr:uid="{FB16230C-0880-4682-8B23-DD1191AF967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ADTO1+DESC ADTO2
</t>
        </r>
      </text>
    </comment>
    <comment ref="X801" authorId="0" shapeId="0" xr:uid="{AE1E66E4-86BB-4715-B8CC-E9CE2A0A1BA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ADTO1+DESC ADTO2</t>
        </r>
      </text>
    </comment>
    <comment ref="Y801" authorId="0" shapeId="0" xr:uid="{455A7128-AD5B-4369-AC9B-0498CF090E2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ADTO1+DESC ADTO2+DESC ADTO3
</t>
        </r>
      </text>
    </comment>
    <comment ref="Z801" authorId="0" shapeId="0" xr:uid="{C5CCE23F-9390-4A72-8769-CAA51B6A5C1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VT+DESC ADTO1+DESC ADTO2+DESC ADTO3</t>
        </r>
      </text>
    </comment>
    <comment ref="AA801" authorId="0" shapeId="0" xr:uid="{FF76B707-ABCE-4969-A855-D4ED32FA9A0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VT+IRRF+DESC ADTO1+DESC ADTO2+DESC ADTO4</t>
        </r>
      </text>
    </comment>
    <comment ref="N814" authorId="0" shapeId="0" xr:uid="{E7723222-AEF6-4A2F-A229-4AF5219C9F8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814" authorId="0" shapeId="0" xr:uid="{DA734300-2F37-4F99-94FD-6E14288659B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814" authorId="0" shapeId="0" xr:uid="{DBC508AA-7E0E-4045-BCED-638DF1CF46D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814" authorId="0" shapeId="0" xr:uid="{792239CC-CCAE-4FB0-86CA-553E06D060A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814" authorId="0" shapeId="0" xr:uid="{FBA49418-AA9C-4FA2-8265-2E8E970C5B4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814" authorId="0" shapeId="0" xr:uid="{D4108CF1-1A3C-4260-9FCA-9FFB0D502E1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814" authorId="0" shapeId="0" xr:uid="{1186815E-6D91-4B9E-8DFF-4BFDCC15F38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814" authorId="0" shapeId="0" xr:uid="{FC52DA0E-5727-47A1-9A11-605B859C0B3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814" authorId="0" shapeId="0" xr:uid="{3493A5D7-4792-4370-8D37-45678E75356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814" authorId="0" shapeId="0" xr:uid="{2B15383F-430A-4747-90A3-551DE1DFF04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814" authorId="0" shapeId="0" xr:uid="{25D66773-6DB9-4B35-B3DF-22A7E751617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814" authorId="0" shapeId="0" xr:uid="{785221B7-0460-4EB3-8102-9A5BEAA20CA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827" authorId="0" shapeId="0" xr:uid="{898AE13F-4825-48CF-99B8-3DC5D1CBD3A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827" authorId="0" shapeId="0" xr:uid="{B032BA55-0381-4503-8C92-2C2BCD0D100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827" authorId="0" shapeId="0" xr:uid="{81154291-BB8E-4271-B4F3-1BA68028047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827" authorId="0" shapeId="0" xr:uid="{31AE0CD9-813C-4266-9840-E6D48B5BA92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827" authorId="0" shapeId="0" xr:uid="{956AAEA0-C98D-4D96-B2DA-37C837ACDEC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827" authorId="0" shapeId="0" xr:uid="{A8CF0A65-10E3-44CE-B4E4-6296C06D0C6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827" authorId="0" shapeId="0" xr:uid="{0CDFE5A2-8D00-41D0-90AC-CFDDD851A3C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827" authorId="0" shapeId="0" xr:uid="{ADC10DAF-21C3-4E0B-B366-950D7C0D926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827" authorId="0" shapeId="0" xr:uid="{7A34B47C-D1E6-40C4-9E3E-146E52C3702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827" authorId="0" shapeId="0" xr:uid="{569AF7EC-67B6-4FDF-98BA-69776B1BAD7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827" authorId="0" shapeId="0" xr:uid="{E698C0B0-974B-4486-B4B1-A0E35F33D2B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827" authorId="0" shapeId="0" xr:uid="{9B811C40-A7E2-4BA8-B758-332AE9B3D33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840" authorId="0" shapeId="0" xr:uid="{0DB9C750-73F5-4F61-B35F-11450820826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840" authorId="0" shapeId="0" xr:uid="{E5D83881-2423-4A53-B98B-D9DCEF5D77E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840" authorId="0" shapeId="0" xr:uid="{DEBCE008-BDBB-4FC5-955F-D23BACFFB92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840" authorId="0" shapeId="0" xr:uid="{F0D37B9A-D962-4C40-A19C-DACFB691C41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840" authorId="0" shapeId="0" xr:uid="{439E1C36-B1F0-4848-91C2-CB29505304B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840" authorId="0" shapeId="0" xr:uid="{DE95A89C-26BF-4A4B-AE8E-0FD38EE099A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840" authorId="0" shapeId="0" xr:uid="{3BB0DC70-4DF0-42B8-8828-E4A1FB91614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840" authorId="0" shapeId="0" xr:uid="{8C501611-C229-421B-97DF-C9293C79E4B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840" authorId="0" shapeId="0" xr:uid="{5E0D9A19-D076-49C3-8D40-48120C72D52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840" authorId="0" shapeId="0" xr:uid="{AE27BA0A-050F-4F7F-8B54-F0239EFB50A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840" authorId="0" shapeId="0" xr:uid="{5866F219-34A1-49E2-B184-DC18C986D66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840" authorId="0" shapeId="0" xr:uid="{F9EC1B92-67EC-4B07-B3BC-B718FC24987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853" authorId="0" shapeId="0" xr:uid="{5B007BBD-5970-4521-B43B-01D7A66D0F4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853" authorId="0" shapeId="0" xr:uid="{E842332D-F533-485F-BC0C-9E8075BB5E9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853" authorId="0" shapeId="0" xr:uid="{395BBC76-8A52-4B71-82E7-28CEB9D9587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853" authorId="0" shapeId="0" xr:uid="{BCFDD641-8244-4C07-8E1C-952FADAC748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853" authorId="0" shapeId="0" xr:uid="{28596F97-50F8-4EE9-9CE4-2E69FEE22B8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853" authorId="0" shapeId="0" xr:uid="{CA7D9741-A2D3-43FC-B48D-460BB0C29E5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853" authorId="0" shapeId="0" xr:uid="{3E043D0E-BFAB-471B-81B8-CB95E3D37B9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853" authorId="0" shapeId="0" xr:uid="{8D654BEB-B01E-4912-88F0-C69E44CCDA5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853" authorId="0" shapeId="0" xr:uid="{16E42D47-13B8-4B43-B6CD-7F50B9AB6DA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853" authorId="0" shapeId="0" xr:uid="{A3B74B98-3E22-438F-96BF-0BD0064092F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853" authorId="0" shapeId="0" xr:uid="{479A61E2-0510-488D-B8C1-C61672D5626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853" authorId="0" shapeId="0" xr:uid="{576E079A-4163-40CF-B1C2-A3BE0837D35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866" authorId="0" shapeId="0" xr:uid="{8620707A-66A1-4507-9A93-013E121C453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866" authorId="0" shapeId="0" xr:uid="{CA533807-C0A3-460C-8FA9-8E43C1AEDBA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866" authorId="0" shapeId="0" xr:uid="{48B935E3-2C38-4016-AB4A-08CA4AB0461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866" authorId="0" shapeId="0" xr:uid="{510EA5CD-6B26-4813-8F18-DB78E70FFA4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866" authorId="0" shapeId="0" xr:uid="{525AA0AF-EBA9-4474-958B-2A7FA131A26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866" authorId="0" shapeId="0" xr:uid="{87AFD79E-3B11-4528-A149-60D29672178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866" authorId="0" shapeId="0" xr:uid="{553DF477-8AD9-441E-AC4E-DAE3A625B99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866" authorId="0" shapeId="0" xr:uid="{FEBE6742-28EA-4274-B503-F8841346152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866" authorId="0" shapeId="0" xr:uid="{F41F5AA7-7CAD-47E3-AA88-8CD719ADD93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866" authorId="0" shapeId="0" xr:uid="{8E75F6AE-D05B-40C1-B729-06E1B33C547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866" authorId="0" shapeId="0" xr:uid="{E00206EC-C3A7-4BD0-87A5-8DC296FF31F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866" authorId="0" shapeId="0" xr:uid="{A70A10AC-CAB6-4C26-86FE-14827BE09F8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879" authorId="0" shapeId="0" xr:uid="{C421FCE9-8733-4C84-9094-7C302D4469E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879" authorId="0" shapeId="0" xr:uid="{F4455751-9931-49DD-B34C-0F251CE694A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879" authorId="0" shapeId="0" xr:uid="{F48783D3-FB69-49A3-AACA-CD75FEF3195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879" authorId="0" shapeId="0" xr:uid="{63551419-BDFF-4788-A681-353B6460403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879" authorId="0" shapeId="0" xr:uid="{FF516331-574C-44A9-9374-C9A8D3AAA04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879" authorId="0" shapeId="0" xr:uid="{CC9DB503-D8EB-4750-AC23-5E8C8F6735C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879" authorId="0" shapeId="0" xr:uid="{2C45D1C5-8BAC-4AAD-A4A6-959A6BABF51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879" authorId="0" shapeId="0" xr:uid="{FBBB869B-1DBF-4C85-8290-6414F8247AE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879" authorId="0" shapeId="0" xr:uid="{4F32FCF3-AE9C-4820-86CA-952929E965D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879" authorId="0" shapeId="0" xr:uid="{6C78D016-8F9A-4BC9-B417-C8305C0C1E6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879" authorId="0" shapeId="0" xr:uid="{875D503F-8F87-44B1-A3E7-9446D7D7182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879" authorId="0" shapeId="0" xr:uid="{4166220C-EF4A-466B-80B4-961987D13F1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892" authorId="0" shapeId="0" xr:uid="{1D69972F-F498-4DD5-B7B9-C287BAFD12C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892" authorId="0" shapeId="0" xr:uid="{5D8D5225-793A-43D8-9282-3637189BD4B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892" authorId="0" shapeId="0" xr:uid="{87FB3F42-0FE6-4C10-8DCB-668AFA4CAE9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892" authorId="0" shapeId="0" xr:uid="{6788273E-B221-478E-B305-FA445E88A17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892" authorId="0" shapeId="0" xr:uid="{BF7E6AC3-42B1-40E8-BF5E-7201F1DBDC4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892" authorId="0" shapeId="0" xr:uid="{6933F223-B747-4E37-B5D7-29AA9AABE1E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892" authorId="0" shapeId="0" xr:uid="{3947AAE6-F8C2-49F2-936A-F26B32C781C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892" authorId="0" shapeId="0" xr:uid="{4B6CC71C-2093-49E1-BBFF-D78B990F97F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892" authorId="0" shapeId="0" xr:uid="{484173EC-AEDE-499A-9CC9-1DDE9D5F81C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892" authorId="0" shapeId="0" xr:uid="{8E93B9E7-895A-4F77-B530-06C9EE5DAFF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892" authorId="0" shapeId="0" xr:uid="{230E68D1-18A7-4F7C-A53A-E5EEA4FD557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892" authorId="0" shapeId="0" xr:uid="{F06A73D9-D943-4A34-AAA5-C4486BE2DFE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905" authorId="0" shapeId="0" xr:uid="{BC3995A7-4E53-4681-88DE-CF7A3BE00E1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905" authorId="0" shapeId="0" xr:uid="{6400E167-9DBE-4F45-A61F-BAC3CFEAB04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905" authorId="0" shapeId="0" xr:uid="{746872F7-4AF8-4AFC-90EC-D70E8A08D5C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905" authorId="0" shapeId="0" xr:uid="{71B4EBEF-93EB-42BB-818A-2D7497902B1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905" authorId="0" shapeId="0" xr:uid="{711D95B5-6CFD-4314-B6D5-C0534ABF2C6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905" authorId="0" shapeId="0" xr:uid="{856079E8-E43A-4AF5-9802-5D9CFC97BC5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905" authorId="0" shapeId="0" xr:uid="{AA192824-54D8-4B52-9292-9623FEB5383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905" authorId="0" shapeId="0" xr:uid="{73A55435-509A-4B0E-B40A-AC7C5109A35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905" authorId="0" shapeId="0" xr:uid="{2FDF46E8-D5AC-42B4-BCB0-ED9B98A9A59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905" authorId="0" shapeId="0" xr:uid="{04E01079-A622-44A8-9A13-85328D10626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905" authorId="0" shapeId="0" xr:uid="{6B078AD7-9D6A-4695-AF73-DA5E6C86A27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905" authorId="0" shapeId="0" xr:uid="{608583D9-E0D1-4A9A-9C69-BC1B8B7F611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918" authorId="0" shapeId="0" xr:uid="{BC4B3CC2-D655-4FEE-AE85-5413706E61F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918" authorId="0" shapeId="0" xr:uid="{A0211589-E4B8-4BAC-8CE9-CB341E186BF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918" authorId="0" shapeId="0" xr:uid="{912C0C81-95DB-4908-B3CF-6A37B0F666D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918" authorId="0" shapeId="0" xr:uid="{B0A7F9C8-AFC7-404E-B90D-3F71818CB43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918" authorId="0" shapeId="0" xr:uid="{A935C3A3-6159-489F-8731-B411BCCF601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918" authorId="0" shapeId="0" xr:uid="{F320F55E-F92F-4D68-9985-BC73C6DF5C8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918" authorId="0" shapeId="0" xr:uid="{7DA54106-FAF2-4435-9C17-DF126453D4E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918" authorId="0" shapeId="0" xr:uid="{826B552B-5328-4DC3-B2C8-3293651C178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918" authorId="0" shapeId="0" xr:uid="{13657EE0-66F8-48EF-8FDD-8866019915F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918" authorId="0" shapeId="0" xr:uid="{DDA47E4B-3E4C-475F-80A7-1F990E99C00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918" authorId="0" shapeId="0" xr:uid="{080D4F78-5A78-44BA-A86B-79D630B560D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918" authorId="0" shapeId="0" xr:uid="{473F04BF-AF8C-445F-BE80-62AC4217886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931" authorId="0" shapeId="0" xr:uid="{4676DE61-EBB4-4431-BB85-BE661D7CA7A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931" authorId="0" shapeId="0" xr:uid="{E67D8FF1-EACD-41EE-9DD7-C7969D1A4FE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931" authorId="0" shapeId="0" xr:uid="{85864A30-CAD6-4B52-A1E4-673CF80BD8B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931" authorId="0" shapeId="0" xr:uid="{7DE92F89-772E-4340-BA37-2212274F865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931" authorId="0" shapeId="0" xr:uid="{896C7D6B-805F-4646-8B9A-230D1E5CC23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931" authorId="0" shapeId="0" xr:uid="{5F858181-B2EA-413A-9DE2-5EB46FA7387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931" authorId="0" shapeId="0" xr:uid="{D4D91099-DF70-498C-9064-962498B8499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931" authorId="0" shapeId="0" xr:uid="{880D8810-16D1-4097-8DCC-49D1BF6FEE7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931" authorId="0" shapeId="0" xr:uid="{337947AD-8EA3-4042-919A-1E31B6D844E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931" authorId="0" shapeId="0" xr:uid="{26990A00-CF30-41CE-919B-50FD7469DC7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931" authorId="0" shapeId="0" xr:uid="{D82CA352-5D99-42F3-BEDB-31EDF1AC29D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931" authorId="0" shapeId="0" xr:uid="{542A8EE4-E03D-4DA1-BFAB-B471006F34F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944" authorId="0" shapeId="0" xr:uid="{1CD93C5F-3FA8-4A51-BF19-B3855328529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944" authorId="0" shapeId="0" xr:uid="{92D909DE-DAFE-4417-B53D-EEC728ECA37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944" authorId="0" shapeId="0" xr:uid="{51EFCD0C-D785-4A2D-9B7E-27237D7EB47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944" authorId="0" shapeId="0" xr:uid="{A0CC52DD-03D4-4C4D-A6B7-94F60E81690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944" authorId="0" shapeId="0" xr:uid="{162F0F31-28A1-487E-B39B-C7739A8C6A4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944" authorId="0" shapeId="0" xr:uid="{92D27D94-A979-4477-979B-7864AD493EB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944" authorId="0" shapeId="0" xr:uid="{04AB81D2-23C2-49F6-A40A-125748E8039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944" authorId="0" shapeId="0" xr:uid="{AEA506F0-EC75-484B-BD02-CA4D90D930E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944" authorId="0" shapeId="0" xr:uid="{CFDE8E4B-E3DF-4FDF-842A-8B7D8C09A3C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944" authorId="0" shapeId="0" xr:uid="{0D0B2E1E-6CCE-4C25-96C8-25F86BD7315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944" authorId="0" shapeId="0" xr:uid="{2F695577-29B0-4060-A99B-3CE5E51BEBC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944" authorId="0" shapeId="0" xr:uid="{4F4C9120-9137-4B4A-A9CE-03C77FB9DF1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957" authorId="0" shapeId="0" xr:uid="{24F50C80-37D9-446C-B739-AA18392F8C4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957" authorId="0" shapeId="0" xr:uid="{B930163D-B0E1-4389-BF94-AC6F0D63405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957" authorId="0" shapeId="0" xr:uid="{6403C66A-67AA-4749-83F3-DADB06F9F3C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957" authorId="0" shapeId="0" xr:uid="{423C0378-6B1B-46B8-8685-DE9C4561D4F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957" authorId="0" shapeId="0" xr:uid="{513A4994-CC53-4F4E-A4B0-2BCF12725FA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957" authorId="0" shapeId="0" xr:uid="{7C9D11F6-89B6-4845-A327-67117BF94BA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957" authorId="0" shapeId="0" xr:uid="{D6854D86-0846-4C8F-81BA-7FAA3CD8FB2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957" authorId="0" shapeId="0" xr:uid="{00F767D4-FE7D-4703-8DE3-B24BF38DE88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957" authorId="0" shapeId="0" xr:uid="{20AA46A9-C55B-4A92-A7DB-C31FC3E2F76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957" authorId="0" shapeId="0" xr:uid="{A320015E-8B9A-4901-B3FC-FC7D40EEFE0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957" authorId="0" shapeId="0" xr:uid="{0ACFA792-73D4-4EA4-8779-0AACA3D82C1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957" authorId="0" shapeId="0" xr:uid="{624805F0-0890-476C-B1DF-1FDA14EE0D2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970" authorId="0" shapeId="0" xr:uid="{173DE682-3F9C-46D6-86AB-78F80346B10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970" authorId="0" shapeId="0" xr:uid="{E351CD42-DDE1-4A43-BB0D-5FB776DF86C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970" authorId="0" shapeId="0" xr:uid="{5B2B90B9-C9A5-4C7A-9CB6-E13D044913F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970" authorId="0" shapeId="0" xr:uid="{9EDD5115-AA90-4C21-B0AC-D52E7ABC998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970" authorId="0" shapeId="0" xr:uid="{2A93902E-AAE0-476C-8CCF-279F477C351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970" authorId="0" shapeId="0" xr:uid="{7A769B1B-74FC-4458-9739-67A5318C3E9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970" authorId="0" shapeId="0" xr:uid="{BFDF4361-56C4-4A86-85F8-481E06B442F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970" authorId="0" shapeId="0" xr:uid="{4AB0B95A-1367-468F-A5E1-82833A46DC8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970" authorId="0" shapeId="0" xr:uid="{375BBB6B-32A0-4ED9-BC02-412F7C597EB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970" authorId="0" shapeId="0" xr:uid="{AE6AEB2F-CB3A-41EE-8590-E6844FB9051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970" authorId="0" shapeId="0" xr:uid="{B097FAC8-794E-446F-8C5B-27B34B55FB2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970" authorId="0" shapeId="0" xr:uid="{E9829E61-00B0-4D56-9840-FA0BFA2606D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983" authorId="0" shapeId="0" xr:uid="{9B1F8F38-4E85-4615-B91F-47C2134D1FF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983" authorId="0" shapeId="0" xr:uid="{69D04D26-F692-47CC-BA9B-58EBD00E1D9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983" authorId="0" shapeId="0" xr:uid="{564F6449-C700-4A29-9737-CB70D9F167A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983" authorId="0" shapeId="0" xr:uid="{7741E912-1521-41D6-8D2C-859CD00523B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983" authorId="0" shapeId="0" xr:uid="{2A7E545F-D09A-4A34-B362-F56603B89A3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983" authorId="0" shapeId="0" xr:uid="{30CAAA39-7A43-444B-8FFE-601435E7F7B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983" authorId="0" shapeId="0" xr:uid="{2328ED2C-C29C-49A2-8252-2CBE6A8D63C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983" authorId="0" shapeId="0" xr:uid="{65183E46-F3A1-47CF-9FBB-18D9496C819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983" authorId="0" shapeId="0" xr:uid="{54AF932F-0699-4D06-993F-3CD7C2F3BA1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983" authorId="0" shapeId="0" xr:uid="{F45758DD-DA96-4C5D-83C3-82CE68FA783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983" authorId="0" shapeId="0" xr:uid="{0E0D1078-A7EA-4733-B928-B0F603FC9AE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983" authorId="0" shapeId="0" xr:uid="{AAC56F55-E138-4110-8F43-55270A445FD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996" authorId="0" shapeId="0" xr:uid="{6BC2068B-0F06-49F7-9B8A-03B510F8C73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996" authorId="0" shapeId="0" xr:uid="{910D5FB2-BBE8-407A-870E-4952C7AD15B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996" authorId="0" shapeId="0" xr:uid="{CD1F248E-3A72-49B8-90FB-65C6FBC93E0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996" authorId="0" shapeId="0" xr:uid="{B8CE75C4-62B9-4496-A9C3-723F6890F33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996" authorId="0" shapeId="0" xr:uid="{5D6455F7-A832-4638-ADA2-EDDF60FCC46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996" authorId="0" shapeId="0" xr:uid="{0B809A46-E390-46A6-A975-A8AEDCF649F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996" authorId="0" shapeId="0" xr:uid="{A8032EF3-C8AD-423F-8778-D062D257AC7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996" authorId="0" shapeId="0" xr:uid="{BC456840-5311-4775-A956-EDC040C322D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996" authorId="0" shapeId="0" xr:uid="{AA2B66E2-F5A4-4E6F-A29E-AA5B3D35834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996" authorId="0" shapeId="0" xr:uid="{0A439A1D-5112-4EF2-BDFB-693BB9EB19E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996" authorId="0" shapeId="0" xr:uid="{3897DB60-39BA-40D3-A060-130CCD61647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996" authorId="0" shapeId="0" xr:uid="{643E58AC-920F-4C19-BA86-260814F13D5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1073" authorId="0" shapeId="0" xr:uid="{FE90117C-333E-4ED2-A48D-DCAF97ED572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1073" authorId="0" shapeId="0" xr:uid="{7C242050-C1DF-46DD-98CE-FD202E7A997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1073" authorId="0" shapeId="0" xr:uid="{0343D9CF-2760-4572-9B5F-88B816339CE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1073" authorId="0" shapeId="0" xr:uid="{0D101420-80E0-4237-B6A0-81F81D90E00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1073" authorId="0" shapeId="0" xr:uid="{2FB43304-1A2B-4F2D-B836-F4123F99B75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1073" authorId="0" shapeId="0" xr:uid="{CA135935-C0B3-4810-8B81-E50B064ED91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1073" authorId="0" shapeId="0" xr:uid="{F21BA4B0-BFCA-4A30-A455-0BA1F475051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1073" authorId="0" shapeId="0" xr:uid="{FE7FC460-520F-4248-81CA-313768369D5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1073" authorId="0" shapeId="0" xr:uid="{EC098E1D-6DA7-4863-BC99-D73EEBB8D59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1073" authorId="0" shapeId="0" xr:uid="{9A648821-A059-4548-BF4C-61EAD1F5B31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1073" authorId="0" shapeId="0" xr:uid="{AB50D423-2547-49A3-A41F-3A58B8F57FF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1073" authorId="0" shapeId="0" xr:uid="{86BCF073-F2B2-4918-A83B-374A7CD5CC4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1086" authorId="0" shapeId="0" xr:uid="{86947C43-0187-4D66-BB64-E6F5507BE2D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1086" authorId="0" shapeId="0" xr:uid="{456B740A-A203-4EC3-862A-AFD9A552B43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1086" authorId="0" shapeId="0" xr:uid="{4B96B581-ACF7-4B5B-97BA-1AC5F06BE1E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1086" authorId="0" shapeId="0" xr:uid="{C63A9D64-3E63-459B-A894-A2D2A2061E2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1086" authorId="0" shapeId="0" xr:uid="{47F79251-1B0C-4845-AC17-1976E32714F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1086" authorId="0" shapeId="0" xr:uid="{10E10675-D399-46BE-88C5-50A8C5826C8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1086" authorId="0" shapeId="0" xr:uid="{C7664852-EC19-4DF5-8392-60AC9A6F7DE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1086" authorId="0" shapeId="0" xr:uid="{1ED72E9C-9435-4182-A493-1C2CAAD6C7E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1086" authorId="0" shapeId="0" xr:uid="{648D1A9C-6281-49BF-A67D-F8422BB0C2D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1086" authorId="0" shapeId="0" xr:uid="{F512D66A-18E8-4AEA-A586-7E5B185B153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1086" authorId="0" shapeId="0" xr:uid="{567EBBD6-4BA9-4255-A77F-15DA36B99DE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1086" authorId="0" shapeId="0" xr:uid="{C77D4AED-38E6-4F23-96EB-DCE5C0AF674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1099" authorId="0" shapeId="0" xr:uid="{89FC61CE-4A02-4C98-94C0-2C2CE1E18C3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1099" authorId="0" shapeId="0" xr:uid="{3E2FF8A8-8514-4878-9418-46EA5673F28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1099" authorId="0" shapeId="0" xr:uid="{E7DFD5F5-8FA2-4F3A-959F-51C4C1A6666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1099" authorId="0" shapeId="0" xr:uid="{405DF998-EBDE-439A-AE86-8EA16F2BBA0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1099" authorId="0" shapeId="0" xr:uid="{48FCD831-3360-41BD-9231-1DE48BCE69E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1099" authorId="0" shapeId="0" xr:uid="{50FB1347-29EE-44E0-A94D-66505C7AD68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1099" authorId="0" shapeId="0" xr:uid="{FBABA21A-4D57-4457-846E-E02A07BDB5F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1099" authorId="0" shapeId="0" xr:uid="{D90CCFBA-7741-4B4D-9B60-B4573DA7EA8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1099" authorId="0" shapeId="0" xr:uid="{7B423862-0DFB-4231-9977-FA6DF626454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1099" authorId="0" shapeId="0" xr:uid="{7CD1C909-C507-4D2D-BC56-840CEFBB869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1099" authorId="0" shapeId="0" xr:uid="{46D8984B-94F9-4F72-AB50-E753ECCF407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1099" authorId="0" shapeId="0" xr:uid="{25D4C563-D95F-404B-B6D1-9D645131A88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1112" authorId="0" shapeId="0" xr:uid="{357B0191-EBBE-4E44-A3AD-F742D90928E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1112" authorId="0" shapeId="0" xr:uid="{199A2108-4463-44B0-898B-12B37845C73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1112" authorId="0" shapeId="0" xr:uid="{1FA173AA-0527-4E40-8BC9-40F43E0BCC8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1112" authorId="0" shapeId="0" xr:uid="{16EC841C-DFA3-4783-BB06-89D4EE4BE10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1112" authorId="0" shapeId="0" xr:uid="{4D2AE34A-3A7A-4598-A9EC-82DCF92CC39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1112" authorId="0" shapeId="0" xr:uid="{74B1992B-9719-4D97-803D-197BA507D4E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1112" authorId="0" shapeId="0" xr:uid="{4B62AF24-CEA1-4DB0-9B8A-BABDCDAB22B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1112" authorId="0" shapeId="0" xr:uid="{2478BFC7-9385-414F-B586-5E5F29356EB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1112" authorId="0" shapeId="0" xr:uid="{444C35FD-D3BF-44D5-953E-8A43BA0767A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1112" authorId="0" shapeId="0" xr:uid="{9C679B95-CD1F-4A20-BD16-9DFB6E5338B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1112" authorId="0" shapeId="0" xr:uid="{D2C91DDA-1342-45FB-AB3C-2A3CCC4287D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1112" authorId="0" shapeId="0" xr:uid="{594372F6-5EB8-4AD9-BDE9-2BDF2E7F421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1125" authorId="0" shapeId="0" xr:uid="{8242D168-E5FB-4678-B859-82B6DBECF42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1125" authorId="0" shapeId="0" xr:uid="{77D65732-A021-45E9-8054-941F9307009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1125" authorId="0" shapeId="0" xr:uid="{08FB860D-188B-4E66-9F65-53D2D0F8DED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1125" authorId="0" shapeId="0" xr:uid="{DDB42596-05B9-4878-8976-86A87763DE3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1125" authorId="0" shapeId="0" xr:uid="{B47EE9C3-0B72-4136-8C9C-901FA9EDD14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1125" authorId="0" shapeId="0" xr:uid="{85581441-F18B-4EA7-A70A-DBA90B7A60D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1125" authorId="0" shapeId="0" xr:uid="{75C11938-BB9A-48C5-A5DE-544212134F7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1125" authorId="0" shapeId="0" xr:uid="{983E2500-68BD-4BFB-88D7-3532A2D6B0B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1125" authorId="0" shapeId="0" xr:uid="{B4D8E2A6-094F-4017-918C-F31E32F9E74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1125" authorId="0" shapeId="0" xr:uid="{82729B54-E39E-4FC7-8EF7-CFC58F32B1E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1125" authorId="0" shapeId="0" xr:uid="{F9F97A24-5103-4D84-A1A3-5ED9BDC77CA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1125" authorId="0" shapeId="0" xr:uid="{D718EFEC-F5D2-4055-B1F9-5F053926393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1138" authorId="0" shapeId="0" xr:uid="{18E5A7FA-0350-4230-BA1A-3D363708B10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1138" authorId="0" shapeId="0" xr:uid="{D1C3AAB9-BFCF-4E14-92D9-61917A612D9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1138" authorId="0" shapeId="0" xr:uid="{CED9777E-4F37-4656-84FD-597556ECFDE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1138" authorId="0" shapeId="0" xr:uid="{369E8CCE-989E-4E5F-AF9F-8A5FEFFFEA3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1138" authorId="0" shapeId="0" xr:uid="{FA156D87-1109-4023-B47A-55CD872E9A5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1138" authorId="0" shapeId="0" xr:uid="{B647D1DE-79DC-4ED5-B362-F3CE15263BC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1138" authorId="0" shapeId="0" xr:uid="{582C379D-7F6E-48BF-84B0-2D732C079AC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1138" authorId="0" shapeId="0" xr:uid="{C9AEE77C-0F13-46BD-9329-1723154B924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1138" authorId="0" shapeId="0" xr:uid="{D08A9C3B-B7CA-4E1E-AB34-69E865BED1D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1138" authorId="0" shapeId="0" xr:uid="{A6FBDACB-64AB-460C-93BA-56F2502BBD3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1138" authorId="0" shapeId="0" xr:uid="{266035C2-3E24-4CF2-AAFD-D9BD188A961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1138" authorId="0" shapeId="0" xr:uid="{55C5C167-674D-4609-BA0E-EE66988B1AF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1151" authorId="0" shapeId="0" xr:uid="{C912A64A-EA3A-432C-8118-328315379AC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1151" authorId="0" shapeId="0" xr:uid="{34CC2AA4-5AC6-49D6-A50B-73CA4CBA1E9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1151" authorId="0" shapeId="0" xr:uid="{FD1E57FD-199A-4C99-A5C6-441B7BC8921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1151" authorId="0" shapeId="0" xr:uid="{D6F1CAD3-DB5B-4D97-A7BC-66AB138AD3C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1151" authorId="0" shapeId="0" xr:uid="{4F8BD3C8-8410-4C24-824D-B408E1DDB37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1151" authorId="0" shapeId="0" xr:uid="{ED66D093-C9AC-4C50-B00D-E18A565F532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1151" authorId="0" shapeId="0" xr:uid="{0CCCEB34-8F2B-41E8-8342-E8673130378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1151" authorId="0" shapeId="0" xr:uid="{37E16C1F-C772-4A7F-BE1B-4F6ED4AD1A5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1151" authorId="0" shapeId="0" xr:uid="{2497A431-1B2E-4F1F-ACDA-7ADA8BC7D4C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1151" authorId="0" shapeId="0" xr:uid="{979BBAB1-BDDF-4A51-8913-C3687E5D8DC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1151" authorId="0" shapeId="0" xr:uid="{028CE824-BE14-4900-843C-6CF3C8DFEC5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1151" authorId="0" shapeId="0" xr:uid="{181607F6-52B5-4505-A48D-1D4AB58F23D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1164" authorId="0" shapeId="0" xr:uid="{4005A982-7CEC-47F6-A26D-D81C6FE01AC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1164" authorId="0" shapeId="0" xr:uid="{732E78D3-6B08-4010-9361-69AB47F8C76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1164" authorId="0" shapeId="0" xr:uid="{5DEFD9BF-01D1-4B7E-8D9E-D352A680D4C2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1164" authorId="0" shapeId="0" xr:uid="{2DABFD42-6F3D-4C7E-90F1-E8E06DC27E0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1164" authorId="0" shapeId="0" xr:uid="{F05595EB-82F2-4035-9C4B-0B37CA8277F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1164" authorId="0" shapeId="0" xr:uid="{D5ECA272-02C4-4D5B-802C-0D861EA4538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1164" authorId="0" shapeId="0" xr:uid="{2CC8B516-1552-4B28-9AB5-2AB383992F4B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1164" authorId="0" shapeId="0" xr:uid="{57B31E7A-9B1D-4029-B950-9807ED524B69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1164" authorId="0" shapeId="0" xr:uid="{D7B8E7A4-6A43-4517-902A-5525F313C5F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1164" authorId="0" shapeId="0" xr:uid="{6A59CDDF-14A3-4EC7-B66C-57BD206AA98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1164" authorId="0" shapeId="0" xr:uid="{4C9B8E71-8D36-4BC4-97A6-71BD01C9D92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1164" authorId="0" shapeId="0" xr:uid="{9BC0CB67-3607-481F-B87F-B0F9C4C546C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1177" authorId="0" shapeId="0" xr:uid="{525AC878-12E1-4E1B-8943-E31A2B96B1C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1177" authorId="0" shapeId="0" xr:uid="{237F27E7-0511-46A0-B55A-82ED86DC59C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1177" authorId="0" shapeId="0" xr:uid="{231CB0CE-BE51-46BE-B0D0-38B0A9AD948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1177" authorId="0" shapeId="0" xr:uid="{9D906298-C736-47D6-A537-F6A6F00A0CA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1177" authorId="0" shapeId="0" xr:uid="{4DDBDF69-E063-495E-9126-873D02D1CC6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1177" authorId="0" shapeId="0" xr:uid="{2BDAF109-5CE0-41D2-8BCF-3B53059E86A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1177" authorId="0" shapeId="0" xr:uid="{41609B15-3C5D-4047-9D4F-D7B02E442D87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1177" authorId="0" shapeId="0" xr:uid="{56877882-45EF-4FDC-8ECF-61B7145EF73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1177" authorId="0" shapeId="0" xr:uid="{E5D3C03D-428D-4F34-8607-E7097CC5797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1177" authorId="0" shapeId="0" xr:uid="{BB1DEF7F-BAA9-4A91-B3D2-12E934207E1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1177" authorId="0" shapeId="0" xr:uid="{642B6CD9-C248-4078-97E3-8116B5F8F65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1177" authorId="0" shapeId="0" xr:uid="{D908C68E-C66E-4FF0-A645-DDBD5901BA7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1190" authorId="0" shapeId="0" xr:uid="{3562FC55-9022-4FE3-8B13-D5BEC904F33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1190" authorId="0" shapeId="0" xr:uid="{50D02FD4-2746-460E-96E2-D63AD91DD21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1190" authorId="0" shapeId="0" xr:uid="{C5F9B701-9E28-4895-A1F5-4EFF73BEBF9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1190" authorId="0" shapeId="0" xr:uid="{3306D418-20A0-45A6-BE32-36FB6E34D9A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1190" authorId="0" shapeId="0" xr:uid="{55014032-0129-4C4C-BCC1-1A186F9092E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1190" authorId="0" shapeId="0" xr:uid="{9378DAB1-474E-4313-8CE7-18962ECE230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1190" authorId="0" shapeId="0" xr:uid="{EFFAC994-BBF5-45EF-A6B6-7773A657435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1190" authorId="0" shapeId="0" xr:uid="{67B404D0-169F-45B3-805F-0C6B245610F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1190" authorId="0" shapeId="0" xr:uid="{2B344ED8-5E7E-4706-AB48-47F2AEAB1EB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1190" authorId="0" shapeId="0" xr:uid="{2B31F70E-440D-4D48-BCCF-FD7098B19ACD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1190" authorId="0" shapeId="0" xr:uid="{2D390954-8D14-4DC7-B450-D80AB3E6DFD5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1190" authorId="0" shapeId="0" xr:uid="{85CC9B6C-9438-49FE-93C9-742A243D33D3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  <comment ref="N1203" authorId="0" shapeId="0" xr:uid="{958E7A09-C6B6-40F8-8528-1718522A8AC0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O1203" authorId="0" shapeId="0" xr:uid="{A1E2F60E-6E97-459E-806E-8EFADB879E1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P1203" authorId="0" shapeId="0" xr:uid="{D49A2773-0232-4CA6-B42F-A475E6FE2C6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Q1203" authorId="0" shapeId="0" xr:uid="{FB72097D-24DE-4414-9788-1F31D93E6DAA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</t>
        </r>
      </text>
    </comment>
    <comment ref="R1203" authorId="0" shapeId="0" xr:uid="{B893802C-06B0-4835-8B7D-C3571ECE5AC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DESC + INSS</t>
        </r>
      </text>
    </comment>
    <comment ref="S1203" authorId="0" shapeId="0" xr:uid="{0842CBE7-2739-4D39-87DF-574F93A4D251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T1203" authorId="0" shapeId="0" xr:uid="{A01DE86F-4A6D-45CC-B4CC-FA3DA3C1046F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U1203" authorId="0" shapeId="0" xr:uid="{76816689-B5BC-4285-B591-4D9747A2E39E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V1203" authorId="0" shapeId="0" xr:uid="{1A9B114C-B495-4192-AADB-44657629E29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W1203" authorId="0" shapeId="0" xr:uid="{73F23D9E-E180-4F11-ACEB-654D3BE4B166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 + DESC ADTO</t>
        </r>
      </text>
    </comment>
    <comment ref="X1203" authorId="0" shapeId="0" xr:uid="{0241437C-D296-481E-8AFC-44E3D2EE30C8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VT+ DESC 13º</t>
        </r>
      </text>
    </comment>
    <comment ref="Y1203" authorId="0" shapeId="0" xr:uid="{9B482531-7506-466D-895F-CF40535559D4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INSS+DESC VT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Diana Miranda</author>
  </authors>
  <commentList>
    <comment ref="C15" authorId="0" shapeId="0" xr:uid="{DD0BA4AE-3F3F-4358-A9CD-D2FE9B3629EC}">
      <text>
        <r>
          <rPr>
            <b/>
            <sz val="9"/>
            <color indexed="81"/>
            <rFont val="Segoe UI"/>
            <family val="2"/>
          </rPr>
          <t>Diana Miranda:</t>
        </r>
        <r>
          <rPr>
            <sz val="9"/>
            <color indexed="81"/>
            <rFont val="Segoe UI"/>
            <family val="2"/>
          </rPr>
          <t xml:space="preserve">
média</t>
        </r>
      </text>
    </comment>
  </commentList>
</comments>
</file>

<file path=xl/sharedStrings.xml><?xml version="1.0" encoding="utf-8"?>
<sst xmlns="http://schemas.openxmlformats.org/spreadsheetml/2006/main" count="7563" uniqueCount="914">
  <si>
    <t>Colaboradores e prestadores de serviços - MBR</t>
  </si>
  <si>
    <t>Item</t>
  </si>
  <si>
    <t>Funcionários e prestadores de serviço</t>
  </si>
  <si>
    <t>C. custo</t>
  </si>
  <si>
    <t xml:space="preserve">Tipo </t>
  </si>
  <si>
    <t>CBO</t>
  </si>
  <si>
    <t>Status</t>
  </si>
  <si>
    <t>Centro de custo</t>
  </si>
  <si>
    <t>admissão/contrato</t>
  </si>
  <si>
    <t>demissão/distrato</t>
  </si>
  <si>
    <t>Dt desligamento</t>
  </si>
  <si>
    <t>At/Ft</t>
  </si>
  <si>
    <t>Tempo</t>
  </si>
  <si>
    <t>Total</t>
  </si>
  <si>
    <t>Valor bruto</t>
  </si>
  <si>
    <t>Valor líquido</t>
  </si>
  <si>
    <t>Média m. líquida</t>
  </si>
  <si>
    <t xml:space="preserve">Saldo à pagar </t>
  </si>
  <si>
    <t xml:space="preserve">B. horas </t>
  </si>
  <si>
    <t>Valor</t>
  </si>
  <si>
    <t>Adolfo Gabriel Pereira</t>
  </si>
  <si>
    <t>SANTOS</t>
  </si>
  <si>
    <t>CLT</t>
  </si>
  <si>
    <t>Ativo</t>
  </si>
  <si>
    <t>Alan Deyvid de Siqueira</t>
  </si>
  <si>
    <t>PRAIA GRANDE</t>
  </si>
  <si>
    <t xml:space="preserve">Andrea Aparecida de Oliveira Ferreira </t>
  </si>
  <si>
    <t>PESSOAL</t>
  </si>
  <si>
    <t>Ed Carlos dos Santos</t>
  </si>
  <si>
    <t xml:space="preserve">Afastado </t>
  </si>
  <si>
    <t>Gabriel Henrique Araujo da Cruz</t>
  </si>
  <si>
    <t>Gustavo Francisco de Souza Almeida</t>
  </si>
  <si>
    <t>Joel Maicon Cardoso de Oliveira</t>
  </si>
  <si>
    <t>Jhon Weslley Rodrigues da Silva Fernandes</t>
  </si>
  <si>
    <t>Leonardo de Souza Negreiros</t>
  </si>
  <si>
    <t>Maximus Rhaziel Stahnke</t>
  </si>
  <si>
    <t>Roberto Henrique dos Santos</t>
  </si>
  <si>
    <t>Robson Roque Bernardo</t>
  </si>
  <si>
    <t>Victor Hugo do Nascimento Soares</t>
  </si>
  <si>
    <t xml:space="preserve">Abraao da Silva Costa </t>
  </si>
  <si>
    <t>ME</t>
  </si>
  <si>
    <t>MEI</t>
  </si>
  <si>
    <t>Ar</t>
  </si>
  <si>
    <t>Cristiano vasconcelos Firmino</t>
  </si>
  <si>
    <t>Daniela Barreto dos Santos</t>
  </si>
  <si>
    <t>MAR BRASIL</t>
  </si>
  <si>
    <t>Fernando Rodrigues Teixeira</t>
  </si>
  <si>
    <t>Gabriel Wagner Bellini</t>
  </si>
  <si>
    <t xml:space="preserve">Gabrielli Baeta de Oliveira </t>
  </si>
  <si>
    <t xml:space="preserve">MAR BRASIL </t>
  </si>
  <si>
    <t xml:space="preserve">Marcos Vinicius Fortes </t>
  </si>
  <si>
    <t>CHILLER</t>
  </si>
  <si>
    <t>OFTALMO</t>
  </si>
  <si>
    <t>DEA</t>
  </si>
  <si>
    <t>Rafael Luiz Claro</t>
  </si>
  <si>
    <t>BERTIOGA/PRAIA GRAND</t>
  </si>
  <si>
    <t xml:space="preserve">Renato Ubiratan Pereira Leal Costa </t>
  </si>
  <si>
    <t xml:space="preserve">Richard Salgado Costa </t>
  </si>
  <si>
    <t>Sonia Aparecida Ferreira</t>
  </si>
  <si>
    <t>Warley Xavier Lopes</t>
  </si>
  <si>
    <t xml:space="preserve">Total: </t>
  </si>
  <si>
    <t xml:space="preserve">Funcionários </t>
  </si>
  <si>
    <t xml:space="preserve">Banc remanescente </t>
  </si>
  <si>
    <t xml:space="preserve">Saldo remanescente </t>
  </si>
  <si>
    <t>NOVEMBRO</t>
  </si>
  <si>
    <t>DEZEMBRO</t>
  </si>
  <si>
    <t>JANEIRO</t>
  </si>
  <si>
    <t xml:space="preserve">Total à pagar </t>
  </si>
  <si>
    <t>Descrição</t>
  </si>
  <si>
    <t>Valores hora extra</t>
  </si>
  <si>
    <t>Valores DSR</t>
  </si>
  <si>
    <t xml:space="preserve">Horas </t>
  </si>
  <si>
    <t>Valores</t>
  </si>
  <si>
    <t>Horas</t>
  </si>
  <si>
    <t>Ana Lucia de Lima</t>
  </si>
  <si>
    <t>Diana Miranda</t>
  </si>
  <si>
    <t>Douglas Pedrosa Abrantes</t>
  </si>
  <si>
    <t xml:space="preserve">Fagner Evinson Tosatti Albuquerque Araruna </t>
  </si>
  <si>
    <t>João Pedro da Silva Pimenta</t>
  </si>
  <si>
    <t xml:space="preserve">Misael dos Santos Silva </t>
  </si>
  <si>
    <t xml:space="preserve">Renan dos Santos Ramos Batista  </t>
  </si>
  <si>
    <t>Setor</t>
  </si>
  <si>
    <t>Cargo Inicial</t>
  </si>
  <si>
    <t xml:space="preserve">Último Cargo </t>
  </si>
  <si>
    <t>Data inicial</t>
  </si>
  <si>
    <t>Data desligamento</t>
  </si>
  <si>
    <t>Valor inicial</t>
  </si>
  <si>
    <t>Último Pagto</t>
  </si>
  <si>
    <t>Eduardo Luksevicius</t>
  </si>
  <si>
    <t>Operacional</t>
  </si>
  <si>
    <t>Prestador Credenciado III</t>
  </si>
  <si>
    <t>Prestador Credenciado I</t>
  </si>
  <si>
    <t>Inativo</t>
  </si>
  <si>
    <t>Airton Rodrigues da Silva</t>
  </si>
  <si>
    <t xml:space="preserve">Miguel A Gomes Guerreiro </t>
  </si>
  <si>
    <t>Oftamologico</t>
  </si>
  <si>
    <t>Tecnico Oftamologico</t>
  </si>
  <si>
    <t>Alexandre Nascimento dos Santos</t>
  </si>
  <si>
    <t xml:space="preserve">Mathaus Liksevicius </t>
  </si>
  <si>
    <t xml:space="preserve">Tecnologia </t>
  </si>
  <si>
    <t>Suporte Nível III</t>
  </si>
  <si>
    <t xml:space="preserve">Gestor de Tecnologia </t>
  </si>
  <si>
    <t>Oficial de Serviços Gerais III</t>
  </si>
  <si>
    <t>PG</t>
  </si>
  <si>
    <t>STS 36693/22</t>
  </si>
  <si>
    <t>Prestador Credenciado II</t>
  </si>
  <si>
    <t>Nickolas Alves Custódio</t>
  </si>
  <si>
    <t xml:space="preserve">CONECTIUS </t>
  </si>
  <si>
    <t>Engenheiro Mecânico</t>
  </si>
  <si>
    <t>PG 171/19</t>
  </si>
  <si>
    <t xml:space="preserve">Fabio Aparecido Dutra Paranaiba </t>
  </si>
  <si>
    <t>Supervisor Operacional</t>
  </si>
  <si>
    <t>Fernanda Nakita</t>
  </si>
  <si>
    <t>Recursos Humanos</t>
  </si>
  <si>
    <t>Analista de Recursos Humanos III</t>
  </si>
  <si>
    <t xml:space="preserve">Ana Lucia de Lima </t>
  </si>
  <si>
    <t>Limpeza</t>
  </si>
  <si>
    <t xml:space="preserve">Auxiliar de Serviços Gerais </t>
  </si>
  <si>
    <t>Auxilar de serviços</t>
  </si>
  <si>
    <t>Rancho</t>
  </si>
  <si>
    <t>Oficial de Serviços Gerais II</t>
  </si>
  <si>
    <t>Financeiro</t>
  </si>
  <si>
    <t>Assistente Financeiro</t>
  </si>
  <si>
    <t>Analista Financeiro I</t>
  </si>
  <si>
    <t>Gestor Operacional</t>
  </si>
  <si>
    <t>Auxiliar Financeiro III</t>
  </si>
  <si>
    <t>Analista Financeiro III</t>
  </si>
  <si>
    <t xml:space="preserve">Deuzelina Almeida e Silva </t>
  </si>
  <si>
    <t xml:space="preserve">Conectius </t>
  </si>
  <si>
    <t xml:space="preserve">Gabriel da Silva Andrade </t>
  </si>
  <si>
    <t>Auxiliar Adm Operacional III</t>
  </si>
  <si>
    <t xml:space="preserve">Ademir Jose  dos Santos </t>
  </si>
  <si>
    <t>Encarregado Operacional</t>
  </si>
  <si>
    <t>Motorista</t>
  </si>
  <si>
    <t>Auxiliar de Limpeza</t>
  </si>
  <si>
    <t>Carlos Eduardo Romero Vicente</t>
  </si>
  <si>
    <t>Licitações</t>
  </si>
  <si>
    <t>Analista Nível I</t>
  </si>
  <si>
    <t xml:space="preserve">Gestor de Licitações </t>
  </si>
  <si>
    <t>Gisele Aparecida Pereira Lazari</t>
  </si>
  <si>
    <t>Analista de Recursos Humanos II</t>
  </si>
  <si>
    <t>Ricardo dos Santos Lima</t>
  </si>
  <si>
    <t xml:space="preserve">Douglas Pedrosa Abrantes </t>
  </si>
  <si>
    <t>Bruno Oliveira Carvalho</t>
  </si>
  <si>
    <t xml:space="preserve">Estagiário </t>
  </si>
  <si>
    <t>DZM</t>
  </si>
  <si>
    <t>EST</t>
  </si>
  <si>
    <t>Pako Ruhan Cavalcanti de Andrade</t>
  </si>
  <si>
    <t xml:space="preserve">Wanderley Souza da Silva </t>
  </si>
  <si>
    <t xml:space="preserve">Leandro Munis Rodrigues da Silva </t>
  </si>
  <si>
    <t xml:space="preserve">Oficial de Serviços Gerais </t>
  </si>
  <si>
    <t>Matheus Rodrigues Abrantes de Paula</t>
  </si>
  <si>
    <t>Analista de Licitação / Jurídico</t>
  </si>
  <si>
    <t xml:space="preserve">Wiilian Camara </t>
  </si>
  <si>
    <t>Suporte Nível II</t>
  </si>
  <si>
    <t xml:space="preserve">Willian Hauro da Silva </t>
  </si>
  <si>
    <t>Wagner Marques Sinna</t>
  </si>
  <si>
    <t xml:space="preserve">Renan de Souza Miranda </t>
  </si>
  <si>
    <t>João Pedro Pimenta</t>
  </si>
  <si>
    <t>Caio Felipe Alves Ivo</t>
  </si>
  <si>
    <t>BER2022</t>
  </si>
  <si>
    <t xml:space="preserve">Diego Pereira Gomes </t>
  </si>
  <si>
    <t>Assistente Adm Operacional III</t>
  </si>
  <si>
    <t xml:space="preserve">Alan Deyvid de Siqueira </t>
  </si>
  <si>
    <t>Geovanna Chaves da Silva Carvalho</t>
  </si>
  <si>
    <t>Assistente de Licitações Nivel III</t>
  </si>
  <si>
    <t>Guilherme Matheus de Oliveira Barros</t>
  </si>
  <si>
    <t>Analista Financeiro Nível II</t>
  </si>
  <si>
    <t xml:space="preserve">Paulo de Tassio </t>
  </si>
  <si>
    <t>BERTIOGA</t>
  </si>
  <si>
    <t>Marcelo Mendes de Freitas</t>
  </si>
  <si>
    <t>Consultor de Tecnologia</t>
  </si>
  <si>
    <t>Alan Honorato Mendes</t>
  </si>
  <si>
    <t>Mecânico de Refrigeração III</t>
  </si>
  <si>
    <t>Auxiliar de Refrigeração III</t>
  </si>
  <si>
    <t>CSP 274/24</t>
  </si>
  <si>
    <t>9112-05</t>
  </si>
  <si>
    <t>Prestador Credenciado</t>
  </si>
  <si>
    <t>Cristiano Vasconcelos Firmino</t>
  </si>
  <si>
    <t>Gabriel Nicolas Feitosa Lemos</t>
  </si>
  <si>
    <t>BER1390</t>
  </si>
  <si>
    <t>Giovanne Afonso Penutte Machado</t>
  </si>
  <si>
    <t>José Roberto De Lira</t>
  </si>
  <si>
    <t>Mecânico de Refrigeração I</t>
  </si>
  <si>
    <t>Gracy Antonio Nascimento de Jesus</t>
  </si>
  <si>
    <t>Justino Barbosa Da Silva Junior</t>
  </si>
  <si>
    <t>Encarregado de Refrigeração I</t>
  </si>
  <si>
    <t>9101-10</t>
  </si>
  <si>
    <t>Kauanny Roza Martinelli</t>
  </si>
  <si>
    <t>Comercial</t>
  </si>
  <si>
    <t>Assistente Comercial III</t>
  </si>
  <si>
    <t>Victor Roberto Parpinelli Souza</t>
  </si>
  <si>
    <t>Analista Financeiro II</t>
  </si>
  <si>
    <t>Walter Pozzeti Junior</t>
  </si>
  <si>
    <t>Marketing</t>
  </si>
  <si>
    <t>Fabio Antonio Bogajo</t>
  </si>
  <si>
    <t>Misael Pereira Da Silva</t>
  </si>
  <si>
    <t>Luciana Serpeloni Borges</t>
  </si>
  <si>
    <t>Raphael Kaych Nunes Câmara</t>
  </si>
  <si>
    <t>LUIZ VICTOR DA COSTA CRUZ</t>
  </si>
  <si>
    <t>Guilherme Henrique Silva Silveira</t>
  </si>
  <si>
    <t>Sthefany de Santana Calacio</t>
  </si>
  <si>
    <t xml:space="preserve">Auxiliar Administrativo </t>
  </si>
  <si>
    <t>Auxiliar Administrativo</t>
  </si>
  <si>
    <t xml:space="preserve">Flavio Pereira da Silva </t>
  </si>
  <si>
    <t>Carlos Eduardo Marquez Querioz</t>
  </si>
  <si>
    <t xml:space="preserve">Danilo Jame de Jesus </t>
  </si>
  <si>
    <t>Edson Araujo Sousa</t>
  </si>
  <si>
    <t>Fagner Evinson Tosatti Albuquerque Araruna</t>
  </si>
  <si>
    <t>BER</t>
  </si>
  <si>
    <t xml:space="preserve">Giovana Bisaio Fernandes </t>
  </si>
  <si>
    <t>Nicole Fernanda Barbosa</t>
  </si>
  <si>
    <t>Gestor Financeiro</t>
  </si>
  <si>
    <t xml:space="preserve">Ana Carolina Medaglia </t>
  </si>
  <si>
    <t>Matheus Cardoso Ferraz Amaro Santos</t>
  </si>
  <si>
    <t xml:space="preserve">Marcos Antonio de Paula </t>
  </si>
  <si>
    <t xml:space="preserve">Fabio José Amierio </t>
  </si>
  <si>
    <t>Thiago Mendonça de Castro</t>
  </si>
  <si>
    <t>Jurídico</t>
  </si>
  <si>
    <t>JÚRICO</t>
  </si>
  <si>
    <t xml:space="preserve">Beatriz Marques Ferreira </t>
  </si>
  <si>
    <t>Vicente Quartieri Neto</t>
  </si>
  <si>
    <t>Decio Toledo Leoni Neto</t>
  </si>
  <si>
    <t xml:space="preserve">Roberto Pinheiro de Moura </t>
  </si>
  <si>
    <t xml:space="preserve">Beatriz Pereira Fontes </t>
  </si>
  <si>
    <t>Analista Nível III</t>
  </si>
  <si>
    <t>Geovanil Barbosa de Lima</t>
  </si>
  <si>
    <t xml:space="preserve">Lais Menezes Santos </t>
  </si>
  <si>
    <t>Assistente Adm Operacional I</t>
  </si>
  <si>
    <t>Renan Farias Poli</t>
  </si>
  <si>
    <t xml:space="preserve">Vitor Manoel da Silva Chagas </t>
  </si>
  <si>
    <t>Assistente Finaceiro Nível III</t>
  </si>
  <si>
    <t>Anderson Teixeira Luz</t>
  </si>
  <si>
    <t xml:space="preserve">Matheus Prado </t>
  </si>
  <si>
    <t>Analista Juridico</t>
  </si>
  <si>
    <t>Christopher da Silva Souza Gabassi</t>
  </si>
  <si>
    <t>Vitor Oliveira Santana</t>
  </si>
  <si>
    <t>Antonio Ramos Da Silva</t>
  </si>
  <si>
    <t>Carlos Henryque Gomes da Silva</t>
  </si>
  <si>
    <t>Kaique Amorim Souza</t>
  </si>
  <si>
    <t>inativo</t>
  </si>
  <si>
    <t>Vitor Patrick dos Santos Kauhs</t>
  </si>
  <si>
    <t xml:space="preserve">Wilson Neves dos Santos </t>
  </si>
  <si>
    <t>Amanda Aparecida Costa de Oliveira</t>
  </si>
  <si>
    <t>Gestor Comercial</t>
  </si>
  <si>
    <t>Mario Renato Cerqueira Castro Cohen</t>
  </si>
  <si>
    <t>Assistente Administrativo N III</t>
  </si>
  <si>
    <t>Douglas Mariano Ribero</t>
  </si>
  <si>
    <t>Olavo Carvalho de Jesis Motte Carlos</t>
  </si>
  <si>
    <t>Ariane Amarante</t>
  </si>
  <si>
    <t xml:space="preserve">Bruno Luiz Marques </t>
  </si>
  <si>
    <t xml:space="preserve">Igor Imene dos Santos </t>
  </si>
  <si>
    <t>Ivan Lucas da Silva Santos</t>
  </si>
  <si>
    <t>Renan dos Santos Ramos Batista</t>
  </si>
  <si>
    <t>Wanderson Galvão dos Santos</t>
  </si>
  <si>
    <t xml:space="preserve">Ytalo de Souza Silva	</t>
  </si>
  <si>
    <t xml:space="preserve">Yago Pereira Tassara </t>
  </si>
  <si>
    <t>Camila Lourenço Ebenau</t>
  </si>
  <si>
    <t>Assistente Comercial</t>
  </si>
  <si>
    <t>Gustavo Fernandes Garcia</t>
  </si>
  <si>
    <t>JORGE LUIS DA SILVA ONCA FILHO</t>
  </si>
  <si>
    <t xml:space="preserve">Elivando Santos Batista </t>
  </si>
  <si>
    <t xml:space="preserve">Waltinei Alves da Silva </t>
  </si>
  <si>
    <t xml:space="preserve">Alan Lima Vasconcelos </t>
  </si>
  <si>
    <t>Camila de Oliveira Teixeira</t>
  </si>
  <si>
    <t>MAR BRASIL/PESSOAL</t>
  </si>
  <si>
    <t>Cristhian de Oliveira Domigues</t>
  </si>
  <si>
    <t xml:space="preserve">Gabriel Rodrigues Souza </t>
  </si>
  <si>
    <t>Josiane Santos de Lima Freitas</t>
  </si>
  <si>
    <t>Pessoal</t>
  </si>
  <si>
    <t>João Marcelo de Oliveira Paredes</t>
  </si>
  <si>
    <t>Victor Luis do Nascimento Soares</t>
  </si>
  <si>
    <t>Matheus Roberto Santos da Silva</t>
  </si>
  <si>
    <t xml:space="preserve">Josivan de Lima Silva </t>
  </si>
  <si>
    <t xml:space="preserve">Braian Castro Furquim da Mota </t>
  </si>
  <si>
    <t xml:space="preserve">Leandro Lourenci Cunha </t>
  </si>
  <si>
    <t>Michelle Guerra</t>
  </si>
  <si>
    <t>Gestor de RH</t>
  </si>
  <si>
    <t>Wevellins Rodrigues de Souza</t>
  </si>
  <si>
    <t>Jonas do Nascimento Batista</t>
  </si>
  <si>
    <t xml:space="preserve">Bruno Viana de Sousa Chaves </t>
  </si>
  <si>
    <t xml:space="preserve">Gabriel dos Santos Silva </t>
  </si>
  <si>
    <t xml:space="preserve">Jose Roberto de Lira </t>
  </si>
  <si>
    <t>Carlos Henrique Santos</t>
  </si>
  <si>
    <t>Danyelle Vieira da Cunha</t>
  </si>
  <si>
    <t xml:space="preserve">Sandro Ribeiro da Silva </t>
  </si>
  <si>
    <t>Zeus Alves Machado</t>
  </si>
  <si>
    <t xml:space="preserve">Gustavo Dias de Oliveira </t>
  </si>
  <si>
    <t xml:space="preserve">Iradilde Rodrigues da Silva </t>
  </si>
  <si>
    <t xml:space="preserve">Jhonatan Silva Barbosa </t>
  </si>
  <si>
    <t>Edney Osmar Pires</t>
  </si>
  <si>
    <t>Rafael Andrade de Jesus</t>
  </si>
  <si>
    <t xml:space="preserve">Lorran Rodrigues de Oliveira </t>
  </si>
  <si>
    <t>Pedro Enzo Martibs Bastos</t>
  </si>
  <si>
    <t xml:space="preserve">Lucas Pereira da Silva </t>
  </si>
  <si>
    <t>Kauam Vitório Lopes dos Santos Cardoso</t>
  </si>
  <si>
    <t>Stephany Santos Santana</t>
  </si>
  <si>
    <t>Marcos Caetano do Nascimento</t>
  </si>
  <si>
    <t>Paulo Mesquita da Cunha</t>
  </si>
  <si>
    <t>Melissa Leite Machado</t>
  </si>
  <si>
    <t>Auxiliar Financeiro</t>
  </si>
  <si>
    <t xml:space="preserve">Cleiton Martins Ornellas </t>
  </si>
  <si>
    <t>Marco Aurelio Dias Ferreira do Nascimento</t>
  </si>
  <si>
    <t xml:space="preserve">Flavio de Olveira Fontenelle </t>
  </si>
  <si>
    <t>Cristiane Cavalcanti da Silva Sena</t>
  </si>
  <si>
    <t>Matheus Ignacchiti Franca</t>
  </si>
  <si>
    <t>Aux. Administrativo III</t>
  </si>
  <si>
    <t>Felipe Rodrigues Prado</t>
  </si>
  <si>
    <t xml:space="preserve">ITEM </t>
  </si>
  <si>
    <t>PRESTADORES DE SERVIÇO</t>
  </si>
  <si>
    <t>STATUS</t>
  </si>
  <si>
    <t>SETOR</t>
  </si>
  <si>
    <t>CARGO INICIAL</t>
  </si>
  <si>
    <t xml:space="preserve">ÚLTIMO CARGO </t>
  </si>
  <si>
    <t>DATA INICIAL</t>
  </si>
  <si>
    <t>DESLIGAMENTO</t>
  </si>
  <si>
    <t xml:space="preserve">TEMPO </t>
  </si>
  <si>
    <t>Abraao da Silva Costa</t>
  </si>
  <si>
    <t xml:space="preserve">INATIVO </t>
  </si>
  <si>
    <t>Ademir Jose dos Santos</t>
  </si>
  <si>
    <t>INATIVO</t>
  </si>
  <si>
    <t xml:space="preserve">Airton Rodrigues da Silva </t>
  </si>
  <si>
    <t>ATIVO</t>
  </si>
  <si>
    <t xml:space="preserve">Gestor Comercial </t>
  </si>
  <si>
    <t>Analista de RH Nível III</t>
  </si>
  <si>
    <t>Analista de Licitação Nível I</t>
  </si>
  <si>
    <t>Gestor de Licitações</t>
  </si>
  <si>
    <t xml:space="preserve">Daniela Barreto Dos Santos </t>
  </si>
  <si>
    <t xml:space="preserve">Diana Miranda </t>
  </si>
  <si>
    <t>Douglas Mariano Ribeiro</t>
  </si>
  <si>
    <t>Fabio Aparecido Dutra Paranaiba</t>
  </si>
  <si>
    <t xml:space="preserve">Fernando Rodrigues Teixeira </t>
  </si>
  <si>
    <t>Gabriel Wagner Silva Bellini</t>
  </si>
  <si>
    <t>Gabrielli Baeta de Oliveira Mendes</t>
  </si>
  <si>
    <t>Leandro Muniz Rodrigues da Silva</t>
  </si>
  <si>
    <t>Mathaus Lukservicius</t>
  </si>
  <si>
    <t>Analista de Licitação Nível I / Jurídico</t>
  </si>
  <si>
    <t>Miguel A Gomes Guerrero</t>
  </si>
  <si>
    <t>Nickolas Alves Custodio</t>
  </si>
  <si>
    <t>LImpeza</t>
  </si>
  <si>
    <t>Surpevisor de TI</t>
  </si>
  <si>
    <t>William Hauro da Silva</t>
  </si>
  <si>
    <t xml:space="preserve">Willian Camara </t>
  </si>
  <si>
    <t>Assistente Administrato Nível III</t>
  </si>
  <si>
    <t xml:space="preserve">Renan Miranda </t>
  </si>
  <si>
    <t>Valores totais ao mês</t>
  </si>
  <si>
    <t>ITEM</t>
  </si>
  <si>
    <t>FUNCIONÁRIOS</t>
  </si>
  <si>
    <t>ÚLTIMO CARGO</t>
  </si>
  <si>
    <t>Ciclo do mês</t>
  </si>
  <si>
    <t xml:space="preserve">Pagamento sem holerite </t>
  </si>
  <si>
    <t xml:space="preserve">Holerite </t>
  </si>
  <si>
    <t>Adiantamento</t>
  </si>
  <si>
    <t>Hora extra + D.S.R</t>
  </si>
  <si>
    <t>Adicional noturno 20% +D.S.R</t>
  </si>
  <si>
    <t>VR</t>
  </si>
  <si>
    <t>VT</t>
  </si>
  <si>
    <t>Ajuda de custo</t>
  </si>
  <si>
    <t>Cesta</t>
  </si>
  <si>
    <t>Bonificação</t>
  </si>
  <si>
    <t>Comissões Rancho</t>
  </si>
  <si>
    <t xml:space="preserve">Férias </t>
  </si>
  <si>
    <t>Rescisão</t>
  </si>
  <si>
    <t>13º</t>
  </si>
  <si>
    <t>Descontos</t>
  </si>
  <si>
    <t xml:space="preserve">Inativo </t>
  </si>
  <si>
    <t xml:space="preserve">Ariane Amarante </t>
  </si>
  <si>
    <t>Auxiliar Administrativo Financeiro</t>
  </si>
  <si>
    <t>Férias</t>
  </si>
  <si>
    <t xml:space="preserve">Ativo </t>
  </si>
  <si>
    <t>ESTÁGIARIO</t>
  </si>
  <si>
    <t>Adiantamentos</t>
  </si>
  <si>
    <t>Cristhian de Oliveira Domingues</t>
  </si>
  <si>
    <t xml:space="preserve">Descontos </t>
  </si>
  <si>
    <t>Oprecaional</t>
  </si>
  <si>
    <t>Acordo Rescisão</t>
  </si>
  <si>
    <t xml:space="preserve">Bonificação </t>
  </si>
  <si>
    <t xml:space="preserve">GABRIEL HENRIQUE ARAUJO DA CRUZ </t>
  </si>
  <si>
    <t xml:space="preserve">GIOVANA BISAIO FERNANDES </t>
  </si>
  <si>
    <t>Fabio José Amieiro</t>
  </si>
  <si>
    <t>Gabriel Rodrigues de Souza Silva</t>
  </si>
  <si>
    <t>GUSTAVO FRANCISCO DE SOUZA ALMEIDA</t>
  </si>
  <si>
    <t>Auxiliar Administrativo Operacional</t>
  </si>
  <si>
    <t>Igor Imene dos Santos</t>
  </si>
  <si>
    <t>Misael dos Santos Silva</t>
  </si>
  <si>
    <t>Premiação Nível II</t>
  </si>
  <si>
    <t>Renan de Souza Miranda</t>
  </si>
  <si>
    <t xml:space="preserve">Premiação / Nível II </t>
  </si>
  <si>
    <t>Premiação</t>
  </si>
  <si>
    <t>,</t>
  </si>
  <si>
    <t>Pagamento sem holerite</t>
  </si>
  <si>
    <t>Cesta básica</t>
  </si>
  <si>
    <t>Wilson Neves dos Santos</t>
  </si>
  <si>
    <t>Yago Pereira Tassara</t>
  </si>
  <si>
    <t xml:space="preserve"> MECÂNICO REFRIGERAÇÃO NIVEL 3</t>
  </si>
  <si>
    <t xml:space="preserve"> MECÂNICO REFRIGERAÇÃO NIVEL III</t>
  </si>
  <si>
    <t xml:space="preserve"> MECÂNICO REFRIGERAÇÃO NIVEL I</t>
  </si>
  <si>
    <t xml:space="preserve">Pensão Alimenticia </t>
  </si>
  <si>
    <t xml:space="preserve">  Encarregado Mec. Refrig. e Climatização</t>
  </si>
  <si>
    <t xml:space="preserve"> Encarregado Mec. Refrig. e Climatização</t>
  </si>
  <si>
    <t xml:space="preserve">DEUZELINA ALMEIDA E SILVA </t>
  </si>
  <si>
    <t>Adiantamentos holerite</t>
  </si>
  <si>
    <t>Adiantamentos solicitados</t>
  </si>
  <si>
    <t>VA</t>
  </si>
  <si>
    <t xml:space="preserve">Ajuda de Custo </t>
  </si>
  <si>
    <t>-</t>
  </si>
  <si>
    <t xml:space="preserve">Diferença salarial </t>
  </si>
  <si>
    <r>
      <t>Danilo Jame de Jesus</t>
    </r>
    <r>
      <rPr>
        <sz val="11"/>
        <color theme="1"/>
        <rFont val="Calibri"/>
        <family val="2"/>
        <scheme val="minor"/>
      </rPr>
      <t xml:space="preserve"> </t>
    </r>
  </si>
  <si>
    <t>GUILHERME HENRIQUE SILVA VIEIRA</t>
  </si>
  <si>
    <t xml:space="preserve">Irailde Rodrigues da Silva </t>
  </si>
  <si>
    <t>Jhonatan Silva Barbosa</t>
  </si>
  <si>
    <t>Pedro Enzo Martins Bastos</t>
  </si>
  <si>
    <t xml:space="preserve">Mensal Líquido Colaboradores Mar Brasil 09/2022 </t>
  </si>
  <si>
    <t>Colaboradores/Prestadores</t>
  </si>
  <si>
    <t>Contrato</t>
  </si>
  <si>
    <t xml:space="preserve">Ajuda de custo </t>
  </si>
  <si>
    <t>Vale transporte</t>
  </si>
  <si>
    <t xml:space="preserve">Cesta </t>
  </si>
  <si>
    <t>Total por pessoa</t>
  </si>
  <si>
    <t xml:space="preserve">Misael dos Santos </t>
  </si>
  <si>
    <t xml:space="preserve">Renan dos Santos Ramos Batista </t>
  </si>
  <si>
    <t>Renato Ubiratan Pereira Leal Costa</t>
  </si>
  <si>
    <t xml:space="preserve">Eduardo Lukservicius </t>
  </si>
  <si>
    <t xml:space="preserve">Mathaus Lukservicius </t>
  </si>
  <si>
    <t xml:space="preserve">William Hauro da Silva </t>
  </si>
  <si>
    <t>Rescisório CLT</t>
  </si>
  <si>
    <t>Ativo/ Inativo/Aviso prévio</t>
  </si>
  <si>
    <t>Valor pago</t>
  </si>
  <si>
    <t>Valor à pagar</t>
  </si>
  <si>
    <t xml:space="preserve">Total </t>
  </si>
  <si>
    <t xml:space="preserve">Carlos henryque Gomes da Silva </t>
  </si>
  <si>
    <t>TOTAL</t>
  </si>
  <si>
    <t/>
  </si>
  <si>
    <t>Relatório de contas a pagar
                    Período: 01/01/2021 à 31/12/2021
                    Gerado em 21/01/2022 às 09:36:09</t>
  </si>
  <si>
    <t>Código</t>
  </si>
  <si>
    <t>Destinado à</t>
  </si>
  <si>
    <t>Plano de contas</t>
  </si>
  <si>
    <t>Forma de pagamento</t>
  </si>
  <si>
    <t>Conta bancária</t>
  </si>
  <si>
    <t>Data</t>
  </si>
  <si>
    <t>NF-e</t>
  </si>
  <si>
    <t>Situação</t>
  </si>
  <si>
    <t>Desconto</t>
  </si>
  <si>
    <t>Juros</t>
  </si>
  <si>
    <t>Taxa do banco</t>
  </si>
  <si>
    <t>Taxa da operadora</t>
  </si>
  <si>
    <t>Valor total</t>
  </si>
  <si>
    <t>1584</t>
  </si>
  <si>
    <t>Aparecido José da Silva</t>
  </si>
  <si>
    <t>2ª parc. - Decimo terceiro - Aparecido</t>
  </si>
  <si>
    <t>Encargos funcionários - 13o salário</t>
  </si>
  <si>
    <t>PIX</t>
  </si>
  <si>
    <t>Conta corrente - Bradesco</t>
  </si>
  <si>
    <t>Guincho Praia Grande/SP - Pregão 166 2020</t>
  </si>
  <si>
    <t>20/12/2021</t>
  </si>
  <si>
    <t>------</t>
  </si>
  <si>
    <t>Confirmado</t>
  </si>
  <si>
    <t>486,96</t>
  </si>
  <si>
    <t>280,00</t>
  </si>
  <si>
    <t>0,00</t>
  </si>
  <si>
    <t>206,96</t>
  </si>
  <si>
    <t>2284</t>
  </si>
  <si>
    <t>Despesas - FGTS Rescisório Aparecido</t>
  </si>
  <si>
    <t>Encargos funcionários - FGTS</t>
  </si>
  <si>
    <t>Boleto Bancário</t>
  </si>
  <si>
    <t>Banco Prudentte</t>
  </si>
  <si>
    <t>27/12/2021</t>
  </si>
  <si>
    <t>565,68</t>
  </si>
  <si>
    <t>2293</t>
  </si>
  <si>
    <t>Despesas - Rescisão Aparecido</t>
  </si>
  <si>
    <t>Encargos - rescisões trabalhistas</t>
  </si>
  <si>
    <t>29/12/2021</t>
  </si>
  <si>
    <t>3.114,65</t>
  </si>
  <si>
    <t>1525</t>
  </si>
  <si>
    <t>Holerite - Aparecido</t>
  </si>
  <si>
    <t>Encargo Funcionários - Holerite Mensal</t>
  </si>
  <si>
    <t>06/12/2021</t>
  </si>
  <si>
    <t>2.014,22</t>
  </si>
  <si>
    <t>943,90</t>
  </si>
  <si>
    <t>1.070,32</t>
  </si>
  <si>
    <t>1646</t>
  </si>
  <si>
    <t>Adiantamento Holerite - Aparecido</t>
  </si>
  <si>
    <t>Adiantamento - funcionários</t>
  </si>
  <si>
    <t>779,13</t>
  </si>
  <si>
    <t>1474</t>
  </si>
  <si>
    <t>Decimo terceiro - Aparecido</t>
  </si>
  <si>
    <t>30/11/2021</t>
  </si>
  <si>
    <t>243,48</t>
  </si>
  <si>
    <t>1366</t>
  </si>
  <si>
    <t>Holerite</t>
  </si>
  <si>
    <t>04/11/2021</t>
  </si>
  <si>
    <t>2.560,20</t>
  </si>
  <si>
    <t>744,03</t>
  </si>
  <si>
    <t>1.816,17</t>
  </si>
  <si>
    <t>1373</t>
  </si>
  <si>
    <t>Adiantamento Holerite</t>
  </si>
  <si>
    <t>18/11/2021</t>
  </si>
  <si>
    <t>23,41</t>
  </si>
  <si>
    <t>755,72</t>
  </si>
  <si>
    <t>129</t>
  </si>
  <si>
    <t>Vale Refeição</t>
  </si>
  <si>
    <t>Encargos funcionários - alimentação</t>
  </si>
  <si>
    <t>241,72</t>
  </si>
  <si>
    <t>1404</t>
  </si>
  <si>
    <t>Vale Transporte</t>
  </si>
  <si>
    <t>Encargos funcionários - vale transporte</t>
  </si>
  <si>
    <t>186,00</t>
  </si>
  <si>
    <t>1340</t>
  </si>
  <si>
    <t>Diárias - Pre-contratação - Aparecido</t>
  </si>
  <si>
    <t>Remuneração funcionários</t>
  </si>
  <si>
    <t>Cartão de Crédito</t>
  </si>
  <si>
    <t>GL-07</t>
  </si>
  <si>
    <t>18/10/2021</t>
  </si>
  <si>
    <t>600,00</t>
  </si>
  <si>
    <t>329</t>
  </si>
  <si>
    <t>13/10/2021</t>
  </si>
  <si>
    <t>1324</t>
  </si>
  <si>
    <t>20/10/2021</t>
  </si>
  <si>
    <t>519,42</t>
  </si>
  <si>
    <t>1341</t>
  </si>
  <si>
    <t>29/10/2021</t>
  </si>
  <si>
    <t>1396</t>
  </si>
  <si>
    <t>TOTAIS</t>
  </si>
  <si>
    <t>Quantidade:</t>
  </si>
  <si>
    <t>15</t>
  </si>
  <si>
    <t>Pagamentos atrasados:</t>
  </si>
  <si>
    <t>Pagamentos para hoje:</t>
  </si>
  <si>
    <t>Pagamentos futuros:</t>
  </si>
  <si>
    <t>Valor total à pagar:</t>
  </si>
  <si>
    <t>Valor total pago:</t>
  </si>
  <si>
    <t>10.712,97</t>
  </si>
  <si>
    <t>Descontos:</t>
  </si>
  <si>
    <t>1.991,34</t>
  </si>
  <si>
    <t>Juros:</t>
  </si>
  <si>
    <t>Taxas do banco:</t>
  </si>
  <si>
    <t>Taxas da operadora:</t>
  </si>
  <si>
    <t>Valor total:</t>
  </si>
  <si>
    <t>Relatório de contas a pagar
                    Período: 01/01/2021 à 31/12/2021
                    Gerado em 21/01/2022 às 09:26:19</t>
  </si>
  <si>
    <t>80</t>
  </si>
  <si>
    <t>Edimilson Jose Da Silva</t>
  </si>
  <si>
    <t>Investimentos Dauren</t>
  </si>
  <si>
    <t>11/03/2021</t>
  </si>
  <si>
    <t>225,40</t>
  </si>
  <si>
    <t>73</t>
  </si>
  <si>
    <t>17/03/2021</t>
  </si>
  <si>
    <t>83</t>
  </si>
  <si>
    <t>19/03/2021</t>
  </si>
  <si>
    <t>675,24</t>
  </si>
  <si>
    <t>366</t>
  </si>
  <si>
    <t>Rescisão Edimilson</t>
  </si>
  <si>
    <t>31/03/2021</t>
  </si>
  <si>
    <t>4.003,86</t>
  </si>
  <si>
    <t>1.674,87</t>
  </si>
  <si>
    <t>2.328,99</t>
  </si>
  <si>
    <t>1131</t>
  </si>
  <si>
    <t>Serviços Avulsos - Diárias Motorista</t>
  </si>
  <si>
    <t>Dinheiro à Vista</t>
  </si>
  <si>
    <t>19/07/2021</t>
  </si>
  <si>
    <t>240,00</t>
  </si>
  <si>
    <t>1244</t>
  </si>
  <si>
    <t>Despesas - Diárias GL5 - Pré-contratação</t>
  </si>
  <si>
    <t>16/09/2021</t>
  </si>
  <si>
    <t>480,00</t>
  </si>
  <si>
    <t>1255</t>
  </si>
  <si>
    <t>30/09/2021</t>
  </si>
  <si>
    <t>1256</t>
  </si>
  <si>
    <t>176,00</t>
  </si>
  <si>
    <t>1359</t>
  </si>
  <si>
    <t>05/10/2021</t>
  </si>
  <si>
    <t>660,64</t>
  </si>
  <si>
    <t>196</t>
  </si>
  <si>
    <t>1389</t>
  </si>
  <si>
    <t>165,00</t>
  </si>
  <si>
    <t>1393</t>
  </si>
  <si>
    <t>262</t>
  </si>
  <si>
    <t>1.947,82</t>
  </si>
  <si>
    <t>937,93</t>
  </si>
  <si>
    <t>1.009,89</t>
  </si>
  <si>
    <t>1370</t>
  </si>
  <si>
    <t>321</t>
  </si>
  <si>
    <t>1476</t>
  </si>
  <si>
    <t>Decimo terceiro - Edimilson</t>
  </si>
  <si>
    <t>1488</t>
  </si>
  <si>
    <t>1526</t>
  </si>
  <si>
    <t>Holerite - Edimilson</t>
  </si>
  <si>
    <t>1588</t>
  </si>
  <si>
    <t>2ª parc. - Decimo terceiro - Edimilson</t>
  </si>
  <si>
    <t>1647</t>
  </si>
  <si>
    <t>Adiantamento Holerite - Edimilson</t>
  </si>
  <si>
    <t>1677</t>
  </si>
  <si>
    <t>22/12/2021</t>
  </si>
  <si>
    <t>21</t>
  </si>
  <si>
    <t>11.203,91</t>
  </si>
  <si>
    <t>3.836,70</t>
  </si>
  <si>
    <t>4.921,31</t>
  </si>
  <si>
    <t>13.827,73</t>
  </si>
  <si>
    <t>Relatório de contas a pagar
                    Período: 01/01/2021 à 31/12/2021
                    Gerado em 21/01/2022 às 10:05:35</t>
  </si>
  <si>
    <t>1257</t>
  </si>
  <si>
    <t>Fabio Henrique Domingos Da Silva</t>
  </si>
  <si>
    <t>1321</t>
  </si>
  <si>
    <t>1394</t>
  </si>
  <si>
    <t>1364</t>
  </si>
  <si>
    <t>2.563,71</t>
  </si>
  <si>
    <t>1.004,16</t>
  </si>
  <si>
    <t>1.559,55</t>
  </si>
  <si>
    <t>1371</t>
  </si>
  <si>
    <t>1477</t>
  </si>
  <si>
    <t>Decimo terceiro - Fabio</t>
  </si>
  <si>
    <t>1489</t>
  </si>
  <si>
    <t>1527</t>
  </si>
  <si>
    <t>Holerite - Fabio</t>
  </si>
  <si>
    <t>2.180,23</t>
  </si>
  <si>
    <t>958,85</t>
  </si>
  <si>
    <t>1.221,38</t>
  </si>
  <si>
    <t>1590</t>
  </si>
  <si>
    <t>2ª parc. - Decimo terceiro - Fabio</t>
  </si>
  <si>
    <t>1648</t>
  </si>
  <si>
    <t>Adiantamento Holerite - Fabio</t>
  </si>
  <si>
    <t>1680</t>
  </si>
  <si>
    <t>11</t>
  </si>
  <si>
    <t>6.535,64</t>
  </si>
  <si>
    <t>2.243,01</t>
  </si>
  <si>
    <t>Relatório de contas a pagar
                    Período: 01/01/2021 à 31/12/2021
                    Gerado em 21/01/2022 às 10:14:10</t>
  </si>
  <si>
    <t>Marcio Augusto da Silva</t>
  </si>
  <si>
    <t>Decimo terceiro - Marcio</t>
  </si>
  <si>
    <t>Holerite - Marcio</t>
  </si>
  <si>
    <t>2ª parc. - Decimo terceiro - Marcio</t>
  </si>
  <si>
    <t>Adiantamento Holerite - Marcio</t>
  </si>
  <si>
    <t>Relatório de contas a pagar
                    Período: 01/01/2021 à 31/12/2021
                    Gerado em 21/01/2022 às 10:23:29</t>
  </si>
  <si>
    <t>1245</t>
  </si>
  <si>
    <t>Rosinaldo Soares</t>
  </si>
  <si>
    <t>Despesas - Diárias GL5 - pre-contratação</t>
  </si>
  <si>
    <t>127</t>
  </si>
  <si>
    <t>315</t>
  </si>
  <si>
    <t>148,50</t>
  </si>
  <si>
    <t>1287</t>
  </si>
  <si>
    <t>Despesas - Holerite</t>
  </si>
  <si>
    <t>714,20</t>
  </si>
  <si>
    <t>53,56</t>
  </si>
  <si>
    <t>1323</t>
  </si>
  <si>
    <t>1388</t>
  </si>
  <si>
    <t>158,40</t>
  </si>
  <si>
    <t>1392</t>
  </si>
  <si>
    <t>1363</t>
  </si>
  <si>
    <t>1368</t>
  </si>
  <si>
    <t>1405</t>
  </si>
  <si>
    <t>1480</t>
  </si>
  <si>
    <t>Decimo terceiro - Rosinaldo</t>
  </si>
  <si>
    <t>1493</t>
  </si>
  <si>
    <t>1530</t>
  </si>
  <si>
    <t>Holerite - Rosinaldo</t>
  </si>
  <si>
    <t>1595</t>
  </si>
  <si>
    <t>2ª parc. - Decimo terceiro - Rosinaldo</t>
  </si>
  <si>
    <t>1650</t>
  </si>
  <si>
    <t>Adiantamento Holerite - Rosinaldo</t>
  </si>
  <si>
    <t>1679</t>
  </si>
  <si>
    <t>16</t>
  </si>
  <si>
    <t>7.130,53</t>
  </si>
  <si>
    <t>2.209,42</t>
  </si>
  <si>
    <t>Relatório de contas a pagar
                    Período: 01/01/2021 à 31/12/2021
                    Gerado em 21/01/2022 às 10:32:13</t>
  </si>
  <si>
    <t>784</t>
  </si>
  <si>
    <t>Sergio Ricardo Pereira da Silva</t>
  </si>
  <si>
    <t>31/05/2021</t>
  </si>
  <si>
    <t>781</t>
  </si>
  <si>
    <t>Holerite - Sergio</t>
  </si>
  <si>
    <t>07/06/2021</t>
  </si>
  <si>
    <t>1.227,12</t>
  </si>
  <si>
    <t>720,70</t>
  </si>
  <si>
    <t>766</t>
  </si>
  <si>
    <t>16/06/2021</t>
  </si>
  <si>
    <t>774</t>
  </si>
  <si>
    <t>30/06/2021</t>
  </si>
  <si>
    <t>768</t>
  </si>
  <si>
    <t>06/07/2021</t>
  </si>
  <si>
    <t>1.017,93</t>
  </si>
  <si>
    <t>929,89</t>
  </si>
  <si>
    <t>785</t>
  </si>
  <si>
    <t>20/07/2021</t>
  </si>
  <si>
    <t>775</t>
  </si>
  <si>
    <t>30/07/2021</t>
  </si>
  <si>
    <t>769</t>
  </si>
  <si>
    <t>06/08/2021</t>
  </si>
  <si>
    <t>2.263,03</t>
  </si>
  <si>
    <t>968,08</t>
  </si>
  <si>
    <t>1.294,95</t>
  </si>
  <si>
    <t>786</t>
  </si>
  <si>
    <t>20/08/2021</t>
  </si>
  <si>
    <t>12,76</t>
  </si>
  <si>
    <t>766,37</t>
  </si>
  <si>
    <t>776</t>
  </si>
  <si>
    <t>31/08/2021</t>
  </si>
  <si>
    <t>770</t>
  </si>
  <si>
    <t>06/09/2021</t>
  </si>
  <si>
    <t>787</t>
  </si>
  <si>
    <t>20/09/2021</t>
  </si>
  <si>
    <t>780</t>
  </si>
  <si>
    <t>771</t>
  </si>
  <si>
    <t>788</t>
  </si>
  <si>
    <t>777</t>
  </si>
  <si>
    <t>772</t>
  </si>
  <si>
    <t>3.166,15</t>
  </si>
  <si>
    <t>1.090,39</t>
  </si>
  <si>
    <t>2.075,76</t>
  </si>
  <si>
    <t>789</t>
  </si>
  <si>
    <t>61,59</t>
  </si>
  <si>
    <t>717,54</t>
  </si>
  <si>
    <t>778</t>
  </si>
  <si>
    <t>773</t>
  </si>
  <si>
    <t>790</t>
  </si>
  <si>
    <t>Adiantamento Holerite - Sergio</t>
  </si>
  <si>
    <t>884</t>
  </si>
  <si>
    <t>1481</t>
  </si>
  <si>
    <t>Decimo terceiro - Sergio R</t>
  </si>
  <si>
    <t>568,11</t>
  </si>
  <si>
    <t>1597</t>
  </si>
  <si>
    <t>2ª parc. - Decimo terceiro - Sergio R</t>
  </si>
  <si>
    <t>1.136,23</t>
  </si>
  <si>
    <t>653,87</t>
  </si>
  <si>
    <t>482,36</t>
  </si>
  <si>
    <t>24</t>
  </si>
  <si>
    <t>16.414,76</t>
  </si>
  <si>
    <t>7.845,53</t>
  </si>
  <si>
    <t>Relatório de contas a pagar
                    Período: 01/01/2021 à 31/12/2021
                    Gerado em 21/01/2022 às 10:40:55</t>
  </si>
  <si>
    <t>74</t>
  </si>
  <si>
    <t>Thiago Alves Do Sacramento</t>
  </si>
  <si>
    <t>92</t>
  </si>
  <si>
    <t>102</t>
  </si>
  <si>
    <t>30/04/2021</t>
  </si>
  <si>
    <t>103</t>
  </si>
  <si>
    <t>104</t>
  </si>
  <si>
    <t>105</t>
  </si>
  <si>
    <t>106</t>
  </si>
  <si>
    <t>107</t>
  </si>
  <si>
    <t>108</t>
  </si>
  <si>
    <t>109</t>
  </si>
  <si>
    <t>1473</t>
  </si>
  <si>
    <t>Decimo Terceiro - Thiago</t>
  </si>
  <si>
    <t>811,59</t>
  </si>
  <si>
    <t>1581</t>
  </si>
  <si>
    <t>2ª parc. - Decimo Terceiro - Thiago</t>
  </si>
  <si>
    <t>1.623,18</t>
  </si>
  <si>
    <t>941,17</t>
  </si>
  <si>
    <t>682,01</t>
  </si>
  <si>
    <t>110</t>
  </si>
  <si>
    <t>90</t>
  </si>
  <si>
    <t>701,22</t>
  </si>
  <si>
    <t>37</t>
  </si>
  <si>
    <t>07/04/2021</t>
  </si>
  <si>
    <t>1.782,14</t>
  </si>
  <si>
    <t>910,04</t>
  </si>
  <si>
    <t>872,10</t>
  </si>
  <si>
    <t>170</t>
  </si>
  <si>
    <t>20/04/2021</t>
  </si>
  <si>
    <t>232</t>
  </si>
  <si>
    <t>06/05/2021</t>
  </si>
  <si>
    <t>171</t>
  </si>
  <si>
    <t>20/05/2021</t>
  </si>
  <si>
    <t>233</t>
  </si>
  <si>
    <t>172</t>
  </si>
  <si>
    <t>234</t>
  </si>
  <si>
    <t>173</t>
  </si>
  <si>
    <t>235</t>
  </si>
  <si>
    <t>2.457,34</t>
  </si>
  <si>
    <t>991,40</t>
  </si>
  <si>
    <t>1.465,94</t>
  </si>
  <si>
    <t>174</t>
  </si>
  <si>
    <t>11,36</t>
  </si>
  <si>
    <t>767,77</t>
  </si>
  <si>
    <t>236</t>
  </si>
  <si>
    <t>175</t>
  </si>
  <si>
    <t>289</t>
  </si>
  <si>
    <t>177</t>
  </si>
  <si>
    <t>238</t>
  </si>
  <si>
    <t>4.095,96</t>
  </si>
  <si>
    <t>1.263,73</t>
  </si>
  <si>
    <t>2.832,23</t>
  </si>
  <si>
    <t>178</t>
  </si>
  <si>
    <t>107,56</t>
  </si>
  <si>
    <t>671,57</t>
  </si>
  <si>
    <t>239</t>
  </si>
  <si>
    <t>Holerite - Thiago</t>
  </si>
  <si>
    <t>179</t>
  </si>
  <si>
    <t>Adiantamento Holerite - Thiago</t>
  </si>
  <si>
    <t>32</t>
  </si>
  <si>
    <t>22.976,60</t>
  </si>
  <si>
    <t>9.852,84</t>
  </si>
  <si>
    <t>Relatório de contas a pagar
                    Período: 21/01/2021 à 31/12/2021
                    Gerado em 21/01/2022 às 10:52:13</t>
  </si>
  <si>
    <t>1352</t>
  </si>
  <si>
    <t>Vinicius Sozio Cornes</t>
  </si>
  <si>
    <t>Diárias - Pré-contratação</t>
  </si>
  <si>
    <t>CONECTIUS</t>
  </si>
  <si>
    <t>19/10/2021</t>
  </si>
  <si>
    <t>360,00</t>
  </si>
  <si>
    <t>1326</t>
  </si>
  <si>
    <t>597,33</t>
  </si>
  <si>
    <t>1397</t>
  </si>
  <si>
    <t>1367</t>
  </si>
  <si>
    <t>2.453,30</t>
  </si>
  <si>
    <t>809,11</t>
  </si>
  <si>
    <t>1.644,19</t>
  </si>
  <si>
    <t>1374</t>
  </si>
  <si>
    <t>1482</t>
  </si>
  <si>
    <t>Decimo terceiro - Vinicius</t>
  </si>
  <si>
    <t>1491</t>
  </si>
  <si>
    <t>1531</t>
  </si>
  <si>
    <t>Holerite - Vinicius</t>
  </si>
  <si>
    <t>198</t>
  </si>
  <si>
    <t>Adiantamento Holerite - Vinicius</t>
  </si>
  <si>
    <t>1599</t>
  </si>
  <si>
    <t>2ª parc. - Decimo terceiro - Vinicius</t>
  </si>
  <si>
    <t>1681</t>
  </si>
  <si>
    <t>6.345,27</t>
  </si>
  <si>
    <t>2.027,04</t>
  </si>
  <si>
    <t>Relatório de contas a pagar
                    Período: 21/01/2021 à 31/12/2021
                    Gerado em 21/01/2022 às 10:57:00</t>
  </si>
  <si>
    <t>77</t>
  </si>
  <si>
    <t>Raphael Silva Dos Anjos</t>
  </si>
  <si>
    <t>86</t>
  </si>
  <si>
    <t>430</t>
  </si>
  <si>
    <t>Reembolso Vale Transporte</t>
  </si>
  <si>
    <t>29/03/2021</t>
  </si>
  <si>
    <t>6,10</t>
  </si>
  <si>
    <t>131</t>
  </si>
  <si>
    <t>40</t>
  </si>
  <si>
    <t>1.951,79</t>
  </si>
  <si>
    <t>899,33</t>
  </si>
  <si>
    <t>1.052,46</t>
  </si>
  <si>
    <t>199</t>
  </si>
  <si>
    <t>132</t>
  </si>
  <si>
    <t>264</t>
  </si>
  <si>
    <t>Holerite - Raphael</t>
  </si>
  <si>
    <t>2.141,19</t>
  </si>
  <si>
    <t>955,33</t>
  </si>
  <si>
    <t>1.185,86</t>
  </si>
  <si>
    <t>200</t>
  </si>
  <si>
    <t>133</t>
  </si>
  <si>
    <t>265</t>
  </si>
  <si>
    <t>201</t>
  </si>
  <si>
    <t>134</t>
  </si>
  <si>
    <t>266</t>
  </si>
  <si>
    <t>2.487,22</t>
  </si>
  <si>
    <t>994,98</t>
  </si>
  <si>
    <t>1.492,24</t>
  </si>
  <si>
    <t>202</t>
  </si>
  <si>
    <t>135</t>
  </si>
  <si>
    <t>267</t>
  </si>
  <si>
    <t>2.769,65</t>
  </si>
  <si>
    <t>1.028,88</t>
  </si>
  <si>
    <t>1.740,77</t>
  </si>
  <si>
    <t>203</t>
  </si>
  <si>
    <t>17,75</t>
  </si>
  <si>
    <t>761,38</t>
  </si>
  <si>
    <t>136</t>
  </si>
  <si>
    <t>268</t>
  </si>
  <si>
    <t>2.320,12</t>
  </si>
  <si>
    <t>974,93</t>
  </si>
  <si>
    <t>1.345,19</t>
  </si>
  <si>
    <t>204</t>
  </si>
  <si>
    <t>137</t>
  </si>
  <si>
    <t>269</t>
  </si>
  <si>
    <t>2.202,81</t>
  </si>
  <si>
    <t>960,88</t>
  </si>
  <si>
    <t>1.241,93</t>
  </si>
  <si>
    <t>205</t>
  </si>
  <si>
    <t>138</t>
  </si>
  <si>
    <t>270</t>
  </si>
  <si>
    <t>4.842,49</t>
  </si>
  <si>
    <t>1.426,79</t>
  </si>
  <si>
    <t>3.415,70</t>
  </si>
  <si>
    <t>206</t>
  </si>
  <si>
    <t>130,60</t>
  </si>
  <si>
    <t>648,53</t>
  </si>
  <si>
    <t>139</t>
  </si>
  <si>
    <t>1479</t>
  </si>
  <si>
    <t>Decimo terceiro - Raphael</t>
  </si>
  <si>
    <t>1529</t>
  </si>
  <si>
    <t>207</t>
  </si>
  <si>
    <t>Adiantamento Holerite - Raphael</t>
  </si>
  <si>
    <t>1594</t>
  </si>
  <si>
    <t>2ª parc. - Decimo terceiro - Raphael</t>
  </si>
  <si>
    <t>140</t>
  </si>
  <si>
    <t>33</t>
  </si>
  <si>
    <t>25.403,10</t>
  </si>
  <si>
    <t>10.227,42</t>
  </si>
  <si>
    <t>Relatório de contas a pagar
                    Período: 01/01/2021 à 31/12/2021
                    Gerado em 21/01/2022 às 11:27:45</t>
  </si>
  <si>
    <t>1247</t>
  </si>
  <si>
    <t>William Donizeti Stein Loro</t>
  </si>
  <si>
    <t>Despesas - Diárias GL5 Pré-contratação</t>
  </si>
  <si>
    <t>1259</t>
  </si>
  <si>
    <t>261</t>
  </si>
  <si>
    <t>908,98</t>
  </si>
  <si>
    <t>68,17</t>
  </si>
  <si>
    <t>840,81</t>
  </si>
  <si>
    <t>1327</t>
  </si>
  <si>
    <t>128</t>
  </si>
  <si>
    <t>1361</t>
  </si>
  <si>
    <t>2.812,72</t>
  </si>
  <si>
    <t>1.034,04</t>
  </si>
  <si>
    <t>1.778,68</t>
  </si>
  <si>
    <t>197</t>
  </si>
  <si>
    <t>49,04</t>
  </si>
  <si>
    <t>730,09</t>
  </si>
  <si>
    <t>1483</t>
  </si>
  <si>
    <t>Decimo terceiro - Wiliam</t>
  </si>
  <si>
    <t>1492</t>
  </si>
  <si>
    <t>1532</t>
  </si>
  <si>
    <t>Holerite - Wiliam</t>
  </si>
  <si>
    <t>1601</t>
  </si>
  <si>
    <t>2ª parc. - Decimo terceiro - Wiliam</t>
  </si>
  <si>
    <t>1645</t>
  </si>
  <si>
    <t>Adiantamento Holerite - Wiliam</t>
  </si>
  <si>
    <t>1678</t>
  </si>
  <si>
    <t>13</t>
  </si>
  <si>
    <t>7.906,54</t>
  </si>
  <si>
    <t>2.390,10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</si>
</sst>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h]:mm:ss;@"/>
    <numFmt numFmtId="165" formatCode="0.000000000000000000000"/>
    <numFmt numFmtId="166" formatCode="[$-F400]h:mm:ss\ AM/PM"/>
    <numFmt numFmtId="167" formatCode="_-&quot;R$&quot;\ * #,##0.0000000000000000000_-;\-&quot;R$&quot;\ * #,##0.0000000000000000000_-;_-&quot;R$&quot;\ * &quot;-&quot;??_-;_-@_-"/>
    <numFmt numFmtId="168" formatCode="_-&quot;R$&quot;\ * #,##0.00000000000000000000_-;\-&quot;R$&quot;\ * #,##0.00000000000000000000_-;_-&quot;R$&quot;\ * &quot;-&quot;??_-;_-@_-"/>
    <numFmt numFmtId="169" formatCode="0.0000000000000000"/>
    <numFmt numFmtId="170" formatCode="0.00_ ;\-0.00\ "/>
    <numFmt numFmtId="171" formatCode="#,##0.00_ ;\-#,##0.00\ "/>
    <numFmt numFmtId="172" formatCode="&quot;R$&quot;\ #,##0.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33333"/>
      <name val="Source Sans Pro"/>
      <family val="2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8">
    <xf numFmtId="0" fontId="0" fillId="0" borderId="0" xfId="0"/>
    <xf numFmtId="44" fontId="0" fillId="0" borderId="0" xfId="1" applyFont="1" applyFill="1"/>
    <xf numFmtId="0" fontId="5" fillId="0" borderId="0" xfId="2"/>
    <xf numFmtId="44" fontId="0" fillId="0" borderId="1" xfId="1" applyFont="1" applyFill="1" applyBorder="1"/>
    <xf numFmtId="44" fontId="0" fillId="0" borderId="0" xfId="1" applyFont="1" applyFill="1" applyBorder="1"/>
    <xf numFmtId="17" fontId="0" fillId="0" borderId="0" xfId="0" applyNumberFormat="1"/>
    <xf numFmtId="4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4" fontId="0" fillId="0" borderId="0" xfId="0" applyNumberFormat="1"/>
    <xf numFmtId="0" fontId="5" fillId="2" borderId="0" xfId="2" applyFill="1"/>
    <xf numFmtId="0" fontId="0" fillId="2" borderId="0" xfId="0" applyFill="1"/>
    <xf numFmtId="44" fontId="1" fillId="0" borderId="1" xfId="1" applyFont="1" applyFill="1" applyBorder="1"/>
    <xf numFmtId="44" fontId="6" fillId="0" borderId="1" xfId="1" applyFont="1" applyFill="1" applyBorder="1"/>
    <xf numFmtId="44" fontId="7" fillId="0" borderId="1" xfId="1" applyFont="1" applyFill="1" applyBorder="1"/>
    <xf numFmtId="44" fontId="6" fillId="0" borderId="0" xfId="1" applyFont="1" applyFill="1"/>
    <xf numFmtId="17" fontId="6" fillId="0" borderId="0" xfId="0" applyNumberFormat="1" applyFont="1"/>
    <xf numFmtId="0" fontId="6" fillId="0" borderId="0" xfId="0" applyFont="1"/>
    <xf numFmtId="44" fontId="0" fillId="0" borderId="0" xfId="1" applyFont="1"/>
    <xf numFmtId="44" fontId="0" fillId="0" borderId="1" xfId="1" applyFont="1" applyBorder="1"/>
    <xf numFmtId="44" fontId="1" fillId="0" borderId="1" xfId="1" applyFont="1" applyBorder="1"/>
    <xf numFmtId="0" fontId="2" fillId="0" borderId="1" xfId="0" applyFont="1" applyBorder="1"/>
    <xf numFmtId="44" fontId="2" fillId="0" borderId="1" xfId="1" applyFont="1" applyFill="1" applyBorder="1"/>
    <xf numFmtId="44" fontId="8" fillId="0" borderId="1" xfId="1" applyFont="1" applyFill="1" applyBorder="1"/>
    <xf numFmtId="0" fontId="2" fillId="0" borderId="10" xfId="0" applyFont="1" applyBorder="1"/>
    <xf numFmtId="0" fontId="2" fillId="0" borderId="0" xfId="0" applyFont="1"/>
    <xf numFmtId="14" fontId="2" fillId="0" borderId="1" xfId="0" applyNumberFormat="1" applyFont="1" applyBorder="1"/>
    <xf numFmtId="0" fontId="0" fillId="0" borderId="1" xfId="0" applyBorder="1" applyAlignment="1">
      <alignment horizontal="left"/>
    </xf>
    <xf numFmtId="44" fontId="7" fillId="0" borderId="1" xfId="1" applyFont="1" applyBorder="1"/>
    <xf numFmtId="44" fontId="0" fillId="3" borderId="1" xfId="0" applyNumberFormat="1" applyFill="1" applyBorder="1"/>
    <xf numFmtId="0" fontId="0" fillId="0" borderId="1" xfId="0" applyBorder="1"/>
    <xf numFmtId="2" fontId="0" fillId="0" borderId="0" xfId="0" applyNumberFormat="1"/>
    <xf numFmtId="2" fontId="0" fillId="0" borderId="1" xfId="0" applyNumberFormat="1" applyBorder="1"/>
    <xf numFmtId="164" fontId="0" fillId="0" borderId="1" xfId="0" applyNumberFormat="1" applyBorder="1"/>
    <xf numFmtId="20" fontId="0" fillId="0" borderId="1" xfId="0" applyNumberFormat="1" applyBorder="1"/>
    <xf numFmtId="46" fontId="0" fillId="0" borderId="1" xfId="0" applyNumberFormat="1" applyBorder="1"/>
    <xf numFmtId="20" fontId="6" fillId="0" borderId="1" xfId="0" applyNumberFormat="1" applyFont="1" applyBorder="1"/>
    <xf numFmtId="0" fontId="2" fillId="3" borderId="1" xfId="0" applyFont="1" applyFill="1" applyBorder="1"/>
    <xf numFmtId="165" fontId="0" fillId="0" borderId="0" xfId="0" applyNumberFormat="1"/>
    <xf numFmtId="9" fontId="2" fillId="3" borderId="1" xfId="0" applyNumberFormat="1" applyFont="1" applyFill="1" applyBorder="1"/>
    <xf numFmtId="44" fontId="2" fillId="3" borderId="1" xfId="0" applyNumberFormat="1" applyFont="1" applyFill="1" applyBorder="1"/>
    <xf numFmtId="164" fontId="0" fillId="0" borderId="1" xfId="1" applyNumberFormat="1" applyFont="1" applyBorder="1"/>
    <xf numFmtId="44" fontId="6" fillId="0" borderId="1" xfId="1" applyFont="1" applyBorder="1"/>
    <xf numFmtId="17" fontId="2" fillId="3" borderId="1" xfId="0" applyNumberFormat="1" applyFont="1" applyFill="1" applyBorder="1"/>
    <xf numFmtId="44" fontId="2" fillId="0" borderId="1" xfId="1" applyFont="1" applyFill="1" applyBorder="1" applyAlignment="1">
      <alignment horizontal="left"/>
    </xf>
    <xf numFmtId="44" fontId="1" fillId="0" borderId="1" xfId="1" applyFont="1" applyFill="1" applyBorder="1" applyAlignment="1">
      <alignment horizontal="left"/>
    </xf>
    <xf numFmtId="166" fontId="0" fillId="0" borderId="1" xfId="1" applyNumberFormat="1" applyFont="1" applyBorder="1"/>
    <xf numFmtId="167" fontId="0" fillId="0" borderId="0" xfId="1" applyNumberFormat="1" applyFont="1"/>
    <xf numFmtId="168" fontId="0" fillId="0" borderId="0" xfId="1" applyNumberFormat="1" applyFont="1"/>
    <xf numFmtId="169" fontId="0" fillId="0" borderId="0" xfId="0" applyNumberFormat="1"/>
    <xf numFmtId="0" fontId="11" fillId="0" borderId="0" xfId="0" applyFont="1"/>
    <xf numFmtId="44" fontId="11" fillId="0" borderId="0" xfId="1" applyFont="1"/>
    <xf numFmtId="0" fontId="2" fillId="0" borderId="1" xfId="0" applyFont="1" applyBorder="1" applyAlignment="1">
      <alignment horizontal="center" vertical="center"/>
    </xf>
    <xf numFmtId="17" fontId="0" fillId="0" borderId="1" xfId="0" applyNumberFormat="1" applyBorder="1"/>
    <xf numFmtId="44" fontId="2" fillId="0" borderId="1" xfId="1" applyFont="1" applyFill="1" applyBorder="1" applyAlignment="1">
      <alignment horizontal="center" vertical="center"/>
    </xf>
    <xf numFmtId="44" fontId="2" fillId="0" borderId="0" xfId="1" applyFont="1" applyFill="1"/>
    <xf numFmtId="44" fontId="2" fillId="0" borderId="0" xfId="0" applyNumberFormat="1" applyFont="1"/>
    <xf numFmtId="164" fontId="6" fillId="3" borderId="1" xfId="0" applyNumberFormat="1" applyFont="1" applyFill="1" applyBorder="1"/>
    <xf numFmtId="44" fontId="6" fillId="3" borderId="1" xfId="1" applyFont="1" applyFill="1" applyBorder="1"/>
    <xf numFmtId="0" fontId="2" fillId="0" borderId="12" xfId="0" applyFont="1" applyBorder="1"/>
    <xf numFmtId="17" fontId="2" fillId="0" borderId="12" xfId="0" applyNumberFormat="1" applyFont="1" applyBorder="1"/>
    <xf numFmtId="166" fontId="6" fillId="0" borderId="1" xfId="1" applyNumberFormat="1" applyFont="1" applyBorder="1"/>
    <xf numFmtId="166" fontId="7" fillId="0" borderId="1" xfId="1" applyNumberFormat="1" applyFont="1" applyBorder="1"/>
    <xf numFmtId="164" fontId="6" fillId="0" borderId="1" xfId="1" applyNumberFormat="1" applyFont="1" applyBorder="1"/>
    <xf numFmtId="0" fontId="0" fillId="0" borderId="6" xfId="0" applyBorder="1"/>
    <xf numFmtId="164" fontId="6" fillId="0" borderId="1" xfId="1" applyNumberFormat="1" applyFont="1" applyFill="1" applyBorder="1"/>
    <xf numFmtId="44" fontId="2" fillId="0" borderId="12" xfId="1" applyFont="1" applyFill="1" applyBorder="1"/>
    <xf numFmtId="17" fontId="2" fillId="3" borderId="12" xfId="0" applyNumberFormat="1" applyFont="1" applyFill="1" applyBorder="1"/>
    <xf numFmtId="44" fontId="2" fillId="3" borderId="13" xfId="1" applyFont="1" applyFill="1" applyBorder="1"/>
    <xf numFmtId="0" fontId="2" fillId="3" borderId="4" xfId="0" applyFont="1" applyFill="1" applyBorder="1"/>
    <xf numFmtId="0" fontId="0" fillId="0" borderId="4" xfId="0" applyBorder="1"/>
    <xf numFmtId="0" fontId="0" fillId="3" borderId="4" xfId="0" applyFill="1" applyBorder="1"/>
    <xf numFmtId="14" fontId="0" fillId="3" borderId="4" xfId="0" applyNumberFormat="1" applyFill="1" applyBorder="1"/>
    <xf numFmtId="44" fontId="2" fillId="3" borderId="4" xfId="0" applyNumberFormat="1" applyFont="1" applyFill="1" applyBorder="1"/>
    <xf numFmtId="164" fontId="7" fillId="3" borderId="1" xfId="0" applyNumberFormat="1" applyFont="1" applyFill="1" applyBorder="1"/>
    <xf numFmtId="44" fontId="7" fillId="3" borderId="1" xfId="1" applyFont="1" applyFill="1" applyBorder="1"/>
    <xf numFmtId="44" fontId="7" fillId="0" borderId="0" xfId="1" applyFont="1"/>
    <xf numFmtId="0" fontId="2" fillId="0" borderId="15" xfId="0" applyFont="1" applyBorder="1"/>
    <xf numFmtId="44" fontId="2" fillId="3" borderId="4" xfId="1" applyFont="1" applyFill="1" applyBorder="1"/>
    <xf numFmtId="0" fontId="2" fillId="0" borderId="9" xfId="0" applyFont="1" applyBorder="1"/>
    <xf numFmtId="0" fontId="2" fillId="0" borderId="18" xfId="0" applyFont="1" applyBorder="1"/>
    <xf numFmtId="44" fontId="0" fillId="4" borderId="1" xfId="1" applyFont="1" applyFill="1" applyBorder="1"/>
    <xf numFmtId="44" fontId="7" fillId="3" borderId="14" xfId="1" applyFont="1" applyFill="1" applyBorder="1"/>
    <xf numFmtId="44" fontId="2" fillId="0" borderId="0" xfId="1" applyFont="1"/>
    <xf numFmtId="14" fontId="11" fillId="0" borderId="0" xfId="0" applyNumberFormat="1" applyFont="1"/>
    <xf numFmtId="0" fontId="2" fillId="0" borderId="0" xfId="0" applyFont="1" applyAlignment="1">
      <alignment vertical="center" wrapText="1"/>
    </xf>
    <xf numFmtId="44" fontId="1" fillId="0" borderId="12" xfId="1" applyFont="1" applyFill="1" applyBorder="1"/>
    <xf numFmtId="44" fontId="1" fillId="3" borderId="13" xfId="1" applyFont="1" applyFill="1" applyBorder="1"/>
    <xf numFmtId="166" fontId="2" fillId="3" borderId="4" xfId="1" applyNumberFormat="1" applyFont="1" applyFill="1" applyBorder="1" applyAlignment="1">
      <alignment horizontal="right"/>
    </xf>
    <xf numFmtId="0" fontId="0" fillId="0" borderId="15" xfId="0" applyBorder="1"/>
    <xf numFmtId="14" fontId="2" fillId="0" borderId="12" xfId="0" applyNumberFormat="1" applyFont="1" applyBorder="1"/>
    <xf numFmtId="0" fontId="0" fillId="0" borderId="12" xfId="0" applyBorder="1"/>
    <xf numFmtId="44" fontId="0" fillId="0" borderId="12" xfId="0" applyNumberFormat="1" applyBorder="1"/>
    <xf numFmtId="44" fontId="0" fillId="0" borderId="12" xfId="1" applyFont="1" applyFill="1" applyBorder="1"/>
    <xf numFmtId="1" fontId="0" fillId="0" borderId="12" xfId="0" applyNumberFormat="1" applyBorder="1"/>
    <xf numFmtId="44" fontId="6" fillId="3" borderId="13" xfId="1" applyFont="1" applyFill="1" applyBorder="1"/>
    <xf numFmtId="0" fontId="2" fillId="0" borderId="0" xfId="0" applyFont="1" applyAlignment="1">
      <alignment vertical="center"/>
    </xf>
    <xf numFmtId="44" fontId="7" fillId="3" borderId="13" xfId="1" applyFont="1" applyFill="1" applyBorder="1"/>
    <xf numFmtId="170" fontId="6" fillId="3" borderId="12" xfId="1" applyNumberFormat="1" applyFont="1" applyFill="1" applyBorder="1"/>
    <xf numFmtId="170" fontId="7" fillId="3" borderId="1" xfId="1" applyNumberFormat="1" applyFont="1" applyFill="1" applyBorder="1"/>
    <xf numFmtId="164" fontId="0" fillId="0" borderId="0" xfId="0" applyNumberFormat="1"/>
    <xf numFmtId="17" fontId="0" fillId="3" borderId="4" xfId="0" applyNumberFormat="1" applyFill="1" applyBorder="1"/>
    <xf numFmtId="4" fontId="8" fillId="2" borderId="4" xfId="1" applyNumberFormat="1" applyFont="1" applyFill="1" applyBorder="1" applyAlignment="1">
      <alignment horizontal="right"/>
    </xf>
    <xf numFmtId="171" fontId="8" fillId="2" borderId="4" xfId="1" applyNumberFormat="1" applyFont="1" applyFill="1" applyBorder="1"/>
    <xf numFmtId="44" fontId="0" fillId="0" borderId="19" xfId="1" applyFont="1" applyFill="1" applyBorder="1"/>
    <xf numFmtId="44" fontId="0" fillId="5" borderId="1" xfId="1" applyFont="1" applyFill="1" applyBorder="1"/>
    <xf numFmtId="0" fontId="2" fillId="5" borderId="1" xfId="0" applyFont="1" applyFill="1" applyBorder="1"/>
    <xf numFmtId="0" fontId="0" fillId="5" borderId="0" xfId="0" applyFill="1"/>
    <xf numFmtId="0" fontId="2" fillId="5" borderId="1" xfId="0" applyFont="1" applyFill="1" applyBorder="1" applyAlignment="1">
      <alignment horizontal="left"/>
    </xf>
    <xf numFmtId="44" fontId="1" fillId="5" borderId="1" xfId="1" applyFont="1" applyFill="1" applyBorder="1"/>
    <xf numFmtId="17" fontId="0" fillId="5" borderId="1" xfId="0" applyNumberFormat="1" applyFill="1" applyBorder="1"/>
    <xf numFmtId="44" fontId="7" fillId="5" borderId="1" xfId="1" applyFont="1" applyFill="1" applyBorder="1"/>
    <xf numFmtId="0" fontId="0" fillId="5" borderId="1" xfId="0" applyFill="1" applyBorder="1"/>
    <xf numFmtId="44" fontId="6" fillId="5" borderId="1" xfId="1" applyFont="1" applyFill="1" applyBorder="1"/>
    <xf numFmtId="17" fontId="2" fillId="5" borderId="1" xfId="0" applyNumberFormat="1" applyFont="1" applyFill="1" applyBorder="1"/>
    <xf numFmtId="44" fontId="0" fillId="5" borderId="19" xfId="1" applyFont="1" applyFill="1" applyBorder="1"/>
    <xf numFmtId="44" fontId="0" fillId="5" borderId="0" xfId="1" applyFont="1" applyFill="1" applyBorder="1"/>
    <xf numFmtId="44" fontId="0" fillId="5" borderId="0" xfId="1" applyFont="1" applyFill="1"/>
    <xf numFmtId="44" fontId="0" fillId="5" borderId="0" xfId="0" applyNumberFormat="1" applyFill="1"/>
    <xf numFmtId="17" fontId="0" fillId="5" borderId="0" xfId="0" applyNumberFormat="1" applyFill="1"/>
    <xf numFmtId="4" fontId="9" fillId="5" borderId="0" xfId="0" applyNumberFormat="1" applyFont="1" applyFill="1"/>
    <xf numFmtId="14" fontId="2" fillId="5" borderId="1" xfId="0" applyNumberFormat="1" applyFont="1" applyFill="1" applyBorder="1"/>
    <xf numFmtId="0" fontId="0" fillId="5" borderId="1" xfId="0" applyFill="1" applyBorder="1" applyAlignment="1">
      <alignment horizontal="left"/>
    </xf>
    <xf numFmtId="14" fontId="0" fillId="5" borderId="0" xfId="0" applyNumberFormat="1" applyFill="1"/>
    <xf numFmtId="1" fontId="0" fillId="5" borderId="1" xfId="0" applyNumberFormat="1" applyFill="1" applyBorder="1"/>
    <xf numFmtId="164" fontId="0" fillId="5" borderId="0" xfId="0" applyNumberFormat="1" applyFill="1"/>
    <xf numFmtId="4" fontId="0" fillId="5" borderId="0" xfId="0" applyNumberFormat="1" applyFill="1"/>
    <xf numFmtId="0" fontId="8" fillId="5" borderId="1" xfId="0" applyFont="1" applyFill="1" applyBorder="1"/>
    <xf numFmtId="0" fontId="7" fillId="5" borderId="0" xfId="0" applyFont="1" applyFill="1"/>
    <xf numFmtId="14" fontId="0" fillId="5" borderId="1" xfId="0" applyNumberFormat="1" applyFill="1" applyBorder="1"/>
    <xf numFmtId="0" fontId="2" fillId="5" borderId="1" xfId="0" applyFont="1" applyFill="1" applyBorder="1" applyAlignment="1">
      <alignment horizontal="center" vertical="center"/>
    </xf>
    <xf numFmtId="44" fontId="8" fillId="5" borderId="1" xfId="1" applyFont="1" applyFill="1" applyBorder="1"/>
    <xf numFmtId="44" fontId="2" fillId="5" borderId="1" xfId="1" applyFont="1" applyFill="1" applyBorder="1"/>
    <xf numFmtId="44" fontId="2" fillId="5" borderId="1" xfId="1" applyFont="1" applyFill="1" applyBorder="1" applyAlignment="1">
      <alignment horizontal="left"/>
    </xf>
    <xf numFmtId="172" fontId="0" fillId="5" borderId="1" xfId="1" applyNumberFormat="1" applyFont="1" applyFill="1" applyBorder="1"/>
    <xf numFmtId="0" fontId="2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44" fontId="2" fillId="5" borderId="1" xfId="1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7" fontId="2" fillId="6" borderId="1" xfId="0" applyNumberFormat="1" applyFont="1" applyFill="1" applyBorder="1" applyAlignment="1">
      <alignment horizontal="center"/>
    </xf>
    <xf numFmtId="44" fontId="2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17" fontId="2" fillId="6" borderId="1" xfId="0" applyNumberFormat="1" applyFont="1" applyFill="1" applyBorder="1" applyAlignment="1">
      <alignment horizontal="left"/>
    </xf>
    <xf numFmtId="17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4" fontId="2" fillId="5" borderId="1" xfId="0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5" borderId="16" xfId="0" applyFont="1" applyFill="1" applyBorder="1" applyAlignment="1">
      <alignment horizontal="left"/>
    </xf>
    <xf numFmtId="0" fontId="2" fillId="5" borderId="16" xfId="0" applyFont="1" applyFill="1" applyBorder="1" applyAlignment="1">
      <alignment vertical="center"/>
    </xf>
    <xf numFmtId="0" fontId="2" fillId="5" borderId="19" xfId="0" applyFont="1" applyFill="1" applyBorder="1" applyAlignment="1">
      <alignment vertical="center"/>
    </xf>
    <xf numFmtId="44" fontId="1" fillId="5" borderId="1" xfId="1" applyFont="1" applyFill="1" applyBorder="1" applyAlignment="1">
      <alignment horizontal="left"/>
    </xf>
    <xf numFmtId="44" fontId="2" fillId="5" borderId="0" xfId="1" applyFont="1" applyFill="1"/>
    <xf numFmtId="0" fontId="2" fillId="5" borderId="0" xfId="0" applyFont="1" applyFill="1"/>
    <xf numFmtId="44" fontId="2" fillId="5" borderId="0" xfId="0" applyNumberFormat="1" applyFont="1" applyFill="1"/>
    <xf numFmtId="0" fontId="0" fillId="3" borderId="1" xfId="0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right"/>
    </xf>
    <xf numFmtId="14" fontId="2" fillId="6" borderId="1" xfId="0" applyNumberFormat="1" applyFont="1" applyFill="1" applyBorder="1" applyAlignment="1">
      <alignment horizontal="left"/>
    </xf>
    <xf numFmtId="44" fontId="0" fillId="0" borderId="1" xfId="0" applyNumberFormat="1" applyBorder="1"/>
    <xf numFmtId="14" fontId="11" fillId="0" borderId="1" xfId="0" applyNumberFormat="1" applyFont="1" applyBorder="1"/>
    <xf numFmtId="44" fontId="0" fillId="5" borderId="1" xfId="0" applyNumberFormat="1" applyFill="1" applyBorder="1"/>
    <xf numFmtId="8" fontId="0" fillId="5" borderId="1" xfId="1" applyNumberFormat="1" applyFont="1" applyFill="1" applyBorder="1"/>
    <xf numFmtId="0" fontId="0" fillId="5" borderId="1" xfId="1" applyNumberFormat="1" applyFont="1" applyFill="1" applyBorder="1"/>
    <xf numFmtId="172" fontId="0" fillId="5" borderId="0" xfId="1" applyNumberFormat="1" applyFont="1" applyFill="1" applyBorder="1"/>
    <xf numFmtId="0" fontId="2" fillId="8" borderId="1" xfId="0" applyFont="1" applyFill="1" applyBorder="1"/>
    <xf numFmtId="44" fontId="0" fillId="8" borderId="1" xfId="1" applyFont="1" applyFill="1" applyBorder="1"/>
    <xf numFmtId="44" fontId="1" fillId="8" borderId="1" xfId="1" applyFont="1" applyFill="1" applyBorder="1"/>
    <xf numFmtId="0" fontId="0" fillId="8" borderId="0" xfId="0" applyFill="1"/>
    <xf numFmtId="44" fontId="0" fillId="9" borderId="0" xfId="1" applyFont="1" applyFill="1" applyBorder="1"/>
    <xf numFmtId="17" fontId="0" fillId="8" borderId="1" xfId="0" applyNumberFormat="1" applyFill="1" applyBorder="1"/>
    <xf numFmtId="17" fontId="0" fillId="8" borderId="0" xfId="0" applyNumberFormat="1" applyFill="1"/>
    <xf numFmtId="44" fontId="0" fillId="8" borderId="0" xfId="0" applyNumberFormat="1" applyFill="1"/>
    <xf numFmtId="0" fontId="0" fillId="8" borderId="1" xfId="0" applyFill="1" applyBorder="1"/>
    <xf numFmtId="44" fontId="8" fillId="8" borderId="1" xfId="1" applyFont="1" applyFill="1" applyBorder="1"/>
    <xf numFmtId="44" fontId="6" fillId="8" borderId="1" xfId="1" applyFont="1" applyFill="1" applyBorder="1"/>
    <xf numFmtId="44" fontId="7" fillId="8" borderId="1" xfId="1" applyFont="1" applyFill="1" applyBorder="1"/>
    <xf numFmtId="44" fontId="6" fillId="8" borderId="0" xfId="1" applyFont="1" applyFill="1"/>
    <xf numFmtId="17" fontId="6" fillId="8" borderId="0" xfId="0" applyNumberFormat="1" applyFont="1" applyFill="1"/>
    <xf numFmtId="0" fontId="6" fillId="8" borderId="0" xfId="0" applyFont="1" applyFill="1"/>
    <xf numFmtId="44" fontId="2" fillId="8" borderId="1" xfId="1" applyFont="1" applyFill="1" applyBorder="1"/>
    <xf numFmtId="44" fontId="0" fillId="8" borderId="0" xfId="1" applyFont="1" applyFill="1"/>
    <xf numFmtId="44" fontId="2" fillId="8" borderId="1" xfId="1" applyFont="1" applyFill="1" applyBorder="1" applyAlignment="1">
      <alignment horizontal="center" vertical="center"/>
    </xf>
    <xf numFmtId="44" fontId="2" fillId="8" borderId="1" xfId="1" applyFont="1" applyFill="1" applyBorder="1" applyAlignment="1">
      <alignment horizontal="left"/>
    </xf>
    <xf numFmtId="0" fontId="2" fillId="8" borderId="1" xfId="0" applyFont="1" applyFill="1" applyBorder="1" applyAlignment="1">
      <alignment horizontal="center" vertical="center"/>
    </xf>
    <xf numFmtId="44" fontId="0" fillId="8" borderId="19" xfId="1" applyFont="1" applyFill="1" applyBorder="1"/>
    <xf numFmtId="0" fontId="6" fillId="8" borderId="1" xfId="0" applyFont="1" applyFill="1" applyBorder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/>
    <xf numFmtId="44" fontId="0" fillId="0" borderId="5" xfId="1" applyFont="1" applyBorder="1"/>
    <xf numFmtId="0" fontId="0" fillId="0" borderId="17" xfId="0" applyBorder="1"/>
    <xf numFmtId="0" fontId="0" fillId="4" borderId="0" xfId="0" applyFill="1"/>
    <xf numFmtId="44" fontId="1" fillId="4" borderId="1" xfId="1" applyFont="1" applyFill="1" applyBorder="1"/>
    <xf numFmtId="0" fontId="2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172" fontId="0" fillId="4" borderId="1" xfId="1" applyNumberFormat="1" applyFont="1" applyFill="1" applyBorder="1"/>
    <xf numFmtId="8" fontId="1" fillId="4" borderId="1" xfId="1" applyNumberFormat="1" applyFont="1" applyFill="1" applyBorder="1"/>
    <xf numFmtId="0" fontId="2" fillId="8" borderId="1" xfId="0" applyFont="1" applyFill="1" applyBorder="1" applyAlignment="1">
      <alignment horizontal="center" vertical="center" wrapText="1"/>
    </xf>
    <xf numFmtId="17" fontId="0" fillId="3" borderId="1" xfId="0" applyNumberFormat="1" applyFill="1" applyBorder="1"/>
    <xf numFmtId="44" fontId="0" fillId="8" borderId="1" xfId="0" applyNumberFormat="1" applyFill="1" applyBorder="1"/>
    <xf numFmtId="44" fontId="7" fillId="8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17" fontId="2" fillId="8" borderId="1" xfId="0" applyNumberFormat="1" applyFont="1" applyFill="1" applyBorder="1" applyAlignment="1">
      <alignment horizontal="center"/>
    </xf>
    <xf numFmtId="44" fontId="2" fillId="8" borderId="1" xfId="1" applyFont="1" applyFill="1" applyBorder="1" applyAlignment="1">
      <alignment horizontal="center"/>
    </xf>
    <xf numFmtId="14" fontId="11" fillId="5" borderId="1" xfId="0" applyNumberFormat="1" applyFont="1" applyFill="1" applyBorder="1"/>
    <xf numFmtId="14" fontId="7" fillId="5" borderId="1" xfId="0" applyNumberFormat="1" applyFont="1" applyFill="1" applyBorder="1"/>
    <xf numFmtId="0" fontId="0" fillId="3" borderId="1" xfId="0" applyFill="1" applyBorder="1"/>
    <xf numFmtId="0" fontId="8" fillId="3" borderId="1" xfId="0" applyFont="1" applyFill="1" applyBorder="1"/>
    <xf numFmtId="14" fontId="2" fillId="3" borderId="1" xfId="0" applyNumberFormat="1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14" fontId="2" fillId="5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center"/>
    </xf>
    <xf numFmtId="44" fontId="1" fillId="5" borderId="0" xfId="1" applyFont="1" applyFill="1" applyBorder="1"/>
    <xf numFmtId="0" fontId="0" fillId="8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4" fontId="2" fillId="8" borderId="16" xfId="0" applyNumberFormat="1" applyFont="1" applyFill="1" applyBorder="1" applyAlignment="1">
      <alignment horizontal="center" vertical="center"/>
    </xf>
    <xf numFmtId="14" fontId="2" fillId="8" borderId="19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6" xfId="0" applyNumberFormat="1" applyFont="1" applyFill="1" applyBorder="1" applyAlignment="1">
      <alignment horizontal="center" vertical="center"/>
    </xf>
    <xf numFmtId="14" fontId="2" fillId="5" borderId="19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14" fontId="2" fillId="5" borderId="16" xfId="0" applyNumberFormat="1" applyFont="1" applyFill="1" applyBorder="1" applyAlignment="1">
      <alignment horizontal="center" vertical="center" wrapText="1"/>
    </xf>
    <xf numFmtId="14" fontId="2" fillId="8" borderId="16" xfId="0" applyNumberFormat="1" applyFont="1" applyFill="1" applyBorder="1" applyAlignment="1">
      <alignment horizontal="center" vertical="center" wrapText="1"/>
    </xf>
    <xf numFmtId="44" fontId="10" fillId="3" borderId="3" xfId="1" applyFont="1" applyFill="1" applyBorder="1" applyAlignment="1">
      <alignment horizontal="center"/>
    </xf>
    <xf numFmtId="44" fontId="10" fillId="3" borderId="4" xfId="1" applyFont="1" applyFill="1" applyBorder="1" applyAlignment="1">
      <alignment horizontal="center"/>
    </xf>
    <xf numFmtId="44" fontId="10" fillId="3" borderId="17" xfId="1" applyFont="1" applyFill="1" applyBorder="1" applyAlignment="1">
      <alignment horizontal="center"/>
    </xf>
    <xf numFmtId="17" fontId="10" fillId="3" borderId="3" xfId="1" applyNumberFormat="1" applyFont="1" applyFill="1" applyBorder="1" applyAlignment="1">
      <alignment horizontal="center"/>
    </xf>
    <xf numFmtId="17" fontId="10" fillId="3" borderId="5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17" fontId="2" fillId="3" borderId="1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5">
    <cellStyle name="Moeda" xfId="1" builtinId="4"/>
    <cellStyle name="Moeda 2" xfId="3" xr:uid="{15C3B4DE-E622-4BDE-814D-1EEBDBED2CD1}"/>
    <cellStyle name="Normal" xfId="0" builtinId="0"/>
    <cellStyle name="Normal 2" xfId="2" xr:uid="{BE22EDB2-B499-4FD3-980F-11E727A21408}"/>
    <cellStyle name="Vírgula 2" xfId="4" xr:uid="{73EEF661-2F80-485E-A5FA-6AADBFAE262E}"/>
  </cellStyles>
  <dxfs count="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C49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Valor Líquido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'Consolidado Gabi'!#REF!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'Consolidado Gabi'!#REF!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C-D4E2-4612-BE85-7DD5F83CF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461120"/>
        <c:axId val="587459456"/>
      </c:barChart>
      <c:catAx>
        <c:axId val="5874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7459456"/>
        <c:crosses val="autoZero"/>
        <c:auto val="1"/>
        <c:lblAlgn val="ctr"/>
        <c:lblOffset val="100"/>
        <c:noMultiLvlLbl val="0"/>
      </c:catAx>
      <c:valAx>
        <c:axId val="58745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746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Média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'Consolidado Gabi'!#REF!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'Consolidado Gabi'!#REF!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E-D4BC-4A49-820F-98296FC15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479840"/>
        <c:axId val="587461536"/>
      </c:barChart>
      <c:catAx>
        <c:axId val="58747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7461536"/>
        <c:crosses val="autoZero"/>
        <c:auto val="1"/>
        <c:lblAlgn val="ctr"/>
        <c:lblOffset val="100"/>
        <c:noMultiLvlLbl val="0"/>
      </c:catAx>
      <c:valAx>
        <c:axId val="58746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74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Comparação</a:t>
            </a:r>
            <a:r>
              <a:rPr lang="pt-BR" sz="1400" baseline="0"/>
              <a:t> - CLT e MEI (Valor líquido)</a:t>
            </a:r>
            <a:endParaRPr lang="pt-BR" sz="1400"/>
          </a:p>
        </c:rich>
      </c:tx>
      <c:layout>
        <c:manualLayout>
          <c:xMode val="edge"/>
          <c:yMode val="edge"/>
          <c:x val="0.13132626278858001"/>
          <c:y val="4.9382716049382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3A-4117-9075-5E9E169B64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3A-4117-9075-5E9E169B649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'Consolidado Gabi'!#REF!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'Consolidado Gabi'!#REF!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33A-4117-9075-5E9E169B64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'CONSOLIDADO ATIVO INATIVO NOVO'!$O$1:$O$1</c:f>
              <c:strCache>
                <c:ptCount val="1"/>
                <c:pt idx="0">
                  <c:v>Média m. líquida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'CONSOLIDADO ATIVO INATIVO NOVO'!$B$2:$B$163</c:f>
              <c:strCache>
                <c:ptCount val="162"/>
                <c:pt idx="0">
                  <c:v>Eduardo Luksevicius</c:v>
                </c:pt>
                <c:pt idx="1">
                  <c:v>Airton Rodrigues da Silva</c:v>
                </c:pt>
                <c:pt idx="2">
                  <c:v>Miguel A Gomes Guerreiro </c:v>
                </c:pt>
                <c:pt idx="3">
                  <c:v>Alexandre Nascimento dos Santos</c:v>
                </c:pt>
                <c:pt idx="4">
                  <c:v>Mathaus Liksevicius </c:v>
                </c:pt>
                <c:pt idx="5">
                  <c:v>Ed Carlos dos Santos</c:v>
                </c:pt>
                <c:pt idx="6">
                  <c:v>Marcos Vinicius Fortes </c:v>
                </c:pt>
                <c:pt idx="7">
                  <c:v>Renato Ubiratan Pereira Leal Costa </c:v>
                </c:pt>
                <c:pt idx="8">
                  <c:v>Nickolas Alves Custódio</c:v>
                </c:pt>
                <c:pt idx="9">
                  <c:v>Rafael Luiz Claro</c:v>
                </c:pt>
                <c:pt idx="10">
                  <c:v>Renato Ubiratan Pereira Leal Costa </c:v>
                </c:pt>
                <c:pt idx="11">
                  <c:v>Fabio Aparecido Dutra Paranaiba </c:v>
                </c:pt>
                <c:pt idx="12">
                  <c:v>Fernanda Nakita</c:v>
                </c:pt>
                <c:pt idx="13">
                  <c:v>Ana Lucia de Lima </c:v>
                </c:pt>
                <c:pt idx="14">
                  <c:v>Warley Xavier Lopes</c:v>
                </c:pt>
                <c:pt idx="15">
                  <c:v>Gabriel Wagner Bellini</c:v>
                </c:pt>
                <c:pt idx="16">
                  <c:v>Andrea Aparecida de Oliveira Ferreira </c:v>
                </c:pt>
                <c:pt idx="17">
                  <c:v>Robson Roque Bernardo</c:v>
                </c:pt>
                <c:pt idx="18">
                  <c:v>Daniela Barreto dos Santos</c:v>
                </c:pt>
                <c:pt idx="19">
                  <c:v>Richard Salgado Costa </c:v>
                </c:pt>
                <c:pt idx="20">
                  <c:v>Victor Hugo do Nascimento Soares</c:v>
                </c:pt>
                <c:pt idx="21">
                  <c:v>Diana Miranda</c:v>
                </c:pt>
                <c:pt idx="22">
                  <c:v>Deuzelina Almeida e Silva </c:v>
                </c:pt>
                <c:pt idx="23">
                  <c:v>Gabriel Wagner Bellini</c:v>
                </c:pt>
                <c:pt idx="24">
                  <c:v>Joel Maicon Cardoso de Oliveira</c:v>
                </c:pt>
                <c:pt idx="25">
                  <c:v>Gabriel da Silva Andrade </c:v>
                </c:pt>
                <c:pt idx="26">
                  <c:v>Gustavo Francisco de Souza Almeida</c:v>
                </c:pt>
                <c:pt idx="27">
                  <c:v>Ademir Jose  dos Santos </c:v>
                </c:pt>
                <c:pt idx="28">
                  <c:v>Sonia Aparecida Ferreira</c:v>
                </c:pt>
                <c:pt idx="29">
                  <c:v>Carlos Eduardo Romero Vicente</c:v>
                </c:pt>
                <c:pt idx="30">
                  <c:v>Gisele Aparecida Pereira Lazari</c:v>
                </c:pt>
                <c:pt idx="31">
                  <c:v>Ricardo dos Santos Lima</c:v>
                </c:pt>
                <c:pt idx="32">
                  <c:v>Douglas Pedrosa Abrantes </c:v>
                </c:pt>
                <c:pt idx="33">
                  <c:v>Misael dos Santos Silva </c:v>
                </c:pt>
                <c:pt idx="34">
                  <c:v>Bruno Oliveira Carvalho</c:v>
                </c:pt>
                <c:pt idx="35">
                  <c:v>Pako Ruhan Cavalcanti de Andrade</c:v>
                </c:pt>
                <c:pt idx="36">
                  <c:v>Wanderley Souza da Silva </c:v>
                </c:pt>
                <c:pt idx="37">
                  <c:v>Leandro Munis Rodrigues da Silva </c:v>
                </c:pt>
                <c:pt idx="38">
                  <c:v>Adolfo Gabriel Pereira</c:v>
                </c:pt>
                <c:pt idx="39">
                  <c:v>Matheus Rodrigues Abrantes de Paula</c:v>
                </c:pt>
                <c:pt idx="40">
                  <c:v>Wiilian Camara </c:v>
                </c:pt>
                <c:pt idx="41">
                  <c:v>Willian Hauro da Silva </c:v>
                </c:pt>
                <c:pt idx="42">
                  <c:v>Wagner Marques Sinna</c:v>
                </c:pt>
                <c:pt idx="43">
                  <c:v>Renan de Souza Miranda </c:v>
                </c:pt>
                <c:pt idx="44">
                  <c:v>João Pedro Pimenta</c:v>
                </c:pt>
                <c:pt idx="45">
                  <c:v>Roberto Henrique dos Santos</c:v>
                </c:pt>
                <c:pt idx="46">
                  <c:v>Caio Felipe Alves Ivo</c:v>
                </c:pt>
                <c:pt idx="47">
                  <c:v>Leonardo de Souza Negreiros</c:v>
                </c:pt>
                <c:pt idx="48">
                  <c:v>Diego Pereira Gomes </c:v>
                </c:pt>
                <c:pt idx="49">
                  <c:v>Alan Deyvid de Siqueira </c:v>
                </c:pt>
                <c:pt idx="50">
                  <c:v>Geovanna Chaves da Silva Carvalho</c:v>
                </c:pt>
                <c:pt idx="51">
                  <c:v>Guilherme Matheus de Oliveira Barros</c:v>
                </c:pt>
                <c:pt idx="52">
                  <c:v>Paulo de Tassio </c:v>
                </c:pt>
                <c:pt idx="53">
                  <c:v>Marcelo Mendes de Freitas</c:v>
                </c:pt>
                <c:pt idx="54">
                  <c:v>Alan Deyvid de Siqueira</c:v>
                </c:pt>
                <c:pt idx="55">
                  <c:v>Alan Honorato Mendes</c:v>
                </c:pt>
                <c:pt idx="56">
                  <c:v>Gabriel Henrique Araujo da Cruz</c:v>
                </c:pt>
                <c:pt idx="57">
                  <c:v>Jhon Weslley Rodrigues da Silva Fernandes</c:v>
                </c:pt>
                <c:pt idx="58">
                  <c:v>Abraao da Silva Costa </c:v>
                </c:pt>
                <c:pt idx="59">
                  <c:v>Cristiano Vasconcelos Firmino</c:v>
                </c:pt>
                <c:pt idx="60">
                  <c:v>Gabriel Nicolas Feitosa Lemos</c:v>
                </c:pt>
                <c:pt idx="61">
                  <c:v>Giovanne Afonso Penutte Machado</c:v>
                </c:pt>
                <c:pt idx="62">
                  <c:v>José Roberto De Lira</c:v>
                </c:pt>
                <c:pt idx="63">
                  <c:v>Gracy Antonio Nascimento de Jesus</c:v>
                </c:pt>
                <c:pt idx="64">
                  <c:v>Justino Barbosa Da Silva Junior</c:v>
                </c:pt>
                <c:pt idx="65">
                  <c:v>Kauanny Roza Martinelli</c:v>
                </c:pt>
                <c:pt idx="66">
                  <c:v>Victor Roberto Parpinelli Souza</c:v>
                </c:pt>
                <c:pt idx="67">
                  <c:v>Diana Miranda</c:v>
                </c:pt>
                <c:pt idx="68">
                  <c:v>Walter Pozzeti Junior</c:v>
                </c:pt>
                <c:pt idx="69">
                  <c:v>Fabio Antonio Bogajo</c:v>
                </c:pt>
                <c:pt idx="70">
                  <c:v>Misael Pereira Da Silva</c:v>
                </c:pt>
                <c:pt idx="71">
                  <c:v>Luciana Serpeloni Borges</c:v>
                </c:pt>
                <c:pt idx="72">
                  <c:v>Raphael Kaych Nunes Câmara</c:v>
                </c:pt>
                <c:pt idx="73">
                  <c:v>LUIZ VICTOR DA COSTA CRUZ</c:v>
                </c:pt>
                <c:pt idx="74">
                  <c:v>Guilherme Henrique Silva Silveira</c:v>
                </c:pt>
                <c:pt idx="75">
                  <c:v>Maximus Rhaziel Stahnke</c:v>
                </c:pt>
                <c:pt idx="76">
                  <c:v>Sthefany de Santana Calacio</c:v>
                </c:pt>
                <c:pt idx="77">
                  <c:v>Fernando Rodrigues Teixeira</c:v>
                </c:pt>
                <c:pt idx="78">
                  <c:v>Flavio Pereira da Silva </c:v>
                </c:pt>
                <c:pt idx="79">
                  <c:v>Carlos Eduardo Marquez Querioz</c:v>
                </c:pt>
                <c:pt idx="80">
                  <c:v>Danilo Jame de Jesus </c:v>
                </c:pt>
                <c:pt idx="81">
                  <c:v>Edson Araujo Sousa</c:v>
                </c:pt>
                <c:pt idx="82">
                  <c:v>Fagner Evinson Tosatti Albuquerque Araruna</c:v>
                </c:pt>
                <c:pt idx="83">
                  <c:v>Giovana Bisaio Fernandes </c:v>
                </c:pt>
                <c:pt idx="84">
                  <c:v>Gabrielli Baeta de Oliveira </c:v>
                </c:pt>
                <c:pt idx="85">
                  <c:v>Nicole Fernanda Barbosa</c:v>
                </c:pt>
                <c:pt idx="86">
                  <c:v>Ana Carolina Medaglia </c:v>
                </c:pt>
                <c:pt idx="87">
                  <c:v>Matheus Cardoso Ferraz Amaro Santos</c:v>
                </c:pt>
                <c:pt idx="88">
                  <c:v>Marcos Antonio de Paula </c:v>
                </c:pt>
                <c:pt idx="89">
                  <c:v>Fagner Evinson Tosatti Albuquerque Araruna</c:v>
                </c:pt>
                <c:pt idx="90">
                  <c:v>Fabio José Amierio </c:v>
                </c:pt>
                <c:pt idx="91">
                  <c:v>Thiago Mendonça de Castro</c:v>
                </c:pt>
                <c:pt idx="92">
                  <c:v>Beatriz Marques Ferreira </c:v>
                </c:pt>
                <c:pt idx="93">
                  <c:v>Vicente Quartieri Neto</c:v>
                </c:pt>
                <c:pt idx="94">
                  <c:v>Gustavo Francisco de Souza Almeida</c:v>
                </c:pt>
                <c:pt idx="95">
                  <c:v>Decio Toledo Leoni Neto</c:v>
                </c:pt>
                <c:pt idx="96">
                  <c:v>Roberto Pinheiro de Moura </c:v>
                </c:pt>
                <c:pt idx="97">
                  <c:v>Beatriz Pereira Fontes </c:v>
                </c:pt>
                <c:pt idx="98">
                  <c:v>Geovanil Barbosa de Lima</c:v>
                </c:pt>
                <c:pt idx="99">
                  <c:v>Lais Menezes Santos </c:v>
                </c:pt>
                <c:pt idx="100">
                  <c:v>Renan Farias Poli</c:v>
                </c:pt>
                <c:pt idx="101">
                  <c:v>Vitor Manoel da Silva Chagas </c:v>
                </c:pt>
                <c:pt idx="102">
                  <c:v>Anderson Teixeira Luz</c:v>
                </c:pt>
                <c:pt idx="103">
                  <c:v>Matheus Prado </c:v>
                </c:pt>
                <c:pt idx="104">
                  <c:v>Christopher da Silva Souza Gabassi</c:v>
                </c:pt>
                <c:pt idx="105">
                  <c:v>Vitor Oliveira Santana</c:v>
                </c:pt>
                <c:pt idx="106">
                  <c:v>Antonio Ramos Da Silva</c:v>
                </c:pt>
                <c:pt idx="107">
                  <c:v>Carlos Henryque Gomes da Silva</c:v>
                </c:pt>
                <c:pt idx="108">
                  <c:v>Kaique Amorim Souza</c:v>
                </c:pt>
                <c:pt idx="109">
                  <c:v>Vitor Patrick dos Santos Kauhs</c:v>
                </c:pt>
                <c:pt idx="110">
                  <c:v>Wilson Neves dos Santos </c:v>
                </c:pt>
                <c:pt idx="111">
                  <c:v>Amanda Aparecida Costa de Oliveira</c:v>
                </c:pt>
                <c:pt idx="112">
                  <c:v>Mario Renato Cerqueira Castro Cohen</c:v>
                </c:pt>
                <c:pt idx="113">
                  <c:v>Douglas Mariano Ribero</c:v>
                </c:pt>
                <c:pt idx="114">
                  <c:v>Olavo Carvalho de Jesis Motte Carlos</c:v>
                </c:pt>
                <c:pt idx="115">
                  <c:v>Ariane Amarante</c:v>
                </c:pt>
                <c:pt idx="116">
                  <c:v>Bruno Luiz Marques </c:v>
                </c:pt>
                <c:pt idx="117">
                  <c:v>Igor Imene dos Santos </c:v>
                </c:pt>
                <c:pt idx="118">
                  <c:v>Ivan Lucas da Silva Santos</c:v>
                </c:pt>
                <c:pt idx="119">
                  <c:v>Renan dos Santos Ramos Batista</c:v>
                </c:pt>
                <c:pt idx="120">
                  <c:v>Wanderson Galvão dos Santos</c:v>
                </c:pt>
                <c:pt idx="121">
                  <c:v>Ytalo de Souza Silva	</c:v>
                </c:pt>
                <c:pt idx="122">
                  <c:v>Yago Pereira Tassara </c:v>
                </c:pt>
                <c:pt idx="123">
                  <c:v>Camila Lourenço Ebenau</c:v>
                </c:pt>
                <c:pt idx="124">
                  <c:v>Gustavo Fernandes Garcia</c:v>
                </c:pt>
                <c:pt idx="125">
                  <c:v>JORGE LUIS DA SILVA ONCA FILHO</c:v>
                </c:pt>
                <c:pt idx="126">
                  <c:v>Elivando Santos Batista </c:v>
                </c:pt>
                <c:pt idx="127">
                  <c:v>Waltinei Alves da Silva </c:v>
                </c:pt>
                <c:pt idx="128">
                  <c:v>Alan Lima Vasconcelos </c:v>
                </c:pt>
                <c:pt idx="129">
                  <c:v>Camila de Oliveira Teixeira</c:v>
                </c:pt>
                <c:pt idx="130">
                  <c:v>Cristhian de Oliveira Domigues</c:v>
                </c:pt>
                <c:pt idx="131">
                  <c:v>Gabriel Rodrigues Souza </c:v>
                </c:pt>
                <c:pt idx="132">
                  <c:v>Josiane Santos de Lima Freitas</c:v>
                </c:pt>
                <c:pt idx="133">
                  <c:v>João Marcelo de Oliveira Paredes</c:v>
                </c:pt>
                <c:pt idx="134">
                  <c:v>Victor Luis do Nascimento Soares</c:v>
                </c:pt>
                <c:pt idx="135">
                  <c:v>Matheus Roberto Santos da Silva</c:v>
                </c:pt>
                <c:pt idx="136">
                  <c:v>Josivan de Lima Silva </c:v>
                </c:pt>
                <c:pt idx="137">
                  <c:v>Braian Castro Furquim da Mota </c:v>
                </c:pt>
                <c:pt idx="138">
                  <c:v>Leandro Lourenci Cunha </c:v>
                </c:pt>
                <c:pt idx="139">
                  <c:v>Michelle Guerra</c:v>
                </c:pt>
                <c:pt idx="140">
                  <c:v>Wevellins Rodrigues de Souza</c:v>
                </c:pt>
                <c:pt idx="141">
                  <c:v>Jonas do Nascimento Batista</c:v>
                </c:pt>
                <c:pt idx="142">
                  <c:v>Bruno Viana de Sousa Chaves </c:v>
                </c:pt>
                <c:pt idx="143">
                  <c:v>Gabriel dos Santos Silva </c:v>
                </c:pt>
                <c:pt idx="144">
                  <c:v>Jose Roberto de Lira </c:v>
                </c:pt>
                <c:pt idx="145">
                  <c:v>Carlos Henrique Santos</c:v>
                </c:pt>
                <c:pt idx="146">
                  <c:v>Danyelle Vieira da Cunha</c:v>
                </c:pt>
                <c:pt idx="147">
                  <c:v>Sandro Ribeiro da Silva </c:v>
                </c:pt>
                <c:pt idx="148">
                  <c:v>Zeus Alves Machado</c:v>
                </c:pt>
                <c:pt idx="149">
                  <c:v>Gustavo Dias de Oliveira </c:v>
                </c:pt>
                <c:pt idx="150">
                  <c:v>Iradilde Rodrigues da Silva </c:v>
                </c:pt>
                <c:pt idx="151">
                  <c:v>Jhonatan Silva Barbosa </c:v>
                </c:pt>
                <c:pt idx="152">
                  <c:v>Edney Osmar Pires</c:v>
                </c:pt>
                <c:pt idx="153">
                  <c:v>Rafael Andrade de Jesus</c:v>
                </c:pt>
                <c:pt idx="154">
                  <c:v>Lorran Rodrigues de Oliveira </c:v>
                </c:pt>
                <c:pt idx="155">
                  <c:v>Pedro Enzo Martibs Bastos</c:v>
                </c:pt>
                <c:pt idx="156">
                  <c:v>Lucas Pereira da Silva </c:v>
                </c:pt>
                <c:pt idx="157">
                  <c:v>Kauam Vitório Lopes dos Santos Cardoso</c:v>
                </c:pt>
                <c:pt idx="158">
                  <c:v>Stephany Santos Santana</c:v>
                </c:pt>
                <c:pt idx="159">
                  <c:v>Marcos Caetano do Nascimento</c:v>
                </c:pt>
                <c:pt idx="160">
                  <c:v>Paulo Mesquita da Cunha</c:v>
                </c:pt>
                <c:pt idx="161">
                  <c:v>Melissa Leite Machado</c:v>
                </c:pt>
              </c:strCache>
            </c:strRef>
          </c:cat>
          <c:val>
            <c:numRef>
              <c:f>'CONSOLIDADO ATIVO INATIVO NOVO'!$O$2:$O$163</c:f>
              <c:numCache>
                <c:formatCode>_("R$"* #,##0.00_);_("R$"* \(#,##0.00\);_("R$"* "-"??_);_(@_)</c:formatCode>
                <c:ptCount val="162"/>
                <c:pt idx="0">
                  <c:v>4122.3167999999996</c:v>
                </c:pt>
                <c:pt idx="1">
                  <c:v>5284.2925999999998</c:v>
                </c:pt>
                <c:pt idx="2">
                  <c:v>1076</c:v>
                </c:pt>
                <c:pt idx="3">
                  <c:v>4734.1785416666662</c:v>
                </c:pt>
                <c:pt idx="4">
                  <c:v>702.12765957446811</c:v>
                </c:pt>
                <c:pt idx="5">
                  <c:v>105.89076923076922</c:v>
                </c:pt>
                <c:pt idx="6">
                  <c:v>4465.2621875000004</c:v>
                </c:pt>
                <c:pt idx="7">
                  <c:v>4448.8583783783797</c:v>
                </c:pt>
                <c:pt idx="8">
                  <c:v>2821.2111111111112</c:v>
                </c:pt>
                <c:pt idx="9">
                  <c:v>2396.1527777777778</c:v>
                </c:pt>
                <c:pt idx="10">
                  <c:v>1949.2586206896549</c:v>
                </c:pt>
                <c:pt idx="11">
                  <c:v>7818.948928571428</c:v>
                </c:pt>
                <c:pt idx="12">
                  <c:v>2094.6748148148149</c:v>
                </c:pt>
                <c:pt idx="13">
                  <c:v>2321.9376923076929</c:v>
                </c:pt>
                <c:pt idx="14">
                  <c:v>4370.4391999999998</c:v>
                </c:pt>
                <c:pt idx="15">
                  <c:v>2460.2341666666662</c:v>
                </c:pt>
                <c:pt idx="16">
                  <c:v>2441.559666666667</c:v>
                </c:pt>
                <c:pt idx="17">
                  <c:v>2208.7748275862059</c:v>
                </c:pt>
                <c:pt idx="18">
                  <c:v>1659.090909090909</c:v>
                </c:pt>
                <c:pt idx="19">
                  <c:v>7437.1827272727251</c:v>
                </c:pt>
                <c:pt idx="20">
                  <c:v>1953.8339285714283</c:v>
                </c:pt>
                <c:pt idx="21">
                  <c:v>3182.3584999999998</c:v>
                </c:pt>
                <c:pt idx="22">
                  <c:v>2096.5059259259265</c:v>
                </c:pt>
                <c:pt idx="23">
                  <c:v>4820.037407407407</c:v>
                </c:pt>
                <c:pt idx="24">
                  <c:v>2195.3255000000004</c:v>
                </c:pt>
                <c:pt idx="25">
                  <c:v>2136.8215384615387</c:v>
                </c:pt>
                <c:pt idx="26">
                  <c:v>3056.5752631578953</c:v>
                </c:pt>
                <c:pt idx="27">
                  <c:v>2393.4931999999999</c:v>
                </c:pt>
                <c:pt idx="28">
                  <c:v>311.76470588235293</c:v>
                </c:pt>
                <c:pt idx="29">
                  <c:v>5198.3169565217386</c:v>
                </c:pt>
                <c:pt idx="30">
                  <c:v>4014.6627272727274</c:v>
                </c:pt>
                <c:pt idx="31">
                  <c:v>4773.913043478261</c:v>
                </c:pt>
                <c:pt idx="32">
                  <c:v>2047.6286666666667</c:v>
                </c:pt>
                <c:pt idx="33">
                  <c:v>2510.3093333333336</c:v>
                </c:pt>
                <c:pt idx="34">
                  <c:v>744.4486363636363</c:v>
                </c:pt>
                <c:pt idx="35">
                  <c:v>1755.0436363636361</c:v>
                </c:pt>
                <c:pt idx="36">
                  <c:v>2174.0777272727273</c:v>
                </c:pt>
                <c:pt idx="37">
                  <c:v>3666.3186666666666</c:v>
                </c:pt>
                <c:pt idx="38">
                  <c:v>1607.6307692307689</c:v>
                </c:pt>
                <c:pt idx="39">
                  <c:v>4871.183500000001</c:v>
                </c:pt>
                <c:pt idx="40">
                  <c:v>3450</c:v>
                </c:pt>
                <c:pt idx="41">
                  <c:v>3753.4730769230764</c:v>
                </c:pt>
                <c:pt idx="42">
                  <c:v>1884.4158333333332</c:v>
                </c:pt>
                <c:pt idx="43">
                  <c:v>2257.0077777777778</c:v>
                </c:pt>
                <c:pt idx="44">
                  <c:v>2847.9372727272726</c:v>
                </c:pt>
                <c:pt idx="45">
                  <c:v>2755.8427272727272</c:v>
                </c:pt>
                <c:pt idx="46">
                  <c:v>2470.2179999999998</c:v>
                </c:pt>
                <c:pt idx="47">
                  <c:v>2916.2460000000001</c:v>
                </c:pt>
                <c:pt idx="48">
                  <c:v>2911.7647058823532</c:v>
                </c:pt>
                <c:pt idx="49">
                  <c:v>3864.6089999999995</c:v>
                </c:pt>
                <c:pt idx="50">
                  <c:v>3271.5925000000002</c:v>
                </c:pt>
                <c:pt idx="51">
                  <c:v>3187.5</c:v>
                </c:pt>
                <c:pt idx="52">
                  <c:v>3973.467333333333</c:v>
                </c:pt>
                <c:pt idx="53">
                  <c:v>3033.3333333333335</c:v>
                </c:pt>
                <c:pt idx="54">
                  <c:v>3071.4862499999999</c:v>
                </c:pt>
                <c:pt idx="55">
                  <c:v>540.9</c:v>
                </c:pt>
                <c:pt idx="56">
                  <c:v>2739.9575</c:v>
                </c:pt>
                <c:pt idx="57">
                  <c:v>2642.2565</c:v>
                </c:pt>
                <c:pt idx="58">
                  <c:v>4447.2662499999997</c:v>
                </c:pt>
                <c:pt idx="59">
                  <c:v>4942.1587499999996</c:v>
                </c:pt>
                <c:pt idx="60">
                  <c:v>964.23066666666682</c:v>
                </c:pt>
                <c:pt idx="61">
                  <c:v>1219.419333333333</c:v>
                </c:pt>
                <c:pt idx="62">
                  <c:v>1846.9292857142859</c:v>
                </c:pt>
                <c:pt idx="63">
                  <c:v>1882.1428571428571</c:v>
                </c:pt>
                <c:pt idx="64">
                  <c:v>3408.1742857142858</c:v>
                </c:pt>
                <c:pt idx="65">
                  <c:v>2317.9162500000002</c:v>
                </c:pt>
                <c:pt idx="66">
                  <c:v>2660.8064285714286</c:v>
                </c:pt>
                <c:pt idx="67">
                  <c:v>6214.2857142857147</c:v>
                </c:pt>
                <c:pt idx="68">
                  <c:v>3008.3335714285713</c:v>
                </c:pt>
                <c:pt idx="69">
                  <c:v>2428.0371428571439</c:v>
                </c:pt>
                <c:pt idx="70">
                  <c:v>3168.9650000000001</c:v>
                </c:pt>
                <c:pt idx="71">
                  <c:v>1751.0053846153846</c:v>
                </c:pt>
                <c:pt idx="72">
                  <c:v>2642.8571428571427</c:v>
                </c:pt>
                <c:pt idx="73">
                  <c:v>1881.0269230769229</c:v>
                </c:pt>
                <c:pt idx="74">
                  <c:v>1529.8453846153848</c:v>
                </c:pt>
                <c:pt idx="75">
                  <c:v>3018.3416666666667</c:v>
                </c:pt>
                <c:pt idx="76">
                  <c:v>2936.3449999999998</c:v>
                </c:pt>
                <c:pt idx="77">
                  <c:v>4549.1783333333333</c:v>
                </c:pt>
                <c:pt idx="78">
                  <c:v>2161.3066666666668</c:v>
                </c:pt>
                <c:pt idx="79">
                  <c:v>836.14</c:v>
                </c:pt>
                <c:pt idx="80">
                  <c:v>2480.3430769230772</c:v>
                </c:pt>
                <c:pt idx="81">
                  <c:v>2938.8779999999997</c:v>
                </c:pt>
                <c:pt idx="82">
                  <c:v>7200.5679999999993</c:v>
                </c:pt>
                <c:pt idx="83">
                  <c:v>3031.7160000000003</c:v>
                </c:pt>
                <c:pt idx="84">
                  <c:v>3121.4679999999998</c:v>
                </c:pt>
                <c:pt idx="85">
                  <c:v>3040</c:v>
                </c:pt>
                <c:pt idx="86">
                  <c:v>3300</c:v>
                </c:pt>
                <c:pt idx="87">
                  <c:v>1810.6054545454544</c:v>
                </c:pt>
                <c:pt idx="88">
                  <c:v>4329.166666666667</c:v>
                </c:pt>
                <c:pt idx="89">
                  <c:v>3818</c:v>
                </c:pt>
                <c:pt idx="90">
                  <c:v>2361.6824999999999</c:v>
                </c:pt>
                <c:pt idx="91">
                  <c:v>2790.1525000000001</c:v>
                </c:pt>
                <c:pt idx="92">
                  <c:v>3026.7200000000003</c:v>
                </c:pt>
                <c:pt idx="93">
                  <c:v>5583.3325000000004</c:v>
                </c:pt>
                <c:pt idx="94">
                  <c:v>1875</c:v>
                </c:pt>
                <c:pt idx="95">
                  <c:v>1196.3899999999999</c:v>
                </c:pt>
                <c:pt idx="96">
                  <c:v>3764</c:v>
                </c:pt>
                <c:pt idx="97">
                  <c:v>3300</c:v>
                </c:pt>
                <c:pt idx="98">
                  <c:v>5073.4766666666665</c:v>
                </c:pt>
                <c:pt idx="99">
                  <c:v>2500</c:v>
                </c:pt>
                <c:pt idx="100">
                  <c:v>2500.17</c:v>
                </c:pt>
                <c:pt idx="101">
                  <c:v>2083.3333333333335</c:v>
                </c:pt>
                <c:pt idx="102">
                  <c:v>1122.5</c:v>
                </c:pt>
                <c:pt idx="103">
                  <c:v>3016.7519999999995</c:v>
                </c:pt>
                <c:pt idx="104">
                  <c:v>2240.12</c:v>
                </c:pt>
                <c:pt idx="105">
                  <c:v>1072.5</c:v>
                </c:pt>
                <c:pt idx="106">
                  <c:v>1987.26</c:v>
                </c:pt>
                <c:pt idx="107">
                  <c:v>3428.6499999999996</c:v>
                </c:pt>
                <c:pt idx="108" formatCode="General">
                  <c:v>569.71</c:v>
                </c:pt>
                <c:pt idx="109">
                  <c:v>3978.6450000000004</c:v>
                </c:pt>
                <c:pt idx="110">
                  <c:v>4524.6599999999989</c:v>
                </c:pt>
                <c:pt idx="111">
                  <c:v>5499.9950000000008</c:v>
                </c:pt>
                <c:pt idx="112">
                  <c:v>333.33333333333331</c:v>
                </c:pt>
                <c:pt idx="113">
                  <c:v>4144.4444444444443</c:v>
                </c:pt>
                <c:pt idx="114">
                  <c:v>2555.67</c:v>
                </c:pt>
                <c:pt idx="115">
                  <c:v>4023.3499999999995</c:v>
                </c:pt>
                <c:pt idx="116">
                  <c:v>3373.75</c:v>
                </c:pt>
                <c:pt idx="117">
                  <c:v>3263.1099999999997</c:v>
                </c:pt>
                <c:pt idx="118">
                  <c:v>3788.57</c:v>
                </c:pt>
                <c:pt idx="119">
                  <c:v>3311.3399999999997</c:v>
                </c:pt>
                <c:pt idx="120">
                  <c:v>3693.9499999999994</c:v>
                </c:pt>
                <c:pt idx="121">
                  <c:v>1072.3199999999997</c:v>
                </c:pt>
                <c:pt idx="122">
                  <c:v>4527.42</c:v>
                </c:pt>
                <c:pt idx="123">
                  <c:v>6448.92</c:v>
                </c:pt>
                <c:pt idx="124">
                  <c:v>2500</c:v>
                </c:pt>
                <c:pt idx="125">
                  <c:v>2007.3799999999999</c:v>
                </c:pt>
                <c:pt idx="126">
                  <c:v>2124.1099999999997</c:v>
                </c:pt>
                <c:pt idx="127">
                  <c:v>2099.23</c:v>
                </c:pt>
                <c:pt idx="128">
                  <c:v>29.030999999999999</c:v>
                </c:pt>
                <c:pt idx="129">
                  <c:v>76.268709677419366</c:v>
                </c:pt>
                <c:pt idx="130">
                  <c:v>183.68666666666667</c:v>
                </c:pt>
                <c:pt idx="131">
                  <c:v>76.732413793103461</c:v>
                </c:pt>
                <c:pt idx="132">
                  <c:v>54.980666666666671</c:v>
                </c:pt>
                <c:pt idx="133">
                  <c:v>787.4</c:v>
                </c:pt>
                <c:pt idx="134">
                  <c:v>1790.07</c:v>
                </c:pt>
                <c:pt idx="135">
                  <c:v>1287.0728571428569</c:v>
                </c:pt>
                <c:pt idx="136">
                  <c:v>4064.9471428571428</c:v>
                </c:pt>
                <c:pt idx="137">
                  <c:v>4403.6499999999996</c:v>
                </c:pt>
                <c:pt idx="138">
                  <c:v>3385.3757142857144</c:v>
                </c:pt>
                <c:pt idx="139">
                  <c:v>714.28571428571433</c:v>
                </c:pt>
                <c:pt idx="140">
                  <c:v>1895.7199999999998</c:v>
                </c:pt>
                <c:pt idx="141">
                  <c:v>1701.3174999999999</c:v>
                </c:pt>
                <c:pt idx="142">
                  <c:v>451.33000000000004</c:v>
                </c:pt>
                <c:pt idx="143">
                  <c:v>798.36500000000001</c:v>
                </c:pt>
                <c:pt idx="144">
                  <c:v>891.66666666666663</c:v>
                </c:pt>
                <c:pt idx="145">
                  <c:v>634.84375</c:v>
                </c:pt>
                <c:pt idx="146">
                  <c:v>333.33333333333331</c:v>
                </c:pt>
                <c:pt idx="147">
                  <c:v>787.41857142857145</c:v>
                </c:pt>
                <c:pt idx="148">
                  <c:v>747</c:v>
                </c:pt>
                <c:pt idx="149">
                  <c:v>732.3</c:v>
                </c:pt>
                <c:pt idx="150">
                  <c:v>260.16500000000002</c:v>
                </c:pt>
                <c:pt idx="151">
                  <c:v>1102.3</c:v>
                </c:pt>
                <c:pt idx="152">
                  <c:v>1613.6179999999999</c:v>
                </c:pt>
                <c:pt idx="153">
                  <c:v>1465.624</c:v>
                </c:pt>
                <c:pt idx="154">
                  <c:v>2530.7950000000001</c:v>
                </c:pt>
                <c:pt idx="155">
                  <c:v>1021.14</c:v>
                </c:pt>
                <c:pt idx="156">
                  <c:v>437.11</c:v>
                </c:pt>
                <c:pt idx="157">
                  <c:v>610.25</c:v>
                </c:pt>
                <c:pt idx="158">
                  <c:v>610.25</c:v>
                </c:pt>
                <c:pt idx="159">
                  <c:v>1333.3333333333333</c:v>
                </c:pt>
                <c:pt idx="160">
                  <c:v>1333.3333333333333</c:v>
                </c:pt>
                <c:pt idx="161">
                  <c:v>833.33333333333337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D-442C-97B3-DCEFEAEC9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7542991"/>
        <c:axId val="937543951"/>
      </c:barChart>
      <c:catAx>
        <c:axId val="93754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7543951"/>
        <c:crosses val="autoZero"/>
        <c:auto val="1"/>
        <c:lblAlgn val="ctr"/>
        <c:lblOffset val="100"/>
        <c:noMultiLvlLbl val="0"/>
      </c:catAx>
      <c:valAx>
        <c:axId val="937543951"/>
        <c:scaling>
          <c:orientation val="minMax"/>
          <c:max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7542991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COMPARATIVO MEI</a:t>
            </a:r>
            <a:r>
              <a:rPr lang="pt-BR" baseline="0"/>
              <a:t> E CLT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8C-4835-9F61-F8A9D4D34D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23-41BE-9D2C-476855991FA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'CONSOLIDADO ATIVO INATIVO NOVO'!$I$177:$J$177</c:f>
              <c:numCache>
                <c:formatCode>_("R$"* #,##0.00_);_("R$"* \(#,##0.00\);_("R$"* "-"??_);_(@_)</c:formatCode>
                <c:ptCount val="2"/>
                <c:pt idx="0">
                  <c:v>1050066.28</c:v>
                </c:pt>
                <c:pt idx="1">
                  <c:v>2466261.9700000002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'CONSOLIDADO ATIVO INATIVO NOVO'!$J$162:$K$163</c15:sqref>
                        </c15:formulaRef>
                      </c:ext>
                    </c:extLst>
                    <c:multiLvlStrCache>
                      <c:ptCount val="1"/>
                      <c:lvl>
                        <c:pt idx="0">
                          <c:v>02/02/2026</c:v>
                        </c:pt>
                      </c:lvl>
                      <c:lvl>
                        <c:pt idx="0">
                          <c:v>02/02/2026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149-4A75-B098-838B44B6B2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37</xdr:row>
      <xdr:rowOff>28575</xdr:rowOff>
    </xdr:from>
    <xdr:to>
      <xdr:col>10</xdr:col>
      <xdr:colOff>9525</xdr:colOff>
      <xdr:row>54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7396563-DE46-4B36-B3DB-02A7770E3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37</xdr:row>
      <xdr:rowOff>19050</xdr:rowOff>
    </xdr:from>
    <xdr:to>
      <xdr:col>16</xdr:col>
      <xdr:colOff>1019175</xdr:colOff>
      <xdr:row>54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9820FD6-CD9D-4374-A270-9BF983B7FD61}"/>
            </a:ext>
            <a:ext uri="{147F2762-F138-4A5C-976F-8EAC2B608ADB}">
              <a16:predDERef xmlns:a16="http://schemas.microsoft.com/office/drawing/2014/main" pred="{77396563-DE46-4B36-B3DB-02A7770E3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19051</xdr:colOff>
      <xdr:row>36</xdr:row>
      <xdr:rowOff>161925</xdr:rowOff>
    </xdr:from>
    <xdr:to>
      <xdr:col>18</xdr:col>
      <xdr:colOff>951140</xdr:colOff>
      <xdr:row>50</xdr:row>
      <xdr:rowOff>174171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F14B795-B8E0-41C6-93B3-D715FF941F7E}"/>
            </a:ext>
            <a:ext uri="{147F2762-F138-4A5C-976F-8EAC2B608ADB}">
              <a16:predDERef xmlns:a16="http://schemas.microsoft.com/office/drawing/2014/main" pred="{29820FD6-CD9D-4374-A270-9BF983B7F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554567</xdr:colOff>
      <xdr:row>172</xdr:row>
      <xdr:rowOff>132927</xdr:rowOff>
    </xdr:from>
    <xdr:to>
      <xdr:col>6</xdr:col>
      <xdr:colOff>330201</xdr:colOff>
      <xdr:row>189</xdr:row>
      <xdr:rowOff>60961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D8A3CC-9D03-B25A-B989-2039E860A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190499</xdr:colOff>
      <xdr:row>173</xdr:row>
      <xdr:rowOff>28786</xdr:rowOff>
    </xdr:from>
    <xdr:to>
      <xdr:col>11</xdr:col>
      <xdr:colOff>289559</xdr:colOff>
      <xdr:row>183</xdr:row>
      <xdr:rowOff>78316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D68003-B2FB-74AE-808B-2025128B96DD}"/>
            </a:ext>
            <a:ext uri="{147F2762-F138-4A5C-976F-8EAC2B608ADB}">
              <a16:predDERef xmlns:a16="http://schemas.microsoft.com/office/drawing/2014/main" pred="{D3D8A3CC-9D03-B25A-B989-2039E860A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echamento%20-%20Benef&#237;cios%20-%20DZM/Vale%20Transporte%20e%20Vale%20Alimenta&#231;&#227;o/PLANILHA%20VALE%20TRANSPORTE%202026.xlsx" TargetMode="External"/><Relationship Id="rId2" Type="http://schemas.openxmlformats.org/officeDocument/2006/relationships/externalLinkPath" Target="https://marbrti.sharepoint.com/sites/rhsite/Documentos%20Compartilhados/07%20Recursos%20Humanos%20(RH)/08%20-%20Financeiro/Fechamento%20-%20Benef&#237;cios%20-%20DZM/Vale%20Transporte%20e%20Vale%20Alimenta&#231;&#227;o/PLANILHA%20VALE%20TRANSPORTE%202026.xlsx" TargetMode="External"/><Relationship Id="rId1" Type="http://schemas.openxmlformats.org/officeDocument/2006/relationships/externalLinkPath" Target="/sites/rhsite/Documentos%20Compartilhados/07%20Recursos%20Humanos%20(RH)/08%20-%20Financeiro/Fechamento%20-%20Benef&#237;cios%20-%20DZM/Vale%20Transporte%20e%20Vale%20Alimenta&#231;&#227;o/PLANILHA%20VALE%20TRANSPORT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ontratos%20Equipe%20de%20RH/Relat&#243;rio%20de%20Custos%20Recursos%20Humanos.xlsx" TargetMode="External"/><Relationship Id="rId2" Type="http://schemas.openxmlformats.org/officeDocument/2006/relationships/externalLinkPath" Target="https://marbrti.sharepoint.com/sites/rhsite/Documentos%20Compartilhados/07%20Recursos%20Humanos%20(RH)/Contratos%20Equipe%20de%20RH/Relat&#243;rio%20de%20Custos%20Recursos%20Humanos.xlsx" TargetMode="External"/><Relationship Id="rId1" Type="http://schemas.openxmlformats.org/officeDocument/2006/relationships/externalLinkPath" Target="/sites/rhsite/Documentos%20Compartilhados/07%20Recursos%20Humanos%20(RH)/Contratos%20Equipe%20de%20RH/Relat&#243;rio%20de%20Custos%20Recursos%20Human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ko - Abril 2026"/>
      <sheetName val="Abril 2026 "/>
      <sheetName val="Irailde Março 2026 (2)"/>
      <sheetName val="Irailde Março 2026"/>
      <sheetName val="Lucas E Bruno_MAR2026"/>
      <sheetName val="Gabriel MAR2026"/>
      <sheetName val="Novos Colaboradores FEv2026"/>
      <sheetName val="MARÇO 2026"/>
      <sheetName val="FEVEREIRO 2026 "/>
      <sheetName val="JANEIRO 2026"/>
      <sheetName val="DIFERENÇA JAN2026"/>
      <sheetName val="Estagiários_nov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7">
          <cell r="K47">
            <v>380.4</v>
          </cell>
        </row>
      </sheetData>
      <sheetData sheetId="9">
        <row r="49">
          <cell r="K49">
            <v>288.5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sLcVLFL-06pukb7ypnrhjxl7Lgm2xpMsthPyH6VzpS_7EvDaMpWQorts5Kwosb7" itemId="01IFVDFXFSK7SL2JE3I5CKBY4TP24UE6K3">
      <xxl21:absoluteUrl r:id="rId2"/>
      <xxl21:relativeUrl r:id="rId3"/>
    </xxl21:alternateUrls>
    <sheetNames>
      <sheetName val="Ativos"/>
      <sheetName val="Ativos e Inativos"/>
      <sheetName val="Planilha3"/>
      <sheetName val="Setor 1"/>
      <sheetName val="Setor 2"/>
      <sheetName val="Setor 3"/>
      <sheetName val="Setor 4"/>
      <sheetName val="Setor 5 "/>
    </sheetNames>
    <sheetDataSet>
      <sheetData sheetId="0"/>
      <sheetData sheetId="1"/>
      <sheetData sheetId="2"/>
      <sheetData sheetId="3">
        <row r="9">
          <cell r="H9">
            <v>4122.3167999999996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8B02-237A-4C07-A826-CB68A48217C4}">
  <sheetPr>
    <pageSetUpPr fitToPage="1"/>
  </sheetPr>
  <dimension ref="A2:V46"/>
  <sheetViews>
    <sheetView zoomScale="80" zoomScaleNormal="80" workbookViewId="0">
      <selection activeCell="M20" sqref="M20"/>
    </sheetView>
  </sheetViews>
  <sheetFormatPr defaultRowHeight="14.45"/>
  <cols>
    <col min="1" max="1" width="5" bestFit="1" customWidth="1"/>
    <col min="2" max="2" width="43.28515625" bestFit="1" customWidth="1"/>
    <col min="3" max="3" width="21.140625" bestFit="1" customWidth="1"/>
    <col min="4" max="4" width="7.85546875" bestFit="1" customWidth="1"/>
    <col min="5" max="5" width="7.85546875" customWidth="1"/>
    <col min="6" max="6" width="9" bestFit="1" customWidth="1"/>
    <col min="7" max="7" width="14.5703125" hidden="1" customWidth="1"/>
    <col min="8" max="8" width="17.28515625" bestFit="1" customWidth="1"/>
    <col min="9" max="9" width="16.85546875" customWidth="1"/>
    <col min="10" max="10" width="15.28515625" bestFit="1" customWidth="1"/>
    <col min="11" max="11" width="5.42578125" hidden="1" customWidth="1"/>
    <col min="12" max="12" width="9.7109375" bestFit="1" customWidth="1"/>
    <col min="13" max="13" width="16.7109375" bestFit="1" customWidth="1"/>
    <col min="14" max="15" width="15.28515625" customWidth="1"/>
    <col min="16" max="16" width="15.7109375" bestFit="1" customWidth="1"/>
    <col min="17" max="17" width="14" style="18" customWidth="1"/>
    <col min="18" max="18" width="12.85546875" bestFit="1" customWidth="1"/>
    <col min="19" max="19" width="14" style="18" bestFit="1" customWidth="1"/>
    <col min="20" max="20" width="0.28515625" customWidth="1"/>
    <col min="21" max="21" width="10" bestFit="1" customWidth="1"/>
    <col min="22" max="22" width="10.5703125" hidden="1" customWidth="1"/>
  </cols>
  <sheetData>
    <row r="2" spans="1:21" ht="15" thickBot="1"/>
    <row r="3" spans="1:21" ht="16.149999999999999" thickBot="1">
      <c r="A3" s="273" t="s">
        <v>0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5"/>
      <c r="R3" s="276">
        <v>45352</v>
      </c>
      <c r="S3" s="277"/>
    </row>
    <row r="4" spans="1:21">
      <c r="A4" s="77" t="s">
        <v>1</v>
      </c>
      <c r="B4" s="59" t="s">
        <v>2</v>
      </c>
      <c r="C4" s="21" t="s">
        <v>3</v>
      </c>
      <c r="D4" s="59" t="s">
        <v>4</v>
      </c>
      <c r="E4" s="59" t="s">
        <v>5</v>
      </c>
      <c r="F4" s="59" t="s">
        <v>6</v>
      </c>
      <c r="G4" s="59" t="s">
        <v>7</v>
      </c>
      <c r="H4" s="59" t="s">
        <v>8</v>
      </c>
      <c r="I4" s="59" t="s">
        <v>9</v>
      </c>
      <c r="J4" s="59" t="s">
        <v>10</v>
      </c>
      <c r="K4" s="59" t="s">
        <v>11</v>
      </c>
      <c r="L4" s="59" t="s">
        <v>12</v>
      </c>
      <c r="M4" s="60" t="s">
        <v>13</v>
      </c>
      <c r="N4" s="60" t="s">
        <v>14</v>
      </c>
      <c r="O4" s="60" t="s">
        <v>15</v>
      </c>
      <c r="P4" s="60" t="s">
        <v>16</v>
      </c>
      <c r="Q4" s="66" t="s">
        <v>17</v>
      </c>
      <c r="R4" s="67" t="s">
        <v>18</v>
      </c>
      <c r="S4" s="68" t="s">
        <v>19</v>
      </c>
    </row>
    <row r="5" spans="1:21">
      <c r="A5" s="89"/>
      <c r="B5" s="59" t="s">
        <v>20</v>
      </c>
      <c r="C5" s="21" t="s">
        <v>21</v>
      </c>
      <c r="D5" s="59" t="s">
        <v>22</v>
      </c>
      <c r="E5" s="59">
        <v>514320</v>
      </c>
      <c r="F5" s="59" t="s">
        <v>23</v>
      </c>
      <c r="G5" s="59"/>
      <c r="H5" s="90">
        <v>45264</v>
      </c>
      <c r="I5" s="90"/>
      <c r="J5" s="90"/>
      <c r="K5" s="91"/>
      <c r="L5" s="94">
        <v>3</v>
      </c>
      <c r="M5" s="92" t="e">
        <f>#REF!</f>
        <v>#REF!</v>
      </c>
      <c r="N5" s="93">
        <v>2372.34</v>
      </c>
      <c r="O5" s="92" t="e">
        <f>#REF!</f>
        <v>#REF!</v>
      </c>
      <c r="P5" s="93" t="e">
        <f>M5/L5</f>
        <v>#REF!</v>
      </c>
      <c r="Q5" s="86"/>
      <c r="R5" s="98">
        <v>-14.24</v>
      </c>
      <c r="S5" s="95">
        <f>1849.81/220*R5</f>
        <v>-119.73315636363635</v>
      </c>
      <c r="U5" s="6"/>
    </row>
    <row r="6" spans="1:21">
      <c r="A6" s="89"/>
      <c r="B6" s="59" t="s">
        <v>24</v>
      </c>
      <c r="C6" s="21" t="s">
        <v>25</v>
      </c>
      <c r="D6" s="59" t="s">
        <v>22</v>
      </c>
      <c r="E6" s="59">
        <v>514320</v>
      </c>
      <c r="F6" s="59" t="s">
        <v>23</v>
      </c>
      <c r="G6" s="59"/>
      <c r="H6" s="90">
        <v>45302</v>
      </c>
      <c r="I6" s="59"/>
      <c r="J6" s="59"/>
      <c r="K6" s="91"/>
      <c r="L6" s="94">
        <v>2</v>
      </c>
      <c r="M6" s="92" t="e">
        <f>#REF!</f>
        <v>#REF!</v>
      </c>
      <c r="N6" s="92">
        <v>2647.33</v>
      </c>
      <c r="O6" s="92" t="e">
        <f>#REF!</f>
        <v>#REF!</v>
      </c>
      <c r="P6" s="93" t="e">
        <f t="shared" ref="P6:P34" si="0">M6/L6</f>
        <v>#REF!</v>
      </c>
      <c r="Q6" s="86"/>
      <c r="R6" s="98">
        <v>-0.03</v>
      </c>
      <c r="S6" s="95">
        <f>1849.81/220*R6</f>
        <v>-0.25224681818181816</v>
      </c>
      <c r="U6" s="6"/>
    </row>
    <row r="7" spans="1:21">
      <c r="A7" s="89"/>
      <c r="B7" s="21" t="s">
        <v>26</v>
      </c>
      <c r="C7" s="21" t="s">
        <v>27</v>
      </c>
      <c r="D7" s="21" t="s">
        <v>22</v>
      </c>
      <c r="E7" s="21">
        <v>514320</v>
      </c>
      <c r="F7" s="21" t="s">
        <v>23</v>
      </c>
      <c r="G7" s="21"/>
      <c r="H7" s="26">
        <v>45260</v>
      </c>
      <c r="I7" s="26"/>
      <c r="J7" s="26"/>
      <c r="K7" s="27"/>
      <c r="L7" s="94">
        <v>4</v>
      </c>
      <c r="M7" s="3" t="e">
        <f>#REF!</f>
        <v>#REF!</v>
      </c>
      <c r="N7" s="3">
        <v>2089.81</v>
      </c>
      <c r="O7" s="3" t="e">
        <f>#REF!</f>
        <v>#REF!</v>
      </c>
      <c r="P7" s="93" t="e">
        <f t="shared" si="0"/>
        <v>#REF!</v>
      </c>
      <c r="Q7" s="13"/>
      <c r="R7" s="99">
        <v>21.48</v>
      </c>
      <c r="S7" s="87">
        <f>R7*12.6</f>
        <v>270.64800000000002</v>
      </c>
      <c r="U7" s="6"/>
    </row>
    <row r="8" spans="1:21">
      <c r="A8" s="89"/>
      <c r="B8" s="21" t="s">
        <v>28</v>
      </c>
      <c r="C8" s="21" t="s">
        <v>25</v>
      </c>
      <c r="D8" s="21" t="s">
        <v>22</v>
      </c>
      <c r="E8" s="59">
        <v>514320</v>
      </c>
      <c r="F8" s="21" t="s">
        <v>29</v>
      </c>
      <c r="G8" s="21"/>
      <c r="H8" s="26">
        <v>44972</v>
      </c>
      <c r="I8" s="26"/>
      <c r="J8" s="26"/>
      <c r="K8" s="27">
        <v>0</v>
      </c>
      <c r="L8" s="94">
        <v>13</v>
      </c>
      <c r="M8" s="3" t="e">
        <f>#REF!</f>
        <v>#REF!</v>
      </c>
      <c r="N8" s="14">
        <v>77.08</v>
      </c>
      <c r="O8" s="14">
        <v>77.08</v>
      </c>
      <c r="P8" s="93" t="e">
        <f t="shared" si="0"/>
        <v>#REF!</v>
      </c>
      <c r="Q8" s="13"/>
      <c r="R8" s="99"/>
      <c r="S8" s="87">
        <f t="shared" ref="S8" si="1">(R8*12.62)</f>
        <v>0</v>
      </c>
      <c r="U8" s="6"/>
    </row>
    <row r="9" spans="1:21">
      <c r="A9" s="89"/>
      <c r="B9" s="21" t="s">
        <v>30</v>
      </c>
      <c r="C9" s="21" t="s">
        <v>25</v>
      </c>
      <c r="D9" s="21" t="s">
        <v>22</v>
      </c>
      <c r="E9" s="59">
        <v>514320</v>
      </c>
      <c r="F9" s="21" t="s">
        <v>23</v>
      </c>
      <c r="G9" s="21"/>
      <c r="H9" s="26">
        <v>45376</v>
      </c>
      <c r="I9" s="26"/>
      <c r="J9" s="26"/>
      <c r="K9" s="27"/>
      <c r="L9" s="94">
        <f>(J$36-H9)/30</f>
        <v>-1.4</v>
      </c>
      <c r="M9" s="3" t="e">
        <f>#REF!</f>
        <v>#REF!</v>
      </c>
      <c r="N9" s="14"/>
      <c r="O9" s="14" t="e">
        <f>#REF!</f>
        <v>#REF!</v>
      </c>
      <c r="P9" s="93" t="e">
        <f t="shared" si="0"/>
        <v>#REF!</v>
      </c>
      <c r="Q9" s="13"/>
      <c r="R9" s="98">
        <v>-1.04</v>
      </c>
      <c r="S9" s="95">
        <f>1849.81/220*R9</f>
        <v>-8.744556363636363</v>
      </c>
      <c r="T9" s="6"/>
      <c r="U9" s="6"/>
    </row>
    <row r="10" spans="1:21">
      <c r="A10" s="89"/>
      <c r="B10" s="21" t="s">
        <v>31</v>
      </c>
      <c r="C10" s="21" t="s">
        <v>25</v>
      </c>
      <c r="D10" s="21" t="s">
        <v>22</v>
      </c>
      <c r="E10" s="21"/>
      <c r="F10" s="21" t="s">
        <v>23</v>
      </c>
      <c r="G10" s="21"/>
      <c r="H10" s="26">
        <v>45018</v>
      </c>
      <c r="I10" s="21"/>
      <c r="J10" s="21"/>
      <c r="K10" s="27"/>
      <c r="L10" s="94">
        <f>(J$36-H10)/30</f>
        <v>10.533333333333333</v>
      </c>
      <c r="M10" s="3" t="e">
        <f>#REF!</f>
        <v>#REF!</v>
      </c>
      <c r="N10" s="3">
        <v>2557.35</v>
      </c>
      <c r="O10" s="3" t="e">
        <f>#REF!</f>
        <v>#REF!</v>
      </c>
      <c r="P10" s="93" t="e">
        <f t="shared" si="0"/>
        <v>#REF!</v>
      </c>
      <c r="Q10" s="13"/>
      <c r="R10" s="99">
        <v>0</v>
      </c>
      <c r="S10" s="87">
        <f>R10*12.6</f>
        <v>0</v>
      </c>
      <c r="T10" s="6"/>
      <c r="U10" s="6"/>
    </row>
    <row r="11" spans="1:21">
      <c r="A11" s="89"/>
      <c r="B11" s="21" t="s">
        <v>32</v>
      </c>
      <c r="C11" s="21" t="s">
        <v>25</v>
      </c>
      <c r="D11" s="21" t="s">
        <v>22</v>
      </c>
      <c r="E11" s="21">
        <v>514320</v>
      </c>
      <c r="F11" s="21" t="s">
        <v>23</v>
      </c>
      <c r="G11" s="21"/>
      <c r="H11" s="26">
        <v>45096</v>
      </c>
      <c r="I11" s="21"/>
      <c r="J11" s="21"/>
      <c r="K11" s="27"/>
      <c r="L11" s="94">
        <v>9</v>
      </c>
      <c r="M11" s="3" t="e">
        <f>#REF!</f>
        <v>#REF!</v>
      </c>
      <c r="N11" s="3" t="e">
        <f>SUM(#REF!)</f>
        <v>#REF!</v>
      </c>
      <c r="O11" s="3" t="e">
        <f>#REF!</f>
        <v>#REF!</v>
      </c>
      <c r="P11" s="93" t="e">
        <f t="shared" si="0"/>
        <v>#REF!</v>
      </c>
      <c r="Q11" s="13"/>
      <c r="R11" s="99">
        <v>9.44</v>
      </c>
      <c r="S11" s="87">
        <f>R11*12.6</f>
        <v>118.94399999999999</v>
      </c>
      <c r="T11" s="6"/>
      <c r="U11" s="6"/>
    </row>
    <row r="12" spans="1:21">
      <c r="A12" s="89"/>
      <c r="B12" s="21" t="s">
        <v>33</v>
      </c>
      <c r="C12" s="21" t="s">
        <v>25</v>
      </c>
      <c r="D12" s="21" t="s">
        <v>22</v>
      </c>
      <c r="E12" s="21">
        <v>514320</v>
      </c>
      <c r="F12" s="21" t="s">
        <v>23</v>
      </c>
      <c r="G12" s="21"/>
      <c r="H12" s="26">
        <v>45376</v>
      </c>
      <c r="I12" s="21"/>
      <c r="J12" s="21"/>
      <c r="K12" s="27"/>
      <c r="L12" s="94">
        <f>(J$36-H12)/30</f>
        <v>-1.4</v>
      </c>
      <c r="M12" s="3" t="e">
        <f>#REF!</f>
        <v>#REF!</v>
      </c>
      <c r="N12" s="3" t="e">
        <f>SUM(#REF!)</f>
        <v>#REF!</v>
      </c>
      <c r="O12" s="3" t="e">
        <f>#REF!</f>
        <v>#REF!</v>
      </c>
      <c r="P12" s="93" t="e">
        <f t="shared" si="0"/>
        <v>#REF!</v>
      </c>
      <c r="Q12" s="13"/>
      <c r="R12" s="99">
        <v>1.49</v>
      </c>
      <c r="S12" s="87">
        <f>R12*12.6</f>
        <v>18.774000000000001</v>
      </c>
      <c r="T12" s="6"/>
      <c r="U12" s="6"/>
    </row>
    <row r="13" spans="1:21">
      <c r="A13" s="89"/>
      <c r="B13" s="21" t="s">
        <v>34</v>
      </c>
      <c r="C13" s="21" t="s">
        <v>21</v>
      </c>
      <c r="D13" s="21" t="s">
        <v>22</v>
      </c>
      <c r="E13" s="21">
        <v>514320</v>
      </c>
      <c r="F13" s="21" t="s">
        <v>23</v>
      </c>
      <c r="G13" s="21"/>
      <c r="H13" s="26">
        <v>45145</v>
      </c>
      <c r="I13" s="26"/>
      <c r="J13" s="26"/>
      <c r="K13" s="27"/>
      <c r="L13" s="94">
        <v>7</v>
      </c>
      <c r="M13" s="3" t="e">
        <f>#REF!</f>
        <v>#REF!</v>
      </c>
      <c r="N13" s="14">
        <v>3126.1</v>
      </c>
      <c r="O13" s="14" t="e">
        <f>#REF!</f>
        <v>#REF!</v>
      </c>
      <c r="P13" s="93" t="e">
        <f t="shared" si="0"/>
        <v>#REF!</v>
      </c>
      <c r="Q13" s="13"/>
      <c r="R13" s="99">
        <v>4.4000000000000004</v>
      </c>
      <c r="S13" s="87">
        <f>R13*12.6</f>
        <v>55.440000000000005</v>
      </c>
      <c r="U13" s="6"/>
    </row>
    <row r="14" spans="1:21">
      <c r="A14" s="89"/>
      <c r="B14" s="21" t="s">
        <v>35</v>
      </c>
      <c r="C14" s="21" t="s">
        <v>21</v>
      </c>
      <c r="D14" s="21" t="s">
        <v>22</v>
      </c>
      <c r="E14" s="21">
        <v>514320</v>
      </c>
      <c r="F14" s="21" t="s">
        <v>23</v>
      </c>
      <c r="G14" s="21"/>
      <c r="H14" s="26">
        <v>45264</v>
      </c>
      <c r="I14" s="26"/>
      <c r="J14" s="26"/>
      <c r="K14" s="27"/>
      <c r="L14" s="94">
        <v>3</v>
      </c>
      <c r="M14" s="3" t="e">
        <f>#REF!</f>
        <v>#REF!</v>
      </c>
      <c r="N14" s="14">
        <v>2334.3200000000002</v>
      </c>
      <c r="O14" s="14" t="e">
        <f>#REF!</f>
        <v>#REF!</v>
      </c>
      <c r="P14" s="93" t="e">
        <f t="shared" si="0"/>
        <v>#REF!</v>
      </c>
      <c r="Q14" s="13"/>
      <c r="R14" s="99">
        <v>3.54</v>
      </c>
      <c r="S14" s="87">
        <f>R14*12.6</f>
        <v>44.603999999999999</v>
      </c>
      <c r="U14" s="6"/>
    </row>
    <row r="15" spans="1:21">
      <c r="A15" s="89"/>
      <c r="B15" s="21" t="s">
        <v>36</v>
      </c>
      <c r="C15" s="21" t="s">
        <v>25</v>
      </c>
      <c r="D15" s="21" t="s">
        <v>22</v>
      </c>
      <c r="E15" s="21">
        <v>514320</v>
      </c>
      <c r="F15" s="21" t="s">
        <v>23</v>
      </c>
      <c r="G15" s="21"/>
      <c r="H15" s="26">
        <v>45264</v>
      </c>
      <c r="I15" s="26"/>
      <c r="J15" s="26"/>
      <c r="K15" s="27"/>
      <c r="L15" s="94">
        <v>3</v>
      </c>
      <c r="M15" s="3" t="e">
        <f>#REF!</f>
        <v>#REF!</v>
      </c>
      <c r="N15" s="3">
        <v>2337.35</v>
      </c>
      <c r="O15" s="3" t="e">
        <f>#REF!</f>
        <v>#REF!</v>
      </c>
      <c r="P15" s="93" t="e">
        <f t="shared" si="0"/>
        <v>#REF!</v>
      </c>
      <c r="Q15" s="13"/>
      <c r="R15" s="98">
        <v>-10.48</v>
      </c>
      <c r="S15" s="95">
        <f>1849.81/220*R15</f>
        <v>-88.118221818181809</v>
      </c>
      <c r="T15" s="6"/>
      <c r="U15" s="6"/>
    </row>
    <row r="16" spans="1:21">
      <c r="A16" s="89"/>
      <c r="B16" s="21" t="s">
        <v>37</v>
      </c>
      <c r="C16" s="21" t="s">
        <v>21</v>
      </c>
      <c r="D16" s="21" t="s">
        <v>22</v>
      </c>
      <c r="E16" s="21">
        <v>514320</v>
      </c>
      <c r="F16" s="21" t="s">
        <v>23</v>
      </c>
      <c r="G16" s="21"/>
      <c r="H16" s="26">
        <v>45264</v>
      </c>
      <c r="I16" s="26"/>
      <c r="J16" s="26"/>
      <c r="K16" s="27"/>
      <c r="L16" s="94">
        <v>3</v>
      </c>
      <c r="M16" s="3" t="e">
        <f>#REF!</f>
        <v>#REF!</v>
      </c>
      <c r="N16" s="3">
        <v>2331.5700000000002</v>
      </c>
      <c r="O16" s="3" t="e">
        <f>#REF!</f>
        <v>#REF!</v>
      </c>
      <c r="P16" s="93" t="e">
        <f t="shared" si="0"/>
        <v>#REF!</v>
      </c>
      <c r="Q16" s="13"/>
      <c r="R16" s="98">
        <v>-13.27</v>
      </c>
      <c r="S16" s="95">
        <f>1849.81/220*R16</f>
        <v>-111.5771759090909</v>
      </c>
      <c r="T16" s="6"/>
      <c r="U16" s="6"/>
    </row>
    <row r="17" spans="1:21">
      <c r="A17" s="89"/>
      <c r="B17" s="21" t="s">
        <v>38</v>
      </c>
      <c r="C17" s="21" t="s">
        <v>21</v>
      </c>
      <c r="D17" s="21" t="s">
        <v>22</v>
      </c>
      <c r="E17" s="21">
        <v>514320</v>
      </c>
      <c r="F17" s="21" t="s">
        <v>23</v>
      </c>
      <c r="G17" s="21"/>
      <c r="H17" s="26">
        <v>45313</v>
      </c>
      <c r="I17" s="26"/>
      <c r="J17" s="26"/>
      <c r="K17" s="27"/>
      <c r="L17" s="94">
        <v>2</v>
      </c>
      <c r="M17" s="3" t="e">
        <f>#REF!</f>
        <v>#REF!</v>
      </c>
      <c r="N17" s="3">
        <v>2331.35</v>
      </c>
      <c r="O17" s="3" t="e">
        <f>#REF!</f>
        <v>#REF!</v>
      </c>
      <c r="P17" s="93" t="e">
        <f t="shared" si="0"/>
        <v>#REF!</v>
      </c>
      <c r="Q17" s="13"/>
      <c r="R17" s="98">
        <v>-0.16</v>
      </c>
      <c r="S17" s="95">
        <f>1849.81/220*R17</f>
        <v>-1.3453163636363636</v>
      </c>
      <c r="T17" s="6"/>
      <c r="U17" s="6"/>
    </row>
    <row r="18" spans="1:21">
      <c r="A18" s="89"/>
      <c r="B18" s="21" t="s">
        <v>39</v>
      </c>
      <c r="C18" s="21" t="s">
        <v>21</v>
      </c>
      <c r="D18" s="21" t="s">
        <v>40</v>
      </c>
      <c r="E18" s="21"/>
      <c r="F18" s="21" t="s">
        <v>23</v>
      </c>
      <c r="G18" s="21"/>
      <c r="H18" s="26">
        <v>45281</v>
      </c>
      <c r="I18" s="26"/>
      <c r="J18" s="21"/>
      <c r="K18" s="27"/>
      <c r="L18" s="94">
        <v>3</v>
      </c>
      <c r="M18" s="3" t="e">
        <f>#REF!</f>
        <v>#REF!</v>
      </c>
      <c r="N18" s="14" t="e">
        <f>#REF!</f>
        <v>#REF!</v>
      </c>
      <c r="O18" s="14" t="e">
        <f>#REF!</f>
        <v>#REF!</v>
      </c>
      <c r="P18" s="93" t="e">
        <f t="shared" si="0"/>
        <v>#REF!</v>
      </c>
      <c r="Q18" s="13"/>
      <c r="R18" s="75"/>
      <c r="S18" s="82"/>
    </row>
    <row r="19" spans="1:21">
      <c r="A19" s="89"/>
      <c r="B19" s="21" t="e">
        <f>#REF!</f>
        <v>#REF!</v>
      </c>
      <c r="C19" s="21" t="s">
        <v>25</v>
      </c>
      <c r="D19" s="21" t="s">
        <v>41</v>
      </c>
      <c r="E19" s="21"/>
      <c r="F19" s="21" t="s">
        <v>23</v>
      </c>
      <c r="G19" s="21" t="s">
        <v>42</v>
      </c>
      <c r="H19" s="26">
        <v>44138</v>
      </c>
      <c r="I19" s="21"/>
      <c r="J19" s="21"/>
      <c r="K19" s="27">
        <v>0</v>
      </c>
      <c r="L19" s="94">
        <v>39</v>
      </c>
      <c r="M19" s="3" t="e">
        <f>#REF!</f>
        <v>#REF!</v>
      </c>
      <c r="N19" s="14" t="e">
        <f>#REF!</f>
        <v>#REF!</v>
      </c>
      <c r="O19" s="14" t="e">
        <f>#REF!</f>
        <v>#REF!</v>
      </c>
      <c r="P19" s="93" t="e">
        <f t="shared" si="0"/>
        <v>#REF!</v>
      </c>
      <c r="Q19" s="13"/>
      <c r="R19" s="75"/>
      <c r="S19" s="82"/>
    </row>
    <row r="20" spans="1:21">
      <c r="A20" s="89"/>
      <c r="B20" s="21" t="e">
        <f>#REF!</f>
        <v>#REF!</v>
      </c>
      <c r="C20" s="21" t="s">
        <v>25</v>
      </c>
      <c r="D20" s="21" t="s">
        <v>41</v>
      </c>
      <c r="E20" s="21"/>
      <c r="F20" s="21" t="s">
        <v>23</v>
      </c>
      <c r="G20" s="21" t="s">
        <v>42</v>
      </c>
      <c r="H20" s="26">
        <v>44138</v>
      </c>
      <c r="I20" s="21"/>
      <c r="J20" s="21"/>
      <c r="K20" s="27">
        <v>0</v>
      </c>
      <c r="L20" s="94">
        <v>39</v>
      </c>
      <c r="M20" s="3" t="e">
        <f>#REF!</f>
        <v>#REF!</v>
      </c>
      <c r="N20" s="14" t="e">
        <f>#REF!</f>
        <v>#REF!</v>
      </c>
      <c r="O20" s="14" t="e">
        <f>#REF!</f>
        <v>#REF!</v>
      </c>
      <c r="P20" s="93" t="e">
        <f t="shared" si="0"/>
        <v>#REF!</v>
      </c>
      <c r="Q20" s="13"/>
      <c r="R20" s="74"/>
      <c r="S20" s="82"/>
    </row>
    <row r="21" spans="1:21">
      <c r="A21" s="89"/>
      <c r="B21" s="21" t="s">
        <v>43</v>
      </c>
      <c r="C21" s="21" t="s">
        <v>21</v>
      </c>
      <c r="D21" s="21" t="s">
        <v>41</v>
      </c>
      <c r="E21" s="21"/>
      <c r="F21" s="21" t="s">
        <v>23</v>
      </c>
      <c r="G21" s="21"/>
      <c r="H21" s="26">
        <v>45302</v>
      </c>
      <c r="I21" s="21"/>
      <c r="J21" s="21"/>
      <c r="K21" s="27"/>
      <c r="L21" s="94">
        <v>2</v>
      </c>
      <c r="M21" s="3" t="e">
        <f>#REF!</f>
        <v>#REF!</v>
      </c>
      <c r="N21" s="14" t="e">
        <f>#REF!</f>
        <v>#REF!</v>
      </c>
      <c r="O21" s="14" t="e">
        <f>#REF!</f>
        <v>#REF!</v>
      </c>
      <c r="P21" s="93" t="e">
        <f t="shared" si="0"/>
        <v>#REF!</v>
      </c>
      <c r="Q21" s="13"/>
      <c r="R21" s="74"/>
      <c r="S21" s="82"/>
    </row>
    <row r="22" spans="1:21">
      <c r="A22" s="89"/>
      <c r="B22" s="21" t="s">
        <v>44</v>
      </c>
      <c r="C22" s="21" t="s">
        <v>45</v>
      </c>
      <c r="D22" s="21" t="s">
        <v>41</v>
      </c>
      <c r="E22" s="21"/>
      <c r="F22" s="21" t="s">
        <v>23</v>
      </c>
      <c r="G22" s="21"/>
      <c r="H22" s="26">
        <v>44774</v>
      </c>
      <c r="I22" s="21"/>
      <c r="J22" s="21"/>
      <c r="K22" s="27"/>
      <c r="L22" s="94">
        <v>19</v>
      </c>
      <c r="M22" s="3" t="e">
        <f>#REF!</f>
        <v>#REF!</v>
      </c>
      <c r="N22" s="3">
        <v>1000</v>
      </c>
      <c r="O22" s="3">
        <v>1000</v>
      </c>
      <c r="P22" s="93" t="e">
        <f t="shared" si="0"/>
        <v>#REF!</v>
      </c>
      <c r="Q22" s="13"/>
      <c r="R22" s="74"/>
      <c r="S22" s="82"/>
    </row>
    <row r="23" spans="1:21">
      <c r="A23" s="89"/>
      <c r="B23" s="21" t="e">
        <f>#REF!</f>
        <v>#REF!</v>
      </c>
      <c r="C23" s="21" t="s">
        <v>25</v>
      </c>
      <c r="D23" s="21" t="s">
        <v>41</v>
      </c>
      <c r="E23" s="21"/>
      <c r="F23" s="21" t="s">
        <v>23</v>
      </c>
      <c r="G23" s="21" t="s">
        <v>42</v>
      </c>
      <c r="H23" s="26">
        <v>44270</v>
      </c>
      <c r="J23" s="21"/>
      <c r="K23" s="27">
        <v>0</v>
      </c>
      <c r="L23" s="94">
        <v>36</v>
      </c>
      <c r="M23" s="3" t="e">
        <f>#REF!</f>
        <v>#REF!</v>
      </c>
      <c r="N23" s="3">
        <v>5481.06</v>
      </c>
      <c r="O23" s="3">
        <v>5481.06</v>
      </c>
      <c r="P23" s="93" t="e">
        <f t="shared" si="0"/>
        <v>#REF!</v>
      </c>
      <c r="Q23" s="13"/>
      <c r="R23" s="74"/>
      <c r="S23" s="82"/>
    </row>
    <row r="24" spans="1:21">
      <c r="A24" s="89"/>
      <c r="B24" s="21" t="s">
        <v>46</v>
      </c>
      <c r="C24" s="21" t="s">
        <v>21</v>
      </c>
      <c r="D24" s="21" t="s">
        <v>41</v>
      </c>
      <c r="E24" s="21"/>
      <c r="F24" s="21" t="s">
        <v>23</v>
      </c>
      <c r="G24" s="21"/>
      <c r="H24" s="26">
        <v>45264</v>
      </c>
      <c r="I24" s="26"/>
      <c r="J24" s="26"/>
      <c r="K24" s="27"/>
      <c r="L24" s="94">
        <v>3</v>
      </c>
      <c r="M24" s="3">
        <v>16588.71</v>
      </c>
      <c r="N24" s="3" t="e">
        <f>#REF!</f>
        <v>#REF!</v>
      </c>
      <c r="O24" s="3" t="e">
        <f>#REF!</f>
        <v>#REF!</v>
      </c>
      <c r="P24" s="93">
        <f t="shared" si="0"/>
        <v>5529.57</v>
      </c>
      <c r="Q24" s="13"/>
      <c r="R24" s="74"/>
      <c r="S24" s="97"/>
    </row>
    <row r="25" spans="1:21">
      <c r="A25" s="89"/>
      <c r="B25" s="21" t="s">
        <v>47</v>
      </c>
      <c r="C25" s="21" t="s">
        <v>21</v>
      </c>
      <c r="D25" s="21" t="s">
        <v>41</v>
      </c>
      <c r="E25" s="21"/>
      <c r="F25" s="21" t="s">
        <v>23</v>
      </c>
      <c r="G25" s="21" t="s">
        <v>42</v>
      </c>
      <c r="H25" s="26">
        <v>45348</v>
      </c>
      <c r="J25" s="26"/>
      <c r="K25" s="27">
        <v>5</v>
      </c>
      <c r="L25" s="94">
        <v>1</v>
      </c>
      <c r="M25" s="3">
        <v>4836.21</v>
      </c>
      <c r="N25" s="3" t="e">
        <f>#REF!</f>
        <v>#REF!</v>
      </c>
      <c r="O25" s="3" t="e">
        <f>#REF!</f>
        <v>#REF!</v>
      </c>
      <c r="P25" s="93">
        <f t="shared" si="0"/>
        <v>4836.21</v>
      </c>
      <c r="Q25" s="13"/>
      <c r="R25" s="75"/>
      <c r="S25" s="87"/>
      <c r="T25" s="6"/>
    </row>
    <row r="26" spans="1:21">
      <c r="A26" s="89"/>
      <c r="B26" s="21" t="s">
        <v>48</v>
      </c>
      <c r="C26" s="21" t="s">
        <v>49</v>
      </c>
      <c r="D26" s="21" t="s">
        <v>41</v>
      </c>
      <c r="E26" s="21"/>
      <c r="F26" s="21" t="s">
        <v>23</v>
      </c>
      <c r="G26" s="21"/>
      <c r="H26" s="26">
        <v>45348</v>
      </c>
      <c r="I26" s="26"/>
      <c r="J26" s="26"/>
      <c r="K26" s="27"/>
      <c r="L26" s="94">
        <v>1</v>
      </c>
      <c r="M26" s="3">
        <v>3413.79</v>
      </c>
      <c r="N26" s="3" t="e">
        <f>#REF!</f>
        <v>#REF!</v>
      </c>
      <c r="O26" s="3" t="e">
        <f>#REF!</f>
        <v>#REF!</v>
      </c>
      <c r="P26" s="93">
        <f t="shared" si="0"/>
        <v>3413.79</v>
      </c>
      <c r="Q26" s="13"/>
      <c r="R26" s="74"/>
      <c r="S26" s="82"/>
    </row>
    <row r="27" spans="1:21">
      <c r="A27" s="89"/>
      <c r="B27" s="21" t="s">
        <v>50</v>
      </c>
      <c r="C27" s="21" t="s">
        <v>51</v>
      </c>
      <c r="D27" s="21" t="s">
        <v>41</v>
      </c>
      <c r="E27" s="21"/>
      <c r="F27" s="21" t="s">
        <v>23</v>
      </c>
      <c r="G27" s="21"/>
      <c r="H27" s="26">
        <v>44907</v>
      </c>
      <c r="I27" s="26"/>
      <c r="J27" s="21"/>
      <c r="K27" s="27">
        <v>0</v>
      </c>
      <c r="L27" s="94">
        <v>15</v>
      </c>
      <c r="M27" s="3" t="e">
        <f>#REF!</f>
        <v>#REF!</v>
      </c>
      <c r="N27" s="12" t="e">
        <f>#REF!</f>
        <v>#REF!</v>
      </c>
      <c r="O27" s="12" t="e">
        <f>#REF!</f>
        <v>#REF!</v>
      </c>
      <c r="P27" s="93" t="e">
        <f t="shared" si="0"/>
        <v>#REF!</v>
      </c>
      <c r="Q27" s="13"/>
      <c r="R27" s="74"/>
      <c r="S27" s="82"/>
    </row>
    <row r="28" spans="1:21">
      <c r="A28" s="89"/>
      <c r="B28" s="21" t="e">
        <f>#REF!</f>
        <v>#REF!</v>
      </c>
      <c r="C28" s="21" t="s">
        <v>49</v>
      </c>
      <c r="D28" s="21" t="s">
        <v>41</v>
      </c>
      <c r="E28" s="21"/>
      <c r="F28" s="21" t="s">
        <v>23</v>
      </c>
      <c r="G28" s="21" t="s">
        <v>42</v>
      </c>
      <c r="H28" s="26">
        <v>44046</v>
      </c>
      <c r="I28" s="26"/>
      <c r="J28" s="26"/>
      <c r="K28" s="27">
        <v>0</v>
      </c>
      <c r="L28" s="94">
        <f>(J$36-H28)/30</f>
        <v>42.93333333333333</v>
      </c>
      <c r="M28" s="3" t="e">
        <f>#REF!</f>
        <v>#REF!</v>
      </c>
      <c r="N28" s="12">
        <v>3000</v>
      </c>
      <c r="O28" s="12">
        <v>3000</v>
      </c>
      <c r="P28" s="93" t="e">
        <f t="shared" si="0"/>
        <v>#REF!</v>
      </c>
      <c r="Q28" s="13"/>
      <c r="R28" s="74"/>
      <c r="S28" s="82"/>
    </row>
    <row r="29" spans="1:21">
      <c r="A29" s="89"/>
      <c r="B29" s="21" t="e">
        <f>#REF!</f>
        <v>#REF!</v>
      </c>
      <c r="C29" s="21" t="s">
        <v>52</v>
      </c>
      <c r="D29" s="21" t="s">
        <v>41</v>
      </c>
      <c r="E29" s="21"/>
      <c r="F29" s="21" t="s">
        <v>23</v>
      </c>
      <c r="G29" s="21" t="s">
        <v>53</v>
      </c>
      <c r="H29" s="26"/>
      <c r="I29" s="26"/>
      <c r="J29" s="21"/>
      <c r="K29" s="27">
        <v>0</v>
      </c>
      <c r="L29" s="94"/>
      <c r="M29" s="3" t="e">
        <f>#REF!</f>
        <v>#REF!</v>
      </c>
      <c r="N29" s="14" t="e">
        <f>#REF!</f>
        <v>#REF!</v>
      </c>
      <c r="O29" s="14" t="e">
        <f>#REF!</f>
        <v>#REF!</v>
      </c>
      <c r="P29" s="93"/>
      <c r="Q29" s="13"/>
      <c r="R29" s="74"/>
      <c r="S29" s="82"/>
      <c r="U29" s="100"/>
    </row>
    <row r="30" spans="1:21">
      <c r="A30" s="89"/>
      <c r="B30" s="21" t="s">
        <v>54</v>
      </c>
      <c r="C30" s="21" t="s">
        <v>55</v>
      </c>
      <c r="D30" s="21" t="s">
        <v>41</v>
      </c>
      <c r="E30" s="21"/>
      <c r="F30" s="21" t="s">
        <v>23</v>
      </c>
      <c r="G30" s="21"/>
      <c r="H30" s="26">
        <v>45078</v>
      </c>
      <c r="I30" s="26"/>
      <c r="J30" s="21"/>
      <c r="K30" s="27">
        <v>0</v>
      </c>
      <c r="L30" s="94">
        <f>(J$36-H30)/30</f>
        <v>8.5333333333333332</v>
      </c>
      <c r="M30" s="3" t="e">
        <f>#REF!</f>
        <v>#REF!</v>
      </c>
      <c r="N30" s="14" t="e">
        <f>#REF!</f>
        <v>#REF!</v>
      </c>
      <c r="O30" s="14">
        <v>2000</v>
      </c>
      <c r="P30" s="93" t="e">
        <f t="shared" si="0"/>
        <v>#REF!</v>
      </c>
      <c r="Q30" s="42"/>
      <c r="R30" s="74"/>
      <c r="S30" s="82"/>
    </row>
    <row r="31" spans="1:21">
      <c r="A31" s="89"/>
      <c r="B31" s="21" t="s">
        <v>56</v>
      </c>
      <c r="C31" s="21" t="s">
        <v>25</v>
      </c>
      <c r="D31" s="21" t="s">
        <v>41</v>
      </c>
      <c r="E31" s="21"/>
      <c r="F31" s="21" t="s">
        <v>23</v>
      </c>
      <c r="G31" s="21"/>
      <c r="H31" s="26">
        <v>45028</v>
      </c>
      <c r="I31" s="26"/>
      <c r="J31" s="21"/>
      <c r="K31" s="27">
        <v>0</v>
      </c>
      <c r="L31" s="94">
        <v>11</v>
      </c>
      <c r="M31" s="3" t="e">
        <f>#REF!</f>
        <v>#REF!</v>
      </c>
      <c r="N31" s="14" t="e">
        <f>#REF!</f>
        <v>#REF!</v>
      </c>
      <c r="O31" s="14" t="e">
        <f>#REF!</f>
        <v>#REF!</v>
      </c>
      <c r="P31" s="93" t="e">
        <f t="shared" si="0"/>
        <v>#REF!</v>
      </c>
      <c r="Q31" s="42"/>
      <c r="R31" s="74"/>
      <c r="S31" s="82"/>
    </row>
    <row r="32" spans="1:21">
      <c r="A32" s="89"/>
      <c r="B32" s="21" t="s">
        <v>57</v>
      </c>
      <c r="C32" s="21" t="s">
        <v>49</v>
      </c>
      <c r="D32" s="21" t="s">
        <v>41</v>
      </c>
      <c r="E32" s="21"/>
      <c r="F32" s="21" t="s">
        <v>23</v>
      </c>
      <c r="G32" s="21"/>
      <c r="H32" s="26">
        <v>44851</v>
      </c>
      <c r="I32" s="26"/>
      <c r="J32" s="21"/>
      <c r="K32" s="27">
        <v>0</v>
      </c>
      <c r="L32" s="94">
        <v>17</v>
      </c>
      <c r="M32" s="3" t="e">
        <f>#REF!</f>
        <v>#REF!</v>
      </c>
      <c r="N32" s="14" t="e">
        <f>#REF!</f>
        <v>#REF!</v>
      </c>
      <c r="O32" s="14" t="e">
        <f>#REF!</f>
        <v>#REF!</v>
      </c>
      <c r="P32" s="93" t="e">
        <f t="shared" si="0"/>
        <v>#REF!</v>
      </c>
      <c r="Q32" s="42"/>
      <c r="R32" s="74"/>
      <c r="S32" s="82"/>
    </row>
    <row r="33" spans="1:19">
      <c r="A33" s="89"/>
      <c r="B33" s="21" t="s">
        <v>58</v>
      </c>
      <c r="C33" s="21" t="s">
        <v>27</v>
      </c>
      <c r="D33" s="21" t="s">
        <v>41</v>
      </c>
      <c r="E33" s="21"/>
      <c r="F33" s="21" t="s">
        <v>23</v>
      </c>
      <c r="G33" s="21"/>
      <c r="H33" s="26"/>
      <c r="I33" s="26"/>
      <c r="J33" s="21"/>
      <c r="K33" s="27">
        <v>0</v>
      </c>
      <c r="L33" s="94">
        <f>(J$36-H33)/30</f>
        <v>1511.1333333333334</v>
      </c>
      <c r="M33" s="3" t="e">
        <f>#REF!</f>
        <v>#REF!</v>
      </c>
      <c r="N33" s="28" t="e">
        <f>#REF!</f>
        <v>#REF!</v>
      </c>
      <c r="O33" s="28" t="e">
        <f>#REF!</f>
        <v>#REF!</v>
      </c>
      <c r="P33" s="93" t="e">
        <f t="shared" si="0"/>
        <v>#REF!</v>
      </c>
      <c r="Q33" s="42"/>
      <c r="R33" s="74"/>
      <c r="S33" s="82"/>
    </row>
    <row r="34" spans="1:19" ht="15" thickBot="1">
      <c r="A34" s="89"/>
      <c r="B34" s="21" t="s">
        <v>59</v>
      </c>
      <c r="C34" s="21" t="s">
        <v>21</v>
      </c>
      <c r="D34" s="21" t="s">
        <v>41</v>
      </c>
      <c r="E34" s="21"/>
      <c r="F34" s="21" t="s">
        <v>23</v>
      </c>
      <c r="G34" s="21"/>
      <c r="H34" s="26">
        <v>44851</v>
      </c>
      <c r="I34" s="21"/>
      <c r="J34" s="21"/>
      <c r="K34" s="27">
        <v>0</v>
      </c>
      <c r="L34" s="94">
        <v>17</v>
      </c>
      <c r="M34" s="3" t="e">
        <f>#REF!</f>
        <v>#REF!</v>
      </c>
      <c r="N34" s="19" t="e">
        <f>#REF!</f>
        <v>#REF!</v>
      </c>
      <c r="O34" s="19" t="e">
        <f>#REF!</f>
        <v>#REF!</v>
      </c>
      <c r="P34" s="93" t="e">
        <f t="shared" si="0"/>
        <v>#REF!</v>
      </c>
      <c r="Q34" s="42"/>
      <c r="R34" s="74"/>
      <c r="S34" s="82"/>
    </row>
    <row r="35" spans="1:19" ht="15" thickBot="1">
      <c r="A35" s="89"/>
      <c r="B35" s="69" t="s">
        <v>60</v>
      </c>
      <c r="C35" s="69"/>
      <c r="D35" s="69"/>
      <c r="E35" s="69"/>
      <c r="F35" s="69"/>
      <c r="G35" s="70"/>
      <c r="H35" s="71"/>
      <c r="I35" s="72"/>
      <c r="J35" s="101"/>
      <c r="K35" s="69"/>
      <c r="L35" s="69"/>
      <c r="M35" s="73" t="e">
        <f>SUM(M5:M34)</f>
        <v>#REF!</v>
      </c>
      <c r="N35" s="73" t="e">
        <f>SUM(N5:N34)</f>
        <v>#REF!</v>
      </c>
      <c r="O35" s="73" t="e">
        <f>SUM(O5:O34)</f>
        <v>#REF!</v>
      </c>
      <c r="P35" s="73" t="e">
        <f>SUM(P5:P34)</f>
        <v>#REF!</v>
      </c>
      <c r="Q35" s="73">
        <f>SUM(Q7:Q34)</f>
        <v>0</v>
      </c>
      <c r="R35" s="88">
        <f>R14+R13+R12+R11+R7</f>
        <v>40.349999999999994</v>
      </c>
      <c r="S35" s="78">
        <f>S14+S13+S12+S11+S7</f>
        <v>508.41</v>
      </c>
    </row>
    <row r="36" spans="1:19" ht="15" thickBot="1">
      <c r="B36" s="25"/>
      <c r="C36" s="25"/>
      <c r="D36" s="25"/>
      <c r="E36" s="25"/>
      <c r="F36" s="25"/>
      <c r="I36" s="84">
        <v>45268</v>
      </c>
      <c r="J36" s="84">
        <v>45334</v>
      </c>
      <c r="K36" s="25"/>
      <c r="L36" s="25"/>
      <c r="M36" s="83"/>
      <c r="N36" s="56"/>
      <c r="O36" s="56"/>
      <c r="P36" s="56"/>
      <c r="Q36" s="56"/>
      <c r="R36" s="102">
        <f>R17+R16+R15+R9+R6+R5</f>
        <v>-39.22</v>
      </c>
      <c r="S36" s="103">
        <f>S17+S16+S15+S9+S6+S5</f>
        <v>-329.7706736363636</v>
      </c>
    </row>
    <row r="37" spans="1:19">
      <c r="I37" s="8"/>
      <c r="M37" s="6"/>
      <c r="R37" s="50"/>
      <c r="S37" s="51"/>
    </row>
    <row r="38" spans="1:19">
      <c r="I38" s="8"/>
      <c r="M38" s="6"/>
      <c r="N38" s="6"/>
      <c r="O38" s="6"/>
      <c r="R38" s="76" t="s">
        <v>22</v>
      </c>
      <c r="S38" s="76" t="s">
        <v>41</v>
      </c>
    </row>
    <row r="39" spans="1:19">
      <c r="I39" s="8"/>
      <c r="R39" s="76" t="e">
        <f>SUM(
O5:O17)</f>
        <v>#REF!</v>
      </c>
      <c r="S39" s="76" t="e">
        <f>SUM(O18:O34)</f>
        <v>#REF!</v>
      </c>
    </row>
    <row r="40" spans="1:19">
      <c r="I40" s="8"/>
      <c r="P40" s="6"/>
      <c r="R40" s="50"/>
    </row>
    <row r="41" spans="1:19">
      <c r="I41" s="8"/>
      <c r="R41" s="50"/>
      <c r="S41" s="51" t="e">
        <f>SUM(R39:S39)</f>
        <v>#REF!</v>
      </c>
    </row>
    <row r="42" spans="1:19">
      <c r="I42" s="8"/>
    </row>
    <row r="43" spans="1:19">
      <c r="I43" s="8"/>
    </row>
    <row r="44" spans="1:19">
      <c r="I44" s="8"/>
    </row>
    <row r="45" spans="1:19">
      <c r="I45" s="8"/>
    </row>
    <row r="46" spans="1:19">
      <c r="I46" s="8"/>
    </row>
  </sheetData>
  <mergeCells count="2">
    <mergeCell ref="A3:Q3"/>
    <mergeCell ref="R3:S3"/>
  </mergeCells>
  <pageMargins left="0.51181102362204722" right="0.51181102362204722" top="0.78740157480314965" bottom="0.78740157480314965" header="0.31496062992125984" footer="0.31496062992125984"/>
  <pageSetup paperSize="9" scale="53" fitToHeight="2" orientation="landscape" r:id="rId1"/>
  <headerFooter>
    <oddHeader>&amp;C
Relatório de Custos CLTs MEIs - Ativo - MBR
Ciclo 01/2024&amp;R&amp;G</oddHeader>
    <oddFooter>&amp;C
01/01&amp;R12/02/2024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3568-92AC-4014-96A2-8CD6611B9EAC}">
  <dimension ref="A1:AC17"/>
  <sheetViews>
    <sheetView zoomScale="120" zoomScaleNormal="120" workbookViewId="0">
      <selection activeCell="U4" sqref="U4"/>
    </sheetView>
  </sheetViews>
  <sheetFormatPr defaultRowHeight="14.45"/>
  <cols>
    <col min="1" max="1" width="40.140625" bestFit="1" customWidth="1"/>
    <col min="2" max="2" width="16.7109375" bestFit="1" customWidth="1"/>
    <col min="3" max="3" width="11" bestFit="1" customWidth="1"/>
    <col min="4" max="4" width="8.140625" hidden="1" customWidth="1"/>
    <col min="5" max="5" width="12" hidden="1" customWidth="1"/>
    <col min="6" max="6" width="8.140625" hidden="1" customWidth="1"/>
    <col min="7" max="7" width="10.28515625" style="18" hidden="1" customWidth="1"/>
    <col min="8" max="8" width="6.28515625" hidden="1" customWidth="1"/>
    <col min="9" max="9" width="10.28515625" style="18" hidden="1" customWidth="1"/>
    <col min="10" max="10" width="6.28515625" hidden="1" customWidth="1"/>
    <col min="11" max="11" width="9.28515625" style="18" hidden="1" customWidth="1"/>
    <col min="12" max="12" width="8.140625" hidden="1" customWidth="1"/>
    <col min="13" max="13" width="10.28515625" style="18" hidden="1" customWidth="1"/>
    <col min="14" max="14" width="9.140625" hidden="1" customWidth="1"/>
    <col min="15" max="15" width="11.85546875" style="18" hidden="1" customWidth="1"/>
    <col min="16" max="16" width="8.140625" hidden="1" customWidth="1"/>
    <col min="17" max="17" width="10.28515625" style="18" hidden="1" customWidth="1"/>
    <col min="18" max="18" width="10.140625" style="18" bestFit="1" customWidth="1"/>
    <col min="19" max="19" width="11.85546875" style="18" bestFit="1" customWidth="1"/>
    <col min="20" max="25" width="10.28515625" style="18" customWidth="1"/>
    <col min="26" max="26" width="9.140625" bestFit="1" customWidth="1"/>
    <col min="27" max="27" width="11.85546875" style="18" bestFit="1" customWidth="1"/>
    <col min="28" max="28" width="10.28515625" bestFit="1" customWidth="1"/>
    <col min="29" max="29" width="20.7109375" bestFit="1" customWidth="1"/>
  </cols>
  <sheetData>
    <row r="1" spans="1:29">
      <c r="A1" s="279" t="s">
        <v>61</v>
      </c>
      <c r="B1" s="280"/>
      <c r="C1" s="281"/>
      <c r="D1" s="278" t="s">
        <v>62</v>
      </c>
      <c r="E1" s="278"/>
      <c r="F1" s="282">
        <v>44562</v>
      </c>
      <c r="G1" s="278"/>
      <c r="H1" s="282">
        <v>44593</v>
      </c>
      <c r="I1" s="278"/>
      <c r="J1" s="282">
        <v>44621</v>
      </c>
      <c r="K1" s="278"/>
      <c r="L1" s="282">
        <v>44652</v>
      </c>
      <c r="M1" s="278"/>
      <c r="N1" s="282">
        <v>44682</v>
      </c>
      <c r="O1" s="278"/>
      <c r="P1" s="282">
        <v>44713</v>
      </c>
      <c r="Q1" s="278"/>
      <c r="R1" s="283" t="s">
        <v>63</v>
      </c>
      <c r="S1" s="284"/>
      <c r="T1" s="283" t="s">
        <v>64</v>
      </c>
      <c r="U1" s="284"/>
      <c r="V1" s="283" t="s">
        <v>65</v>
      </c>
      <c r="W1" s="284"/>
      <c r="X1" s="283" t="s">
        <v>66</v>
      </c>
      <c r="Y1" s="284"/>
      <c r="Z1" s="278" t="s">
        <v>67</v>
      </c>
      <c r="AA1" s="278"/>
    </row>
    <row r="2" spans="1:29">
      <c r="A2" s="37" t="s">
        <v>68</v>
      </c>
      <c r="B2" s="37" t="s">
        <v>69</v>
      </c>
      <c r="C2" s="37" t="s">
        <v>70</v>
      </c>
      <c r="D2" s="37" t="s">
        <v>71</v>
      </c>
      <c r="E2" s="37" t="s">
        <v>72</v>
      </c>
      <c r="F2" s="37" t="s">
        <v>71</v>
      </c>
      <c r="G2" s="37" t="s">
        <v>72</v>
      </c>
      <c r="H2" s="37" t="s">
        <v>71</v>
      </c>
      <c r="I2" s="37" t="s">
        <v>72</v>
      </c>
      <c r="J2" s="37" t="s">
        <v>71</v>
      </c>
      <c r="K2" s="37" t="s">
        <v>72</v>
      </c>
      <c r="L2" s="37" t="s">
        <v>71</v>
      </c>
      <c r="M2" s="37" t="s">
        <v>72</v>
      </c>
      <c r="N2" s="37" t="s">
        <v>71</v>
      </c>
      <c r="O2" s="37" t="s">
        <v>72</v>
      </c>
      <c r="P2" s="37" t="s">
        <v>71</v>
      </c>
      <c r="Q2" s="37" t="s">
        <v>72</v>
      </c>
      <c r="R2" s="37" t="s">
        <v>71</v>
      </c>
      <c r="S2" s="37" t="s">
        <v>19</v>
      </c>
      <c r="T2" s="37" t="s">
        <v>73</v>
      </c>
      <c r="U2" s="37" t="s">
        <v>19</v>
      </c>
      <c r="V2" s="37" t="s">
        <v>73</v>
      </c>
      <c r="W2" s="37" t="s">
        <v>19</v>
      </c>
      <c r="X2" s="37" t="s">
        <v>73</v>
      </c>
      <c r="Y2" s="37" t="s">
        <v>19</v>
      </c>
      <c r="Z2" s="37" t="s">
        <v>71</v>
      </c>
      <c r="AA2" s="37" t="s">
        <v>72</v>
      </c>
    </row>
    <row r="3" spans="1:29">
      <c r="A3" s="21" t="s">
        <v>74</v>
      </c>
      <c r="B3" s="32">
        <v>11.65</v>
      </c>
      <c r="C3" s="32">
        <f>B3/4</f>
        <v>2.9125000000000001</v>
      </c>
      <c r="D3" s="33">
        <v>0.64444444444444449</v>
      </c>
      <c r="E3" s="30">
        <f>(15.47*B3)+33.3011</f>
        <v>213.5266</v>
      </c>
      <c r="F3" s="34">
        <v>0.34513888888888888</v>
      </c>
      <c r="G3" s="19">
        <f>(8.28*B3)+17.82373</f>
        <v>114.28572999999999</v>
      </c>
      <c r="H3" s="34">
        <v>2.9861111111111113E-2</v>
      </c>
      <c r="I3" s="19">
        <f>(0.72*B3)+1.54989</f>
        <v>9.9378899999999994</v>
      </c>
      <c r="J3" s="34">
        <v>6.3194444444444442E-2</v>
      </c>
      <c r="K3" s="19">
        <f>(1.52*B3)+3.271989</f>
        <v>20.979989000000003</v>
      </c>
      <c r="L3" s="34">
        <v>0.375</v>
      </c>
      <c r="M3" s="19">
        <f>(9*B3)+19.37362</f>
        <v>124.22362000000001</v>
      </c>
      <c r="N3" s="35">
        <v>0.125</v>
      </c>
      <c r="O3" s="19">
        <f>(3*B3)+6.457873</f>
        <v>41.407873000000002</v>
      </c>
      <c r="P3" s="34">
        <v>0.55277777777777781</v>
      </c>
      <c r="Q3" s="19">
        <f>(13.27*B3)+28.56533</f>
        <v>183.16082999999998</v>
      </c>
      <c r="R3" s="41"/>
      <c r="S3" s="19"/>
      <c r="T3" s="61">
        <v>0.25138888888888888</v>
      </c>
      <c r="U3" s="42">
        <f>B3*6.03+14.05</f>
        <v>84.299500000000009</v>
      </c>
      <c r="V3" s="61">
        <v>0.17013888888888887</v>
      </c>
      <c r="W3" s="42">
        <f>B3*4.08+9.51</f>
        <v>57.042000000000002</v>
      </c>
      <c r="X3" s="42"/>
      <c r="Y3" s="42"/>
      <c r="Z3" s="57">
        <f>T3+V3</f>
        <v>0.42152777777777772</v>
      </c>
      <c r="AA3" s="58">
        <f>U3+W3</f>
        <v>141.3415</v>
      </c>
    </row>
    <row r="4" spans="1:29">
      <c r="A4" s="21" t="s">
        <v>75</v>
      </c>
      <c r="B4" s="32">
        <f>788.08/71.53</f>
        <v>11.017475185236965</v>
      </c>
      <c r="C4" s="32">
        <f>B4/4</f>
        <v>2.7543687963092411</v>
      </c>
      <c r="D4" s="35"/>
      <c r="E4" s="30"/>
      <c r="F4" s="35">
        <v>1.1965277777777776</v>
      </c>
      <c r="G4" s="19">
        <f>(28.72*B4)+58.4615</f>
        <v>374.88338732000562</v>
      </c>
      <c r="H4" s="34">
        <v>2.0833333333333333E-3</v>
      </c>
      <c r="I4" s="19">
        <f>(B4*0.05)+0.101778</f>
        <v>0.65265175926184826</v>
      </c>
      <c r="J4" s="34">
        <v>9.6527777777777768E-2</v>
      </c>
      <c r="K4" s="19">
        <f>(2.32*B4)+4.722516</f>
        <v>30.283058429749754</v>
      </c>
      <c r="L4" s="34">
        <v>0.36805555555555558</v>
      </c>
      <c r="M4" s="19">
        <f>(8.83*B4)+17.97406</f>
        <v>115.25836588564241</v>
      </c>
      <c r="N4" s="34">
        <v>0.98958333333333337</v>
      </c>
      <c r="O4" s="19">
        <f>(23.75*B4)+48.34473</f>
        <v>310.00976564937787</v>
      </c>
      <c r="P4" s="35">
        <v>1.4194444444444445</v>
      </c>
      <c r="Q4" s="19">
        <f>(34.07*B4)+69.35178</f>
        <v>444.71715956102338</v>
      </c>
      <c r="R4" s="41"/>
      <c r="S4" s="19"/>
      <c r="T4" s="62">
        <v>0.81805555555555554</v>
      </c>
      <c r="U4" s="28">
        <f>19.63*B4+43.25</f>
        <v>259.52303788620156</v>
      </c>
      <c r="V4" s="62">
        <v>9.930555555555555E-2</v>
      </c>
      <c r="W4" s="28">
        <f>B4*2.38+5.24</f>
        <v>31.461590940863978</v>
      </c>
      <c r="X4" s="28"/>
      <c r="Y4" s="28"/>
      <c r="Z4" s="74">
        <f>T4-V4</f>
        <v>0.71875</v>
      </c>
      <c r="AA4" s="75">
        <f>U4-W4</f>
        <v>228.06144694533759</v>
      </c>
    </row>
    <row r="5" spans="1:29" hidden="1">
      <c r="A5" s="21" t="s">
        <v>76</v>
      </c>
      <c r="B5" s="32">
        <f>2529.67/235.03</f>
        <v>10.763179168616773</v>
      </c>
      <c r="C5" s="32">
        <f t="shared" ref="C5:C11" si="0">B5/4</f>
        <v>2.6907947921541933</v>
      </c>
      <c r="D5" s="30"/>
      <c r="E5" s="30"/>
      <c r="F5" s="30"/>
      <c r="G5" s="19"/>
      <c r="H5" s="30"/>
      <c r="I5" s="19"/>
      <c r="J5" s="30"/>
      <c r="K5" s="19"/>
      <c r="L5" s="30"/>
      <c r="M5" s="19"/>
      <c r="N5" s="30"/>
      <c r="O5" s="19"/>
      <c r="P5" s="30"/>
      <c r="Q5" s="19"/>
      <c r="R5" s="41"/>
      <c r="S5" s="42"/>
      <c r="T5" s="46"/>
      <c r="U5" s="19"/>
      <c r="V5" s="46"/>
      <c r="W5" s="19"/>
      <c r="X5" s="19"/>
      <c r="Y5" s="19"/>
      <c r="Z5" s="74">
        <f t="shared" ref="Z5" si="1">T5</f>
        <v>0</v>
      </c>
      <c r="AA5" s="75">
        <f t="shared" ref="AA5:AA10" si="2">U5</f>
        <v>0</v>
      </c>
      <c r="AB5" s="6"/>
      <c r="AC5" s="6"/>
    </row>
    <row r="6" spans="1:29">
      <c r="A6" s="21" t="s">
        <v>77</v>
      </c>
      <c r="B6" s="32">
        <f>112.08/9.62</f>
        <v>11.650727650727651</v>
      </c>
      <c r="C6" s="32">
        <f t="shared" si="0"/>
        <v>2.9126819126819128</v>
      </c>
      <c r="D6" s="30"/>
      <c r="E6" s="30"/>
      <c r="F6" s="30"/>
      <c r="G6" s="19"/>
      <c r="H6" s="30"/>
      <c r="I6" s="19"/>
      <c r="J6" s="30"/>
      <c r="K6" s="19"/>
      <c r="L6" s="30"/>
      <c r="M6" s="19"/>
      <c r="N6" s="30"/>
      <c r="O6" s="19"/>
      <c r="P6" s="30"/>
      <c r="Q6" s="19"/>
      <c r="R6" s="65">
        <v>0.86458333333333337</v>
      </c>
      <c r="S6" s="42">
        <f>20.75*B6+48.35</f>
        <v>290.10259875259879</v>
      </c>
      <c r="T6" s="61">
        <v>0.88611111111111107</v>
      </c>
      <c r="U6" s="42">
        <f>21.27*B6+49.56</f>
        <v>297.37097713097717</v>
      </c>
      <c r="V6" s="63">
        <v>1.7048611111111112</v>
      </c>
      <c r="W6" s="42">
        <f>B6*40.92+95.35</f>
        <v>572.09777546777548</v>
      </c>
      <c r="X6" s="42"/>
      <c r="Y6" s="42"/>
      <c r="Z6" s="57">
        <f>T6+R6+V6</f>
        <v>3.4555555555555557</v>
      </c>
      <c r="AA6" s="58">
        <f>S6+U6+W6</f>
        <v>1159.5713513513515</v>
      </c>
      <c r="AB6" s="6"/>
      <c r="AC6" s="6"/>
    </row>
    <row r="7" spans="1:29">
      <c r="A7" s="21" t="s">
        <v>47</v>
      </c>
      <c r="B7" s="32">
        <f t="shared" ref="B7:B11" si="3">112.08/9.62</f>
        <v>11.650727650727651</v>
      </c>
      <c r="C7" s="32">
        <f t="shared" si="0"/>
        <v>2.9126819126819128</v>
      </c>
      <c r="D7" s="30"/>
      <c r="E7" s="30"/>
      <c r="F7" s="34"/>
      <c r="G7" s="19"/>
      <c r="H7" s="34">
        <v>0.51736111111111105</v>
      </c>
      <c r="I7" s="19">
        <f>(B7*12.42)+26.73574</f>
        <v>171.43777742203741</v>
      </c>
      <c r="J7" s="36">
        <v>4.3750000000000004E-2</v>
      </c>
      <c r="K7" s="19">
        <f>(B7*1.05)+2.260268</f>
        <v>14.493532033264033</v>
      </c>
      <c r="L7" s="35">
        <v>2.7736111111111108</v>
      </c>
      <c r="M7" s="19">
        <f>(66.57*B7)+143.301</f>
        <v>918.88993970893966</v>
      </c>
      <c r="N7" s="35">
        <v>4.354166666666667</v>
      </c>
      <c r="O7" s="19">
        <f>(104.5*B7)+224.9504</f>
        <v>1442.4514395010394</v>
      </c>
      <c r="P7" s="35">
        <v>2.1916666666666669</v>
      </c>
      <c r="Q7" s="19">
        <f>(52.6*B7)+113.2286</f>
        <v>726.05687442827445</v>
      </c>
      <c r="R7" s="65"/>
      <c r="S7" s="19"/>
      <c r="T7" s="63">
        <v>0.82500000000000007</v>
      </c>
      <c r="U7" s="42">
        <f>19.8*B7+46.14</f>
        <v>276.82440748440752</v>
      </c>
      <c r="V7" s="63"/>
      <c r="W7" s="42"/>
      <c r="X7" s="42"/>
      <c r="Y7" s="42"/>
      <c r="Z7" s="74">
        <f>T7+V7</f>
        <v>0.82500000000000007</v>
      </c>
      <c r="AA7" s="75">
        <f t="shared" si="2"/>
        <v>276.82440748440752</v>
      </c>
      <c r="AC7" s="6"/>
    </row>
    <row r="8" spans="1:29">
      <c r="A8" s="21" t="s">
        <v>78</v>
      </c>
      <c r="B8" s="32">
        <f t="shared" si="3"/>
        <v>11.650727650727651</v>
      </c>
      <c r="C8" s="32">
        <f t="shared" ref="C8" si="4">B8/4</f>
        <v>2.9126819126819128</v>
      </c>
      <c r="D8" s="30"/>
      <c r="E8" s="30"/>
      <c r="F8" s="34"/>
      <c r="G8" s="19"/>
      <c r="H8" s="34"/>
      <c r="I8" s="19"/>
      <c r="J8" s="36"/>
      <c r="K8" s="19"/>
      <c r="L8" s="35"/>
      <c r="M8" s="19"/>
      <c r="N8" s="35"/>
      <c r="O8" s="19"/>
      <c r="P8" s="35"/>
      <c r="Q8" s="19"/>
      <c r="R8" s="65"/>
      <c r="S8" s="19"/>
      <c r="T8" s="63"/>
      <c r="U8" s="42"/>
      <c r="V8" s="63">
        <v>0.74861111111111101</v>
      </c>
      <c r="W8" s="42">
        <f>B8*17.97+41.87</f>
        <v>251.2335758835759</v>
      </c>
      <c r="X8" s="42"/>
      <c r="Y8" s="42"/>
      <c r="Z8" s="57">
        <f>V8</f>
        <v>0.74861111111111101</v>
      </c>
      <c r="AA8" s="58">
        <f>W8</f>
        <v>251.2335758835759</v>
      </c>
      <c r="AC8" s="6"/>
    </row>
    <row r="9" spans="1:29">
      <c r="A9" s="21" t="s">
        <v>79</v>
      </c>
      <c r="B9" s="32">
        <f t="shared" si="3"/>
        <v>11.650727650727651</v>
      </c>
      <c r="C9" s="32">
        <f t="shared" si="0"/>
        <v>2.9126819126819128</v>
      </c>
      <c r="D9" s="30"/>
      <c r="E9" s="30"/>
      <c r="F9" s="34"/>
      <c r="G9" s="19"/>
      <c r="H9" s="34"/>
      <c r="I9" s="19"/>
      <c r="J9" s="36"/>
      <c r="K9" s="19"/>
      <c r="L9" s="35"/>
      <c r="M9" s="19"/>
      <c r="N9" s="35"/>
      <c r="O9" s="19"/>
      <c r="P9" s="35"/>
      <c r="Q9" s="19"/>
      <c r="R9" s="65"/>
      <c r="S9" s="19"/>
      <c r="T9" s="61">
        <v>0.18333333333333335</v>
      </c>
      <c r="U9" s="42">
        <f>4.4*B9+10.25</f>
        <v>61.51320166320167</v>
      </c>
      <c r="V9" s="61">
        <v>0.16041666666666668</v>
      </c>
      <c r="W9" s="42"/>
      <c r="X9" s="42"/>
      <c r="Y9" s="42"/>
      <c r="Z9" s="74">
        <f>T9+V9</f>
        <v>0.34375</v>
      </c>
      <c r="AA9" s="75">
        <f t="shared" si="2"/>
        <v>61.51320166320167</v>
      </c>
      <c r="AC9" s="6"/>
    </row>
    <row r="10" spans="1:29" hidden="1">
      <c r="A10" s="21" t="s">
        <v>80</v>
      </c>
      <c r="B10" s="32">
        <f t="shared" si="3"/>
        <v>11.650727650727651</v>
      </c>
      <c r="C10" s="32">
        <f t="shared" si="0"/>
        <v>2.9126819126819128</v>
      </c>
      <c r="D10" s="30"/>
      <c r="E10" s="30"/>
      <c r="F10" s="34"/>
      <c r="G10" s="19"/>
      <c r="H10" s="34"/>
      <c r="I10" s="19"/>
      <c r="J10" s="36"/>
      <c r="K10" s="19"/>
      <c r="L10" s="35"/>
      <c r="M10" s="19"/>
      <c r="N10" s="35"/>
      <c r="O10" s="19"/>
      <c r="P10" s="35"/>
      <c r="Q10" s="19"/>
      <c r="R10" s="65">
        <v>0.35972222222222222</v>
      </c>
      <c r="S10" s="19">
        <f>8.63*B10+20.11</f>
        <v>120.65577962577964</v>
      </c>
      <c r="T10" s="61">
        <v>0.47569444444444442</v>
      </c>
      <c r="U10" s="42">
        <f>11.42*B10+26.61</f>
        <v>159.66130977130979</v>
      </c>
      <c r="V10" s="61"/>
      <c r="W10" s="42"/>
      <c r="X10" s="42"/>
      <c r="Y10" s="42"/>
      <c r="Z10" s="74">
        <f>T10+R10</f>
        <v>0.8354166666666667</v>
      </c>
      <c r="AA10" s="75">
        <f t="shared" si="2"/>
        <v>159.66130977130979</v>
      </c>
      <c r="AC10" s="6"/>
    </row>
    <row r="11" spans="1:29">
      <c r="A11" s="21" t="s">
        <v>56</v>
      </c>
      <c r="B11" s="32">
        <f t="shared" si="3"/>
        <v>11.650727650727651</v>
      </c>
      <c r="C11" s="32">
        <f t="shared" si="0"/>
        <v>2.9126819126819128</v>
      </c>
      <c r="D11" s="30"/>
      <c r="E11" s="30"/>
      <c r="F11" s="30"/>
      <c r="G11" s="19"/>
      <c r="H11" s="30"/>
      <c r="I11" s="19"/>
      <c r="J11" s="30"/>
      <c r="K11" s="19"/>
      <c r="L11" s="30"/>
      <c r="M11" s="19"/>
      <c r="N11" s="30"/>
      <c r="O11" s="19"/>
      <c r="P11" s="30"/>
      <c r="Q11" s="19"/>
      <c r="R11" s="41">
        <v>6.6854166666666659</v>
      </c>
      <c r="S11" s="42">
        <f>(160.45*B11)+273.87</f>
        <v>2143.2292515592517</v>
      </c>
      <c r="T11" s="46">
        <v>0.63472222222222219</v>
      </c>
      <c r="U11" s="19">
        <f>15.17*B11+35.35</f>
        <v>212.09153846153845</v>
      </c>
      <c r="V11" s="46"/>
      <c r="W11" s="19"/>
      <c r="X11" s="19"/>
      <c r="Y11" s="19"/>
      <c r="Z11" s="74">
        <f>T11+R11+V11</f>
        <v>7.3201388888888879</v>
      </c>
      <c r="AA11" s="75">
        <f>U11+S11</f>
        <v>2355.3207900207899</v>
      </c>
    </row>
    <row r="12" spans="1:29">
      <c r="B12" s="31"/>
      <c r="C12" s="31"/>
      <c r="AC12" s="49"/>
    </row>
    <row r="16" spans="1:29">
      <c r="AA16" s="47"/>
    </row>
    <row r="17" spans="27:27">
      <c r="AA17" s="48"/>
    </row>
  </sheetData>
  <mergeCells count="13">
    <mergeCell ref="Z1:AA1"/>
    <mergeCell ref="A1:C1"/>
    <mergeCell ref="P1:Q1"/>
    <mergeCell ref="D1:E1"/>
    <mergeCell ref="F1:G1"/>
    <mergeCell ref="H1:I1"/>
    <mergeCell ref="J1:K1"/>
    <mergeCell ref="L1:M1"/>
    <mergeCell ref="N1:O1"/>
    <mergeCell ref="R1:S1"/>
    <mergeCell ref="T1:U1"/>
    <mergeCell ref="V1:W1"/>
    <mergeCell ref="X1:Y1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86F6-EE50-40AD-A9C0-121E398B8D3B}">
  <sheetPr>
    <pageSetUpPr fitToPage="1"/>
  </sheetPr>
  <dimension ref="A1:BW177"/>
  <sheetViews>
    <sheetView zoomScale="90" zoomScaleNormal="90" workbookViewId="0">
      <selection activeCell="B12" sqref="B12"/>
    </sheetView>
  </sheetViews>
  <sheetFormatPr defaultRowHeight="14.45"/>
  <cols>
    <col min="1" max="1" width="5.28515625" customWidth="1"/>
    <col min="2" max="2" width="40.5703125" customWidth="1"/>
    <col min="3" max="3" width="17" bestFit="1" customWidth="1"/>
    <col min="4" max="4" width="25.5703125" customWidth="1"/>
    <col min="5" max="5" width="30.7109375" bestFit="1" customWidth="1"/>
    <col min="6" max="6" width="22.5703125" bestFit="1" customWidth="1"/>
    <col min="7" max="7" width="7.28515625" bestFit="1" customWidth="1"/>
    <col min="8" max="8" width="7.7109375" bestFit="1" customWidth="1"/>
    <col min="9" max="9" width="9" bestFit="1" customWidth="1"/>
    <col min="10" max="10" width="12.7109375" customWidth="1"/>
    <col min="11" max="11" width="19" bestFit="1" customWidth="1"/>
    <col min="12" max="12" width="8.28515625" bestFit="1" customWidth="1"/>
    <col min="13" max="14" width="15.28515625" bestFit="1" customWidth="1"/>
    <col min="15" max="15" width="18.28515625" bestFit="1" customWidth="1"/>
    <col min="16" max="16" width="17" style="107" bestFit="1" customWidth="1"/>
    <col min="17" max="17" width="9.28515625" customWidth="1"/>
    <col min="18" max="18" width="9.42578125" customWidth="1"/>
    <col min="22" max="22" width="15.7109375" bestFit="1" customWidth="1"/>
  </cols>
  <sheetData>
    <row r="1" spans="1:17" s="107" customFormat="1" ht="15">
      <c r="A1" s="37" t="s">
        <v>1</v>
      </c>
      <c r="B1" s="37" t="s">
        <v>2</v>
      </c>
      <c r="C1" s="37" t="s">
        <v>81</v>
      </c>
      <c r="D1" s="37" t="s">
        <v>82</v>
      </c>
      <c r="E1" s="37" t="s">
        <v>83</v>
      </c>
      <c r="F1" s="37" t="s">
        <v>3</v>
      </c>
      <c r="G1" s="37" t="s">
        <v>4</v>
      </c>
      <c r="H1" s="37" t="s">
        <v>5</v>
      </c>
      <c r="I1" s="37" t="s">
        <v>6</v>
      </c>
      <c r="J1" s="37" t="s">
        <v>84</v>
      </c>
      <c r="K1" s="37" t="s">
        <v>85</v>
      </c>
      <c r="L1" s="37" t="s">
        <v>12</v>
      </c>
      <c r="M1" s="43" t="s">
        <v>86</v>
      </c>
      <c r="N1" s="43" t="s">
        <v>87</v>
      </c>
      <c r="O1" s="43" t="s">
        <v>16</v>
      </c>
      <c r="P1" s="43" t="s">
        <v>13</v>
      </c>
    </row>
    <row r="2" spans="1:17" s="107" customFormat="1">
      <c r="A2" s="219">
        <v>1</v>
      </c>
      <c r="B2" s="37" t="s">
        <v>88</v>
      </c>
      <c r="C2" s="106" t="s">
        <v>89</v>
      </c>
      <c r="D2" s="106" t="s">
        <v>90</v>
      </c>
      <c r="E2" s="106" t="s">
        <v>91</v>
      </c>
      <c r="F2" s="106" t="s">
        <v>25</v>
      </c>
      <c r="G2" s="106" t="s">
        <v>41</v>
      </c>
      <c r="H2" s="106"/>
      <c r="I2" s="106" t="s">
        <v>92</v>
      </c>
      <c r="J2" s="121">
        <v>44270</v>
      </c>
      <c r="K2" s="121">
        <v>45900</v>
      </c>
      <c r="L2" s="124">
        <f>DATEDIF(J2,K2,"m")</f>
        <v>53</v>
      </c>
      <c r="M2" s="105">
        <f>'MEI - NOVA'!P19</f>
        <v>2500</v>
      </c>
      <c r="N2" s="105">
        <f>'MEI - NOVA'!BN19</f>
        <v>7416.35</v>
      </c>
      <c r="O2" s="105">
        <f>'[2]Setor 1'!$H$9</f>
        <v>4122.3167999999996</v>
      </c>
      <c r="P2" s="105">
        <f>'MEI - NOVA'!BX19</f>
        <v>230686.49000000002</v>
      </c>
    </row>
    <row r="3" spans="1:17" s="107" customFormat="1">
      <c r="A3" s="219">
        <v>2</v>
      </c>
      <c r="B3" s="37" t="s">
        <v>93</v>
      </c>
      <c r="C3" s="106" t="s">
        <v>89</v>
      </c>
      <c r="D3" s="106" t="s">
        <v>90</v>
      </c>
      <c r="E3" s="106" t="s">
        <v>91</v>
      </c>
      <c r="F3" s="106" t="s">
        <v>25</v>
      </c>
      <c r="G3" s="106" t="s">
        <v>41</v>
      </c>
      <c r="H3" s="106"/>
      <c r="I3" s="106" t="s">
        <v>92</v>
      </c>
      <c r="J3" s="121">
        <v>44138</v>
      </c>
      <c r="K3" s="121">
        <v>45687</v>
      </c>
      <c r="L3" s="124">
        <f>DATEDIF(J3,K3,"m")</f>
        <v>50</v>
      </c>
      <c r="M3" s="105">
        <f>'MEI - NOVA'!K4</f>
        <v>5000</v>
      </c>
      <c r="N3" s="111">
        <f>'MEI - NOVA'!BH4</f>
        <v>9407.5499999999993</v>
      </c>
      <c r="O3" s="105">
        <f t="shared" ref="O3:O34" si="0">P3/L3</f>
        <v>5284.2925999999998</v>
      </c>
      <c r="P3" s="105">
        <f>'MEI - NOVA'!BX4</f>
        <v>264214.63</v>
      </c>
    </row>
    <row r="4" spans="1:17" s="107" customFormat="1">
      <c r="A4" s="219">
        <v>3</v>
      </c>
      <c r="B4" s="37" t="s">
        <v>94</v>
      </c>
      <c r="C4" s="106" t="s">
        <v>95</v>
      </c>
      <c r="D4" s="106" t="s">
        <v>96</v>
      </c>
      <c r="E4" s="106" t="s">
        <v>96</v>
      </c>
      <c r="F4" s="106" t="s">
        <v>52</v>
      </c>
      <c r="G4" s="106" t="s">
        <v>41</v>
      </c>
      <c r="H4" s="106"/>
      <c r="I4" s="106" t="s">
        <v>92</v>
      </c>
      <c r="J4" s="121">
        <v>44256</v>
      </c>
      <c r="K4" s="121">
        <v>45778</v>
      </c>
      <c r="L4" s="124">
        <f>DATEDIF(J4,K4,"m")</f>
        <v>50</v>
      </c>
      <c r="M4" s="105">
        <f>'MEI - NOVA'!L44</f>
        <v>1500</v>
      </c>
      <c r="N4" s="111">
        <f>'MEI - NOVA'!BK44</f>
        <v>1000</v>
      </c>
      <c r="O4" s="105">
        <f t="shared" si="0"/>
        <v>1076</v>
      </c>
      <c r="P4" s="105">
        <f>'MEI - NOVA'!BX44</f>
        <v>53800</v>
      </c>
      <c r="Q4" s="125"/>
    </row>
    <row r="5" spans="1:17" s="107" customFormat="1">
      <c r="A5" s="219">
        <v>4</v>
      </c>
      <c r="B5" s="37" t="s">
        <v>97</v>
      </c>
      <c r="C5" s="106" t="s">
        <v>89</v>
      </c>
      <c r="D5" s="106" t="s">
        <v>90</v>
      </c>
      <c r="E5" s="106" t="s">
        <v>91</v>
      </c>
      <c r="F5" s="106" t="s">
        <v>25</v>
      </c>
      <c r="G5" s="106" t="s">
        <v>41</v>
      </c>
      <c r="H5" s="106"/>
      <c r="I5" s="106" t="s">
        <v>92</v>
      </c>
      <c r="J5" s="121">
        <v>44138</v>
      </c>
      <c r="K5" s="121">
        <v>45609</v>
      </c>
      <c r="L5" s="124">
        <f>DATEDIF(J5,K5,"m")</f>
        <v>48</v>
      </c>
      <c r="M5" s="105">
        <f>'MEI - NOVA'!K8</f>
        <v>3500</v>
      </c>
      <c r="N5" s="111">
        <f>'MEI - NOVA'!BG8</f>
        <v>1747.61</v>
      </c>
      <c r="O5" s="105">
        <f t="shared" si="0"/>
        <v>4734.1785416666662</v>
      </c>
      <c r="P5" s="105">
        <f>'MEI - NOVA'!BX8</f>
        <v>227240.56999999998</v>
      </c>
    </row>
    <row r="6" spans="1:17" s="107" customFormat="1">
      <c r="A6" s="219">
        <v>5</v>
      </c>
      <c r="B6" s="37" t="s">
        <v>98</v>
      </c>
      <c r="C6" s="106" t="s">
        <v>99</v>
      </c>
      <c r="D6" s="106" t="s">
        <v>100</v>
      </c>
      <c r="E6" s="106" t="s">
        <v>101</v>
      </c>
      <c r="F6" s="106" t="s">
        <v>49</v>
      </c>
      <c r="G6" s="106" t="s">
        <v>41</v>
      </c>
      <c r="H6" s="106"/>
      <c r="I6" s="106" t="s">
        <v>92</v>
      </c>
      <c r="J6" s="121">
        <v>44046</v>
      </c>
      <c r="K6" s="121">
        <v>45506</v>
      </c>
      <c r="L6" s="124">
        <f>DATEDIF(J6,K6,"m")</f>
        <v>47</v>
      </c>
      <c r="M6" s="105">
        <f>'MEI - NOVA'!AV38</f>
        <v>3000</v>
      </c>
      <c r="N6" s="109">
        <f>'MEI - NOVA'!BD38</f>
        <v>3000</v>
      </c>
      <c r="O6" s="105">
        <f t="shared" si="0"/>
        <v>702.12765957446811</v>
      </c>
      <c r="P6" s="105">
        <f>'MEI - NOVA'!BX38</f>
        <v>33000</v>
      </c>
    </row>
    <row r="7" spans="1:17" s="107" customFormat="1">
      <c r="A7" s="219">
        <v>6</v>
      </c>
      <c r="B7" s="37" t="s">
        <v>28</v>
      </c>
      <c r="C7" s="106" t="s">
        <v>89</v>
      </c>
      <c r="D7" s="106" t="s">
        <v>102</v>
      </c>
      <c r="E7" s="106" t="s">
        <v>102</v>
      </c>
      <c r="F7" s="106" t="s">
        <v>103</v>
      </c>
      <c r="G7" s="106" t="s">
        <v>22</v>
      </c>
      <c r="H7" s="106">
        <v>514325</v>
      </c>
      <c r="I7" s="106" t="s">
        <v>92</v>
      </c>
      <c r="J7" s="121">
        <v>44972</v>
      </c>
      <c r="K7" s="121"/>
      <c r="L7" s="124">
        <f ca="1">DATEDIF(J7,TODAY(),"m")</f>
        <v>39</v>
      </c>
      <c r="M7" s="105">
        <f>'CLT NOVA'!AM222</f>
        <v>2263.5299999999997</v>
      </c>
      <c r="N7" s="111">
        <f>'CLT NOVA'!AN222</f>
        <v>532.28</v>
      </c>
      <c r="O7" s="105">
        <f t="shared" ca="1" si="0"/>
        <v>105.89076923076922</v>
      </c>
      <c r="P7" s="105">
        <f>'CLT NOVA'!BX222</f>
        <v>4129.74</v>
      </c>
      <c r="Q7" s="118"/>
    </row>
    <row r="8" spans="1:17" s="107" customFormat="1">
      <c r="A8" s="219">
        <v>7</v>
      </c>
      <c r="B8" s="37" t="s">
        <v>50</v>
      </c>
      <c r="C8" s="106" t="s">
        <v>89</v>
      </c>
      <c r="D8" s="106" t="s">
        <v>90</v>
      </c>
      <c r="E8" s="106" t="s">
        <v>91</v>
      </c>
      <c r="F8" s="106" t="s">
        <v>104</v>
      </c>
      <c r="G8" s="106" t="s">
        <v>41</v>
      </c>
      <c r="H8" s="106"/>
      <c r="I8" s="106" t="s">
        <v>92</v>
      </c>
      <c r="J8" s="121">
        <v>44907</v>
      </c>
      <c r="K8" s="121">
        <v>45900</v>
      </c>
      <c r="L8" s="124">
        <f>DATEDIF(J8,K8,"m")</f>
        <v>32</v>
      </c>
      <c r="M8" s="105">
        <f>'MEI - NOVA'!AK42</f>
        <v>4250</v>
      </c>
      <c r="N8" s="109">
        <f>'MEI - NOVA'!BL42</f>
        <v>5380</v>
      </c>
      <c r="O8" s="105">
        <f t="shared" si="0"/>
        <v>4465.2621875000004</v>
      </c>
      <c r="P8" s="105">
        <f>'MEI - NOVA'!BX42</f>
        <v>142888.39000000001</v>
      </c>
    </row>
    <row r="9" spans="1:17" s="107" customFormat="1">
      <c r="A9" s="219">
        <v>8</v>
      </c>
      <c r="B9" s="37" t="s">
        <v>56</v>
      </c>
      <c r="C9" s="106" t="s">
        <v>89</v>
      </c>
      <c r="D9" s="106" t="s">
        <v>90</v>
      </c>
      <c r="E9" s="106" t="s">
        <v>105</v>
      </c>
      <c r="F9" s="106" t="s">
        <v>104</v>
      </c>
      <c r="G9" s="106" t="s">
        <v>41</v>
      </c>
      <c r="H9" s="106"/>
      <c r="I9" s="106" t="s">
        <v>23</v>
      </c>
      <c r="J9" s="121">
        <v>45028</v>
      </c>
      <c r="K9" s="106"/>
      <c r="L9" s="124">
        <f ca="1">DATEDIF(J9,TODAY(),"m")</f>
        <v>37</v>
      </c>
      <c r="M9" s="105">
        <f>'MEI - NOVA'!AO51</f>
        <v>4275</v>
      </c>
      <c r="N9" s="111">
        <f>'MEI - NOVA'!BW51</f>
        <v>3407.5</v>
      </c>
      <c r="O9" s="105">
        <f t="shared" ca="1" si="0"/>
        <v>4448.8583783783797</v>
      </c>
      <c r="P9" s="105">
        <f>'MEI - NOVA'!BX51</f>
        <v>164607.76000000004</v>
      </c>
    </row>
    <row r="10" spans="1:17" s="107" customFormat="1">
      <c r="A10" s="219">
        <v>9</v>
      </c>
      <c r="B10" s="37" t="s">
        <v>106</v>
      </c>
      <c r="C10" s="106" t="s">
        <v>99</v>
      </c>
      <c r="D10" s="106" t="s">
        <v>100</v>
      </c>
      <c r="E10" s="106" t="s">
        <v>101</v>
      </c>
      <c r="F10" s="106" t="s">
        <v>107</v>
      </c>
      <c r="G10" s="106" t="s">
        <v>41</v>
      </c>
      <c r="H10" s="106"/>
      <c r="I10" s="106" t="s">
        <v>92</v>
      </c>
      <c r="J10" s="121">
        <v>45059</v>
      </c>
      <c r="K10" s="106"/>
      <c r="L10" s="124">
        <f ca="1">DATEDIF(J10,TODAY(),"m")</f>
        <v>36</v>
      </c>
      <c r="M10" s="105">
        <f>'MEI - NOVA'!AM46</f>
        <v>1500</v>
      </c>
      <c r="N10" s="111">
        <f>'MEI - NOVA'!BP46</f>
        <v>4500</v>
      </c>
      <c r="O10" s="105">
        <f t="shared" ca="1" si="0"/>
        <v>2821.2111111111112</v>
      </c>
      <c r="P10" s="105">
        <f>'MEI - NOVA'!BX46</f>
        <v>101563.6</v>
      </c>
      <c r="Q10" s="125"/>
    </row>
    <row r="11" spans="1:17" s="107" customFormat="1">
      <c r="A11" s="219">
        <v>10</v>
      </c>
      <c r="B11" s="37" t="s">
        <v>54</v>
      </c>
      <c r="C11" s="106" t="s">
        <v>89</v>
      </c>
      <c r="D11" s="106" t="s">
        <v>108</v>
      </c>
      <c r="E11" s="106" t="s">
        <v>108</v>
      </c>
      <c r="F11" s="106" t="s">
        <v>55</v>
      </c>
      <c r="G11" s="106" t="s">
        <v>41</v>
      </c>
      <c r="H11" s="106"/>
      <c r="I11" s="106" t="s">
        <v>23</v>
      </c>
      <c r="J11" s="121">
        <v>45078</v>
      </c>
      <c r="K11" s="106"/>
      <c r="L11" s="124">
        <f ca="1">DATEDIF(J11,TODAY(),"m")</f>
        <v>36</v>
      </c>
      <c r="M11" s="105">
        <f>'MEI - NOVA'!AH49</f>
        <v>5004.12</v>
      </c>
      <c r="N11" s="111">
        <f>'MEI - NOVA'!BW49</f>
        <v>0</v>
      </c>
      <c r="O11" s="105">
        <f t="shared" ca="1" si="0"/>
        <v>2396.1527777777778</v>
      </c>
      <c r="P11" s="105">
        <f>'MEI - NOVA'!BX49</f>
        <v>86261.5</v>
      </c>
    </row>
    <row r="12" spans="1:17" s="107" customFormat="1">
      <c r="A12" s="219">
        <v>11</v>
      </c>
      <c r="B12" s="37" t="s">
        <v>56</v>
      </c>
      <c r="C12" s="106" t="s">
        <v>89</v>
      </c>
      <c r="D12" s="106" t="s">
        <v>102</v>
      </c>
      <c r="E12" s="106" t="s">
        <v>90</v>
      </c>
      <c r="F12" s="106" t="s">
        <v>109</v>
      </c>
      <c r="G12" s="106" t="s">
        <v>22</v>
      </c>
      <c r="H12" s="106">
        <v>514320</v>
      </c>
      <c r="I12" s="106" t="s">
        <v>92</v>
      </c>
      <c r="J12" s="121">
        <v>44138</v>
      </c>
      <c r="K12" s="121">
        <v>45027</v>
      </c>
      <c r="L12" s="124">
        <f t="shared" ref="L12:L17" si="1">DATEDIF(J12,K12,"m")</f>
        <v>29</v>
      </c>
      <c r="M12" s="105">
        <f>'CLT NOVA'!K538</f>
        <v>1564.88</v>
      </c>
      <c r="N12" s="105">
        <f>'CLT NOVA'!AN538</f>
        <v>4364.0199999999995</v>
      </c>
      <c r="O12" s="105">
        <f t="shared" si="0"/>
        <v>1949.2586206896549</v>
      </c>
      <c r="P12" s="105">
        <f>'CLT NOVA'!BX538</f>
        <v>56528.499999999993</v>
      </c>
      <c r="Q12" s="118"/>
    </row>
    <row r="13" spans="1:17" s="107" customFormat="1">
      <c r="A13" s="219">
        <v>12</v>
      </c>
      <c r="B13" s="37" t="s">
        <v>110</v>
      </c>
      <c r="C13" s="106" t="s">
        <v>89</v>
      </c>
      <c r="D13" s="106" t="s">
        <v>111</v>
      </c>
      <c r="E13" s="106" t="s">
        <v>111</v>
      </c>
      <c r="F13" s="106" t="s">
        <v>25</v>
      </c>
      <c r="G13" s="106" t="s">
        <v>41</v>
      </c>
      <c r="H13" s="106"/>
      <c r="I13" s="106" t="s">
        <v>92</v>
      </c>
      <c r="J13" s="121">
        <v>44185</v>
      </c>
      <c r="K13" s="121">
        <v>45061</v>
      </c>
      <c r="L13" s="124">
        <f t="shared" si="1"/>
        <v>28</v>
      </c>
      <c r="M13" s="105">
        <f>'MEI - NOVA'!K20</f>
        <v>5134.0200000000004</v>
      </c>
      <c r="N13" s="105">
        <f>'MEI - NOVA'!AO20</f>
        <v>7400</v>
      </c>
      <c r="O13" s="105">
        <f t="shared" si="0"/>
        <v>7818.948928571428</v>
      </c>
      <c r="P13" s="105">
        <f>'MEI - NOVA'!BX20</f>
        <v>218930.56999999998</v>
      </c>
    </row>
    <row r="14" spans="1:17" s="107" customFormat="1">
      <c r="A14" s="219">
        <v>13</v>
      </c>
      <c r="B14" s="37" t="s">
        <v>112</v>
      </c>
      <c r="C14" s="106" t="s">
        <v>113</v>
      </c>
      <c r="D14" s="106" t="s">
        <v>114</v>
      </c>
      <c r="E14" s="106" t="s">
        <v>114</v>
      </c>
      <c r="F14" s="106" t="s">
        <v>25</v>
      </c>
      <c r="G14" s="106" t="s">
        <v>41</v>
      </c>
      <c r="H14" s="106"/>
      <c r="I14" s="106" t="s">
        <v>92</v>
      </c>
      <c r="J14" s="121">
        <v>44516</v>
      </c>
      <c r="K14" s="121">
        <v>45342</v>
      </c>
      <c r="L14" s="124">
        <f t="shared" si="1"/>
        <v>27</v>
      </c>
      <c r="M14" s="105">
        <f>'MEI - NOVA'!V23</f>
        <v>1144.33</v>
      </c>
      <c r="N14" s="105">
        <f>'MEI - NOVA'!AX23</f>
        <v>2025.89</v>
      </c>
      <c r="O14" s="105">
        <f t="shared" si="0"/>
        <v>2094.6748148148149</v>
      </c>
      <c r="P14" s="105">
        <f>'MEI - NOVA'!BX23</f>
        <v>56556.22</v>
      </c>
    </row>
    <row r="15" spans="1:17" s="107" customFormat="1">
      <c r="A15" s="219">
        <v>14</v>
      </c>
      <c r="B15" s="37" t="s">
        <v>115</v>
      </c>
      <c r="C15" s="106" t="s">
        <v>116</v>
      </c>
      <c r="D15" s="106" t="s">
        <v>117</v>
      </c>
      <c r="E15" s="106" t="s">
        <v>118</v>
      </c>
      <c r="F15" s="106" t="s">
        <v>27</v>
      </c>
      <c r="G15" s="106" t="s">
        <v>22</v>
      </c>
      <c r="H15" s="106">
        <v>514320</v>
      </c>
      <c r="I15" s="106" t="s">
        <v>92</v>
      </c>
      <c r="J15" s="121">
        <v>44305</v>
      </c>
      <c r="K15" s="121">
        <v>45111</v>
      </c>
      <c r="L15" s="124">
        <f t="shared" si="1"/>
        <v>26</v>
      </c>
      <c r="M15" s="105">
        <f>'CLT NOVA'!Q81</f>
        <v>1465.77</v>
      </c>
      <c r="N15" s="105">
        <f>'CLT NOVA'!AQ81</f>
        <v>2934.43</v>
      </c>
      <c r="O15" s="105">
        <f t="shared" si="0"/>
        <v>2321.9376923076929</v>
      </c>
      <c r="P15" s="105">
        <f>'CLT NOVA'!BX81</f>
        <v>60370.380000000012</v>
      </c>
      <c r="Q15" s="118"/>
    </row>
    <row r="16" spans="1:17" s="107" customFormat="1">
      <c r="A16" s="219">
        <v>15</v>
      </c>
      <c r="B16" s="37" t="s">
        <v>59</v>
      </c>
      <c r="C16" s="106" t="s">
        <v>89</v>
      </c>
      <c r="D16" s="106" t="s">
        <v>90</v>
      </c>
      <c r="E16" s="106" t="s">
        <v>90</v>
      </c>
      <c r="F16" s="106" t="s">
        <v>21</v>
      </c>
      <c r="G16" s="106" t="s">
        <v>41</v>
      </c>
      <c r="H16" s="106"/>
      <c r="I16" s="106" t="s">
        <v>92</v>
      </c>
      <c r="J16" s="121">
        <v>44851</v>
      </c>
      <c r="K16" s="121">
        <v>45626</v>
      </c>
      <c r="L16" s="124">
        <f t="shared" si="1"/>
        <v>25</v>
      </c>
      <c r="M16" s="105">
        <f>'MEI - NOVA'!AI59</f>
        <v>4250</v>
      </c>
      <c r="N16" s="105">
        <f>'MEI - NOVA'!BG59</f>
        <v>4078.55</v>
      </c>
      <c r="O16" s="105">
        <f t="shared" si="0"/>
        <v>4370.4391999999998</v>
      </c>
      <c r="P16" s="105">
        <f>'MEI - NOVA'!BX59</f>
        <v>109260.98</v>
      </c>
    </row>
    <row r="17" spans="1:17" s="107" customFormat="1">
      <c r="A17" s="219">
        <v>16</v>
      </c>
      <c r="B17" s="37" t="s">
        <v>47</v>
      </c>
      <c r="C17" s="106" t="s">
        <v>89</v>
      </c>
      <c r="D17" s="106" t="s">
        <v>102</v>
      </c>
      <c r="E17" s="106" t="s">
        <v>102</v>
      </c>
      <c r="F17" s="106" t="s">
        <v>103</v>
      </c>
      <c r="G17" s="106" t="s">
        <v>22</v>
      </c>
      <c r="H17" s="106">
        <v>514320</v>
      </c>
      <c r="I17" s="106" t="s">
        <v>92</v>
      </c>
      <c r="J17" s="121">
        <v>44593</v>
      </c>
      <c r="K17" s="121">
        <v>45337</v>
      </c>
      <c r="L17" s="124">
        <f t="shared" si="1"/>
        <v>24</v>
      </c>
      <c r="M17" s="105">
        <f>'CLT NOVA'!Z368</f>
        <v>1687.42</v>
      </c>
      <c r="N17" s="105">
        <f>'CLT NOVA'!AX368</f>
        <v>4041.13</v>
      </c>
      <c r="O17" s="105">
        <f t="shared" si="0"/>
        <v>2460.2341666666662</v>
      </c>
      <c r="P17" s="105">
        <f>'CLT NOVA'!BX368</f>
        <v>59045.619999999988</v>
      </c>
      <c r="Q17" s="118"/>
    </row>
    <row r="18" spans="1:17" s="107" customFormat="1">
      <c r="A18" s="219">
        <v>17</v>
      </c>
      <c r="B18" s="37" t="s">
        <v>26</v>
      </c>
      <c r="C18" s="106" t="s">
        <v>119</v>
      </c>
      <c r="D18" s="106" t="s">
        <v>117</v>
      </c>
      <c r="E18" s="106" t="s">
        <v>117</v>
      </c>
      <c r="F18" s="106" t="s">
        <v>27</v>
      </c>
      <c r="G18" s="106" t="s">
        <v>22</v>
      </c>
      <c r="H18" s="106">
        <v>514320</v>
      </c>
      <c r="I18" s="106" t="s">
        <v>23</v>
      </c>
      <c r="J18" s="121">
        <v>45260</v>
      </c>
      <c r="K18" s="121"/>
      <c r="L18" s="124">
        <f ca="1">DATEDIF(J18,TODAY(),"m")</f>
        <v>30</v>
      </c>
      <c r="M18" s="105">
        <f>'CLT NOVA'!AV17</f>
        <v>2474.73</v>
      </c>
      <c r="N18" s="105">
        <f>'CLT NOVA'!BW17</f>
        <v>3341.11</v>
      </c>
      <c r="O18" s="105">
        <f t="shared" ca="1" si="0"/>
        <v>2441.559666666667</v>
      </c>
      <c r="P18" s="105">
        <f>'CLT NOVA'!BX17</f>
        <v>73246.790000000008</v>
      </c>
      <c r="Q18" s="118"/>
    </row>
    <row r="19" spans="1:17" s="107" customFormat="1">
      <c r="A19" s="219">
        <v>18</v>
      </c>
      <c r="B19" s="37" t="s">
        <v>37</v>
      </c>
      <c r="C19" s="106" t="s">
        <v>89</v>
      </c>
      <c r="D19" s="106" t="s">
        <v>102</v>
      </c>
      <c r="E19" s="106" t="s">
        <v>120</v>
      </c>
      <c r="F19" s="106" t="s">
        <v>104</v>
      </c>
      <c r="G19" s="106" t="s">
        <v>22</v>
      </c>
      <c r="H19" s="106">
        <v>514320</v>
      </c>
      <c r="I19" s="106" t="s">
        <v>23</v>
      </c>
      <c r="J19" s="121">
        <v>45264</v>
      </c>
      <c r="K19" s="121"/>
      <c r="L19" s="124">
        <f ca="1">DATEDIF(J19,TODAY(),"m")</f>
        <v>29</v>
      </c>
      <c r="M19" s="105">
        <f>'CLT NOVA'!AV564</f>
        <v>2110.6299999999997</v>
      </c>
      <c r="N19" s="105">
        <f>'CLT NOVA'!BW564</f>
        <v>2297.02</v>
      </c>
      <c r="O19" s="105">
        <f t="shared" ca="1" si="0"/>
        <v>2208.7748275862059</v>
      </c>
      <c r="P19" s="105">
        <f>'CLT NOVA'!BX564</f>
        <v>64054.469999999972</v>
      </c>
      <c r="Q19" s="118"/>
    </row>
    <row r="20" spans="1:17" s="107" customFormat="1">
      <c r="A20" s="219">
        <v>19</v>
      </c>
      <c r="B20" s="37" t="s">
        <v>44</v>
      </c>
      <c r="C20" s="106" t="s">
        <v>121</v>
      </c>
      <c r="D20" s="106" t="s">
        <v>122</v>
      </c>
      <c r="E20" s="106" t="s">
        <v>123</v>
      </c>
      <c r="F20" s="106" t="s">
        <v>45</v>
      </c>
      <c r="G20" s="106" t="s">
        <v>41</v>
      </c>
      <c r="H20" s="106"/>
      <c r="I20" s="106" t="s">
        <v>92</v>
      </c>
      <c r="J20" s="121">
        <v>44774</v>
      </c>
      <c r="K20" s="121">
        <v>45461</v>
      </c>
      <c r="L20" s="124">
        <f>DATEDIF(J20,K20,"m")</f>
        <v>22</v>
      </c>
      <c r="M20" s="105">
        <f>'MEI - NOVA'!AF15</f>
        <v>1000</v>
      </c>
      <c r="N20" s="105">
        <f>'MEI - NOVA'!BA15</f>
        <v>4000</v>
      </c>
      <c r="O20" s="105">
        <f t="shared" si="0"/>
        <v>1659.090909090909</v>
      </c>
      <c r="P20" s="105">
        <f>'MEI - NOVA'!BX15</f>
        <v>36500</v>
      </c>
    </row>
    <row r="21" spans="1:17" s="107" customFormat="1">
      <c r="A21" s="219">
        <v>20</v>
      </c>
      <c r="B21" s="37" t="s">
        <v>57</v>
      </c>
      <c r="C21" s="106" t="s">
        <v>89</v>
      </c>
      <c r="D21" s="106" t="s">
        <v>124</v>
      </c>
      <c r="E21" s="106" t="s">
        <v>124</v>
      </c>
      <c r="F21" s="106" t="s">
        <v>49</v>
      </c>
      <c r="G21" s="106" t="s">
        <v>41</v>
      </c>
      <c r="H21" s="106"/>
      <c r="I21" s="106" t="s">
        <v>92</v>
      </c>
      <c r="J21" s="121">
        <v>44851</v>
      </c>
      <c r="K21" s="121">
        <v>45547</v>
      </c>
      <c r="L21" s="124">
        <f>DATEDIF(J21,K21,"m")</f>
        <v>22</v>
      </c>
      <c r="M21" s="105">
        <f>'MEI - NOVA'!AI54</f>
        <v>4250</v>
      </c>
      <c r="N21" s="111">
        <f>'MEI - NOVA'!BF54</f>
        <v>5712</v>
      </c>
      <c r="O21" s="105">
        <f t="shared" si="0"/>
        <v>7437.1827272727251</v>
      </c>
      <c r="P21" s="105">
        <f>'MEI - NOVA'!BX54</f>
        <v>163618.01999999996</v>
      </c>
    </row>
    <row r="22" spans="1:17" s="107" customFormat="1">
      <c r="A22" s="219">
        <v>21</v>
      </c>
      <c r="B22" s="37" t="s">
        <v>38</v>
      </c>
      <c r="C22" s="106" t="s">
        <v>89</v>
      </c>
      <c r="D22" s="106" t="s">
        <v>102</v>
      </c>
      <c r="E22" s="106" t="s">
        <v>102</v>
      </c>
      <c r="F22" s="106" t="s">
        <v>104</v>
      </c>
      <c r="G22" s="106" t="s">
        <v>22</v>
      </c>
      <c r="H22" s="106">
        <v>514320</v>
      </c>
      <c r="I22" s="106" t="s">
        <v>92</v>
      </c>
      <c r="J22" s="121">
        <v>45313</v>
      </c>
      <c r="K22" s="121"/>
      <c r="L22" s="124">
        <f ca="1">DATEDIF(J22,TODAY(),"m")</f>
        <v>28</v>
      </c>
      <c r="M22" s="105">
        <f>'CLT NOVA'!AX591</f>
        <v>2184.0199999999995</v>
      </c>
      <c r="N22" s="105">
        <f>'CLT NOVA'!BV591</f>
        <v>1328.0599999999995</v>
      </c>
      <c r="O22" s="105">
        <f t="shared" ca="1" si="0"/>
        <v>1953.8339285714283</v>
      </c>
      <c r="P22" s="105">
        <f>'CLT NOVA'!BX591</f>
        <v>54707.349999999991</v>
      </c>
      <c r="Q22" s="118"/>
    </row>
    <row r="23" spans="1:17" s="107" customFormat="1">
      <c r="A23" s="219">
        <v>22</v>
      </c>
      <c r="B23" s="37" t="s">
        <v>75</v>
      </c>
      <c r="C23" s="106" t="s">
        <v>121</v>
      </c>
      <c r="D23" s="106" t="s">
        <v>125</v>
      </c>
      <c r="E23" s="106" t="s">
        <v>126</v>
      </c>
      <c r="F23" s="106" t="s">
        <v>45</v>
      </c>
      <c r="G23" s="106" t="s">
        <v>22</v>
      </c>
      <c r="H23" s="106">
        <v>411005</v>
      </c>
      <c r="I23" s="106" t="s">
        <v>92</v>
      </c>
      <c r="J23" s="121">
        <v>44516</v>
      </c>
      <c r="K23" s="121">
        <v>45142</v>
      </c>
      <c r="L23" s="124">
        <f>DATEDIF(J23,K23,"m")</f>
        <v>20</v>
      </c>
      <c r="M23" s="105">
        <f>'CLT NOVA'!X145</f>
        <v>2552.3199999999997</v>
      </c>
      <c r="N23" s="105">
        <f>'CLT NOVA'!AR145</f>
        <v>6672.3499999999995</v>
      </c>
      <c r="O23" s="105">
        <f t="shared" si="0"/>
        <v>3182.3584999999998</v>
      </c>
      <c r="P23" s="105">
        <f>'CLT NOVA'!BX145</f>
        <v>63647.17</v>
      </c>
      <c r="Q23" s="118"/>
    </row>
    <row r="24" spans="1:17" s="107" customFormat="1">
      <c r="A24" s="219">
        <v>23</v>
      </c>
      <c r="B24" s="37" t="s">
        <v>127</v>
      </c>
      <c r="C24" s="106" t="s">
        <v>119</v>
      </c>
      <c r="D24" s="106" t="s">
        <v>117</v>
      </c>
      <c r="E24" s="106" t="s">
        <v>117</v>
      </c>
      <c r="F24" s="106" t="s">
        <v>128</v>
      </c>
      <c r="G24" s="106" t="s">
        <v>22</v>
      </c>
      <c r="H24" s="106">
        <v>514320</v>
      </c>
      <c r="I24" s="106" t="s">
        <v>23</v>
      </c>
      <c r="J24" s="167">
        <v>45351</v>
      </c>
      <c r="K24" s="121"/>
      <c r="L24" s="124">
        <f ca="1">DATEDIF(J24,TODAY(),"m")</f>
        <v>27</v>
      </c>
      <c r="M24" s="105">
        <f>'CLT NOVA'!AX787</f>
        <v>103.53</v>
      </c>
      <c r="N24" s="105">
        <f>'CLT NOVA'!BW787</f>
        <v>3021.83</v>
      </c>
      <c r="O24" s="105">
        <f t="shared" ca="1" si="0"/>
        <v>2096.5059259259265</v>
      </c>
      <c r="P24" s="105">
        <f>'CLT NOVA'!BX787</f>
        <v>56605.660000000018</v>
      </c>
      <c r="Q24" s="118"/>
    </row>
    <row r="25" spans="1:17" s="107" customFormat="1">
      <c r="A25" s="219">
        <v>24</v>
      </c>
      <c r="B25" s="37" t="s">
        <v>47</v>
      </c>
      <c r="C25" s="106" t="s">
        <v>89</v>
      </c>
      <c r="D25" s="106" t="s">
        <v>90</v>
      </c>
      <c r="E25" s="106" t="s">
        <v>90</v>
      </c>
      <c r="F25" s="106" t="s">
        <v>21</v>
      </c>
      <c r="G25" s="106" t="s">
        <v>41</v>
      </c>
      <c r="H25" s="106"/>
      <c r="I25" s="106" t="s">
        <v>23</v>
      </c>
      <c r="J25" s="121">
        <v>45348</v>
      </c>
      <c r="K25" s="121"/>
      <c r="L25" s="124">
        <f ca="1">DATEDIF(J25,TODAY(),"m")</f>
        <v>27</v>
      </c>
      <c r="M25" s="105">
        <f>'MEI - NOVA'!AY24</f>
        <v>4250</v>
      </c>
      <c r="N25" s="105">
        <f>'MEI - NOVA'!BW24</f>
        <v>6350</v>
      </c>
      <c r="O25" s="105">
        <f t="shared" ca="1" si="0"/>
        <v>4820.037407407407</v>
      </c>
      <c r="P25" s="105">
        <f>'MEI - NOVA'!BX24</f>
        <v>130141.01</v>
      </c>
    </row>
    <row r="26" spans="1:17" s="107" customFormat="1">
      <c r="A26" s="219">
        <v>25</v>
      </c>
      <c r="B26" s="37" t="s">
        <v>32</v>
      </c>
      <c r="C26" s="106" t="s">
        <v>89</v>
      </c>
      <c r="D26" s="106" t="s">
        <v>102</v>
      </c>
      <c r="E26" s="106" t="s">
        <v>102</v>
      </c>
      <c r="F26" s="106" t="s">
        <v>103</v>
      </c>
      <c r="G26" s="106" t="s">
        <v>22</v>
      </c>
      <c r="H26" s="106">
        <v>514320</v>
      </c>
      <c r="I26" s="106" t="s">
        <v>92</v>
      </c>
      <c r="J26" s="121">
        <v>45096</v>
      </c>
      <c r="K26" s="121">
        <v>45722</v>
      </c>
      <c r="L26" s="124">
        <f>DATEDIF(J26,K26,"m")</f>
        <v>20</v>
      </c>
      <c r="M26" s="105">
        <f>'CLT NOVA'!AQ315</f>
        <v>2018.2</v>
      </c>
      <c r="N26" s="105">
        <f>'CLT NOVA'!BK315</f>
        <v>723.73</v>
      </c>
      <c r="O26" s="105">
        <f t="shared" si="0"/>
        <v>2195.3255000000004</v>
      </c>
      <c r="P26" s="105">
        <f>'CLT NOVA'!BX315</f>
        <v>43906.510000000009</v>
      </c>
      <c r="Q26" s="118"/>
    </row>
    <row r="27" spans="1:17" s="107" customFormat="1">
      <c r="A27" s="219">
        <v>26</v>
      </c>
      <c r="B27" s="37" t="s">
        <v>129</v>
      </c>
      <c r="C27" s="106" t="s">
        <v>119</v>
      </c>
      <c r="D27" s="106" t="s">
        <v>117</v>
      </c>
      <c r="E27" s="106" t="s">
        <v>117</v>
      </c>
      <c r="F27" s="106" t="s">
        <v>128</v>
      </c>
      <c r="G27" s="106" t="s">
        <v>22</v>
      </c>
      <c r="H27" s="106">
        <v>514320</v>
      </c>
      <c r="I27" s="106" t="s">
        <v>92</v>
      </c>
      <c r="J27" s="121">
        <v>45383</v>
      </c>
      <c r="K27" s="121"/>
      <c r="L27" s="124">
        <f ca="1">DATEDIF(J27,TODAY(),"m")</f>
        <v>26</v>
      </c>
      <c r="M27" s="105">
        <f>'CLT NOVA'!AW802</f>
        <v>1885.3000000000002</v>
      </c>
      <c r="N27" s="105">
        <f>'CLT NOVA'!BV802</f>
        <v>5504.48</v>
      </c>
      <c r="O27" s="105">
        <f t="shared" ca="1" si="0"/>
        <v>2136.8215384615387</v>
      </c>
      <c r="P27" s="105">
        <f>'CLT NOVA'!BX802</f>
        <v>55557.36</v>
      </c>
      <c r="Q27" s="118"/>
    </row>
    <row r="28" spans="1:17" s="107" customFormat="1">
      <c r="A28" s="219">
        <v>27</v>
      </c>
      <c r="B28" s="37" t="s">
        <v>31</v>
      </c>
      <c r="C28" s="106" t="s">
        <v>89</v>
      </c>
      <c r="D28" s="106" t="s">
        <v>102</v>
      </c>
      <c r="E28" s="106" t="s">
        <v>130</v>
      </c>
      <c r="F28" s="106" t="s">
        <v>103</v>
      </c>
      <c r="G28" s="106" t="s">
        <v>22</v>
      </c>
      <c r="H28" s="106">
        <v>411005</v>
      </c>
      <c r="I28" s="106" t="s">
        <v>92</v>
      </c>
      <c r="J28" s="121">
        <v>45018</v>
      </c>
      <c r="K28" s="121">
        <v>45610</v>
      </c>
      <c r="L28" s="124">
        <f>DATEDIF(J28,K28,"m")</f>
        <v>19</v>
      </c>
      <c r="M28" s="105">
        <f>'CLT NOVA'!AN394</f>
        <v>1890.67</v>
      </c>
      <c r="N28" s="105">
        <f>'CLT NOVA'!BG394</f>
        <v>9085.7199999999993</v>
      </c>
      <c r="O28" s="105">
        <f t="shared" si="0"/>
        <v>3056.5752631578953</v>
      </c>
      <c r="P28" s="105">
        <f>'CLT NOVA'!BX394</f>
        <v>58074.930000000008</v>
      </c>
      <c r="Q28" s="118"/>
    </row>
    <row r="29" spans="1:17" s="107" customFormat="1">
      <c r="A29" s="219">
        <v>28</v>
      </c>
      <c r="B29" s="37" t="s">
        <v>131</v>
      </c>
      <c r="C29" s="106" t="s">
        <v>89</v>
      </c>
      <c r="D29" s="106" t="s">
        <v>132</v>
      </c>
      <c r="E29" s="106" t="s">
        <v>133</v>
      </c>
      <c r="F29" s="106" t="s">
        <v>49</v>
      </c>
      <c r="G29" s="106" t="s">
        <v>41</v>
      </c>
      <c r="H29" s="106"/>
      <c r="I29" s="106" t="s">
        <v>92</v>
      </c>
      <c r="J29" s="121">
        <v>45390</v>
      </c>
      <c r="K29" s="106"/>
      <c r="L29" s="124">
        <f ca="1">DATEDIF(J29,TODAY(),"m")</f>
        <v>25</v>
      </c>
      <c r="M29" s="105">
        <f>'MEI - NOVA'!BA3</f>
        <v>4000</v>
      </c>
      <c r="N29" s="111">
        <f>'MEI - NOVA'!BS3</f>
        <v>3134</v>
      </c>
      <c r="O29" s="105">
        <f t="shared" ca="1" si="0"/>
        <v>2393.4931999999999</v>
      </c>
      <c r="P29" s="105">
        <f>'MEI - NOVA'!BX3</f>
        <v>59837.33</v>
      </c>
    </row>
    <row r="30" spans="1:17" s="107" customFormat="1">
      <c r="A30" s="219">
        <v>29</v>
      </c>
      <c r="B30" s="37" t="s">
        <v>58</v>
      </c>
      <c r="C30" s="106" t="s">
        <v>116</v>
      </c>
      <c r="D30" s="106" t="s">
        <v>134</v>
      </c>
      <c r="E30" s="106" t="s">
        <v>134</v>
      </c>
      <c r="F30" s="106" t="s">
        <v>27</v>
      </c>
      <c r="G30" s="106" t="s">
        <v>41</v>
      </c>
      <c r="H30" s="106"/>
      <c r="I30" s="106" t="s">
        <v>92</v>
      </c>
      <c r="J30" s="121">
        <v>44866</v>
      </c>
      <c r="K30" s="121">
        <v>45383</v>
      </c>
      <c r="L30" s="124">
        <f>DATEDIF(J30,K30,"m")</f>
        <v>17</v>
      </c>
      <c r="M30" s="105">
        <f>'MEI - NOVA'!AI48</f>
        <v>390</v>
      </c>
      <c r="N30" s="111">
        <f>'MEI - NOVA'!AZ48</f>
        <v>300</v>
      </c>
      <c r="O30" s="105">
        <f t="shared" si="0"/>
        <v>311.76470588235293</v>
      </c>
      <c r="P30" s="105">
        <f>'MEI - NOVA'!BX48</f>
        <v>5300</v>
      </c>
    </row>
    <row r="31" spans="1:17" s="107" customFormat="1">
      <c r="A31" s="219">
        <v>30</v>
      </c>
      <c r="B31" s="150" t="s">
        <v>135</v>
      </c>
      <c r="C31" s="108" t="s">
        <v>136</v>
      </c>
      <c r="D31" s="108" t="s">
        <v>137</v>
      </c>
      <c r="E31" s="108" t="s">
        <v>138</v>
      </c>
      <c r="F31" s="106" t="s">
        <v>49</v>
      </c>
      <c r="G31" s="106" t="s">
        <v>41</v>
      </c>
      <c r="H31" s="106"/>
      <c r="I31" s="106" t="s">
        <v>23</v>
      </c>
      <c r="J31" s="121">
        <v>45474</v>
      </c>
      <c r="K31" s="106"/>
      <c r="L31" s="124">
        <f ca="1">DATEDIF(J31,TODAY(),"m")</f>
        <v>23</v>
      </c>
      <c r="M31" s="105">
        <f>'MEI - NOVA'!BC13</f>
        <v>4868.49</v>
      </c>
      <c r="N31" s="111">
        <f>'MEI - NOVA'!BW13</f>
        <v>8015.41</v>
      </c>
      <c r="O31" s="105">
        <f t="shared" ca="1" si="0"/>
        <v>5198.3169565217386</v>
      </c>
      <c r="P31" s="105">
        <f>'MEI - NOVA'!BX13</f>
        <v>119561.29</v>
      </c>
    </row>
    <row r="32" spans="1:17" s="107" customFormat="1">
      <c r="A32" s="219">
        <v>31</v>
      </c>
      <c r="B32" s="150" t="s">
        <v>139</v>
      </c>
      <c r="C32" s="108" t="s">
        <v>113</v>
      </c>
      <c r="D32" s="108" t="s">
        <v>114</v>
      </c>
      <c r="E32" s="108" t="s">
        <v>140</v>
      </c>
      <c r="F32" s="106" t="s">
        <v>45</v>
      </c>
      <c r="G32" s="106" t="s">
        <v>41</v>
      </c>
      <c r="H32" s="106"/>
      <c r="I32" s="106" t="s">
        <v>23</v>
      </c>
      <c r="J32" s="121">
        <v>45481</v>
      </c>
      <c r="K32" s="121"/>
      <c r="L32" s="124">
        <f ca="1">DATEDIF(J32,TODAY(),"m")</f>
        <v>22</v>
      </c>
      <c r="M32" s="105">
        <f>'MEI - NOVA'!BD28</f>
        <v>3000</v>
      </c>
      <c r="N32" s="105">
        <f>'MEI - NOVA'!BW28</f>
        <v>5000</v>
      </c>
      <c r="O32" s="105">
        <f t="shared" ca="1" si="0"/>
        <v>4014.6627272727274</v>
      </c>
      <c r="P32" s="105">
        <f>'MEI - NOVA'!BX28</f>
        <v>88322.58</v>
      </c>
    </row>
    <row r="33" spans="1:18" s="107" customFormat="1">
      <c r="A33" s="219">
        <v>32</v>
      </c>
      <c r="B33" s="150" t="s">
        <v>141</v>
      </c>
      <c r="C33" s="108" t="s">
        <v>89</v>
      </c>
      <c r="D33" s="108" t="s">
        <v>111</v>
      </c>
      <c r="E33" s="108" t="s">
        <v>124</v>
      </c>
      <c r="F33" s="106" t="s">
        <v>45</v>
      </c>
      <c r="G33" s="106" t="s">
        <v>41</v>
      </c>
      <c r="H33" s="106"/>
      <c r="I33" s="106" t="s">
        <v>92</v>
      </c>
      <c r="J33" s="121">
        <v>45456</v>
      </c>
      <c r="K33" s="106"/>
      <c r="L33" s="124">
        <f ca="1">DATEDIF(J33,TODAY(),"m")</f>
        <v>23</v>
      </c>
      <c r="M33" s="105">
        <f>'MEI - NOVA'!BC53</f>
        <v>5500</v>
      </c>
      <c r="N33" s="111">
        <f>'MEI - NOVA'!BP53</f>
        <v>5500</v>
      </c>
      <c r="O33" s="105">
        <f t="shared" ca="1" si="0"/>
        <v>4773.913043478261</v>
      </c>
      <c r="P33" s="105">
        <f>'MEI - NOVA'!BX53</f>
        <v>109800</v>
      </c>
    </row>
    <row r="34" spans="1:18" s="107" customFormat="1">
      <c r="A34" s="219">
        <v>33</v>
      </c>
      <c r="B34" s="37" t="s">
        <v>142</v>
      </c>
      <c r="C34" s="106" t="s">
        <v>89</v>
      </c>
      <c r="D34" s="106" t="s">
        <v>102</v>
      </c>
      <c r="E34" s="106" t="s">
        <v>102</v>
      </c>
      <c r="F34" s="106" t="s">
        <v>103</v>
      </c>
      <c r="G34" s="106" t="s">
        <v>22</v>
      </c>
      <c r="H34" s="106">
        <v>911205</v>
      </c>
      <c r="I34" s="106" t="s">
        <v>92</v>
      </c>
      <c r="J34" s="121">
        <v>44270</v>
      </c>
      <c r="K34" s="121">
        <v>44756</v>
      </c>
      <c r="L34" s="124">
        <f>DATEDIF(J34,K34,"m")</f>
        <v>15</v>
      </c>
      <c r="M34" s="105">
        <f>'CLT NOVA'!P208</f>
        <v>1593.19</v>
      </c>
      <c r="N34" s="111">
        <f>'CLT NOVA'!AD208</f>
        <v>6142.53</v>
      </c>
      <c r="O34" s="105">
        <f t="shared" si="0"/>
        <v>2047.6286666666667</v>
      </c>
      <c r="P34" s="105">
        <f>'CLT NOVA'!BX208</f>
        <v>30714.43</v>
      </c>
      <c r="Q34" s="118"/>
    </row>
    <row r="35" spans="1:18" s="107" customFormat="1">
      <c r="A35" s="219">
        <v>34</v>
      </c>
      <c r="B35" s="37" t="s">
        <v>79</v>
      </c>
      <c r="C35" s="106" t="s">
        <v>89</v>
      </c>
      <c r="D35" s="106" t="s">
        <v>102</v>
      </c>
      <c r="E35" s="106" t="s">
        <v>102</v>
      </c>
      <c r="F35" s="106" t="s">
        <v>103</v>
      </c>
      <c r="G35" s="106" t="s">
        <v>22</v>
      </c>
      <c r="H35" s="106">
        <v>514320</v>
      </c>
      <c r="I35" s="106" t="s">
        <v>92</v>
      </c>
      <c r="J35" s="121">
        <v>44746</v>
      </c>
      <c r="K35" s="121">
        <v>45225</v>
      </c>
      <c r="L35" s="124">
        <f>DATEDIF(J35,K35,"m")</f>
        <v>15</v>
      </c>
      <c r="M35" s="105">
        <f>'CLT NOVA'!AE485</f>
        <v>1715.69</v>
      </c>
      <c r="N35" s="109">
        <f>'CLT NOVA'!AT485</f>
        <v>6536.18</v>
      </c>
      <c r="O35" s="105">
        <f t="shared" ref="O35:O56" si="2">P35/L35</f>
        <v>2510.3093333333336</v>
      </c>
      <c r="P35" s="105">
        <f>'CLT NOVA'!BX485</f>
        <v>37654.640000000007</v>
      </c>
      <c r="Q35" s="118"/>
      <c r="R35" s="123"/>
    </row>
    <row r="36" spans="1:18" s="107" customFormat="1">
      <c r="A36" s="219">
        <v>35</v>
      </c>
      <c r="B36" s="37" t="s">
        <v>143</v>
      </c>
      <c r="C36" s="106" t="s">
        <v>99</v>
      </c>
      <c r="D36" s="106" t="s">
        <v>144</v>
      </c>
      <c r="E36" s="106" t="s">
        <v>144</v>
      </c>
      <c r="F36" s="106" t="s">
        <v>145</v>
      </c>
      <c r="G36" s="106" t="s">
        <v>146</v>
      </c>
      <c r="H36" s="106"/>
      <c r="I36" s="106" t="s">
        <v>23</v>
      </c>
      <c r="J36" s="121">
        <v>45495</v>
      </c>
      <c r="K36" s="121"/>
      <c r="L36" s="124">
        <f ca="1">DATEDIF(J36,TODAY(),"m")</f>
        <v>22</v>
      </c>
      <c r="M36" s="105">
        <v>706</v>
      </c>
      <c r="N36" s="105">
        <f>'CLT NOVA'!BW129</f>
        <v>1000</v>
      </c>
      <c r="O36" s="105">
        <f t="shared" ca="1" si="2"/>
        <v>744.4486363636363</v>
      </c>
      <c r="P36" s="105">
        <f>'CLT NOVA'!BX129</f>
        <v>16377.869999999999</v>
      </c>
      <c r="Q36" s="118"/>
    </row>
    <row r="37" spans="1:18" s="107" customFormat="1">
      <c r="A37" s="219">
        <v>36</v>
      </c>
      <c r="B37" s="37" t="s">
        <v>147</v>
      </c>
      <c r="C37" s="106" t="s">
        <v>89</v>
      </c>
      <c r="D37" s="106" t="s">
        <v>102</v>
      </c>
      <c r="E37" s="106" t="s">
        <v>120</v>
      </c>
      <c r="F37" s="106" t="s">
        <v>104</v>
      </c>
      <c r="G37" s="106" t="s">
        <v>22</v>
      </c>
      <c r="H37" s="106">
        <v>514320</v>
      </c>
      <c r="I37" s="106" t="s">
        <v>23</v>
      </c>
      <c r="J37" s="121">
        <v>45498</v>
      </c>
      <c r="K37" s="121"/>
      <c r="L37" s="124">
        <f ca="1">DATEDIF(J37,TODAY(),"m")</f>
        <v>22</v>
      </c>
      <c r="M37" s="105">
        <f>'CLT NOVA'!BD498</f>
        <v>2202.66</v>
      </c>
      <c r="N37" s="109">
        <f>'CLT NOVA'!BW498</f>
        <v>53.339999999999996</v>
      </c>
      <c r="O37" s="105">
        <f t="shared" ca="1" si="2"/>
        <v>1755.0436363636361</v>
      </c>
      <c r="P37" s="105">
        <f>'CLT NOVA'!BX498</f>
        <v>38610.959999999992</v>
      </c>
      <c r="Q37" s="118"/>
      <c r="R37" s="123"/>
    </row>
    <row r="38" spans="1:18" s="107" customFormat="1">
      <c r="A38" s="219">
        <v>37</v>
      </c>
      <c r="B38" s="37" t="s">
        <v>148</v>
      </c>
      <c r="C38" s="106" t="s">
        <v>89</v>
      </c>
      <c r="D38" s="106" t="s">
        <v>102</v>
      </c>
      <c r="E38" s="106" t="s">
        <v>102</v>
      </c>
      <c r="F38" s="106" t="s">
        <v>103</v>
      </c>
      <c r="G38" s="106" t="s">
        <v>22</v>
      </c>
      <c r="H38" s="106">
        <v>514320</v>
      </c>
      <c r="I38" s="106" t="s">
        <v>23</v>
      </c>
      <c r="J38" s="121">
        <v>45505</v>
      </c>
      <c r="K38" s="121"/>
      <c r="L38" s="124">
        <f ca="1">DATEDIF(J38,TODAY(),"m")</f>
        <v>22</v>
      </c>
      <c r="M38" s="105">
        <f>'CLT NOVA'!BD655</f>
        <v>2172.7199999999998</v>
      </c>
      <c r="N38" s="111">
        <f>'CLT NOVA'!BW655</f>
        <v>2450.5099999999998</v>
      </c>
      <c r="O38" s="105">
        <f t="shared" ca="1" si="2"/>
        <v>2174.0777272727273</v>
      </c>
      <c r="P38" s="105">
        <f>'CLT NOVA'!BX655</f>
        <v>47829.71</v>
      </c>
      <c r="Q38" s="118"/>
    </row>
    <row r="39" spans="1:18" s="107" customFormat="1">
      <c r="A39" s="219">
        <v>38</v>
      </c>
      <c r="B39" s="37" t="s">
        <v>149</v>
      </c>
      <c r="C39" s="106" t="s">
        <v>89</v>
      </c>
      <c r="D39" s="106" t="s">
        <v>90</v>
      </c>
      <c r="E39" s="106" t="s">
        <v>90</v>
      </c>
      <c r="F39" s="106" t="s">
        <v>25</v>
      </c>
      <c r="G39" s="106" t="s">
        <v>41</v>
      </c>
      <c r="H39" s="106"/>
      <c r="I39" s="106" t="s">
        <v>92</v>
      </c>
      <c r="J39" s="121">
        <v>44138</v>
      </c>
      <c r="K39" s="121">
        <v>44602</v>
      </c>
      <c r="L39" s="124">
        <f>DATEDIF(J39,K39,"m")</f>
        <v>15</v>
      </c>
      <c r="M39" s="105">
        <f>'MEI - NOVA'!K35</f>
        <v>4157.67</v>
      </c>
      <c r="N39" s="111">
        <f>'MEI - NOVA'!Y35</f>
        <v>4275</v>
      </c>
      <c r="O39" s="105">
        <f t="shared" si="2"/>
        <v>3666.3186666666666</v>
      </c>
      <c r="P39" s="105">
        <f>'MEI - NOVA'!BX35</f>
        <v>54994.78</v>
      </c>
    </row>
    <row r="40" spans="1:18" s="107" customFormat="1" ht="13.9" customHeight="1">
      <c r="A40" s="219">
        <v>39</v>
      </c>
      <c r="B40" s="37" t="s">
        <v>20</v>
      </c>
      <c r="C40" s="106" t="s">
        <v>89</v>
      </c>
      <c r="D40" s="106" t="s">
        <v>150</v>
      </c>
      <c r="E40" s="106" t="s">
        <v>150</v>
      </c>
      <c r="F40" s="106" t="s">
        <v>104</v>
      </c>
      <c r="G40" s="106" t="s">
        <v>22</v>
      </c>
      <c r="H40" s="106">
        <v>514320</v>
      </c>
      <c r="I40" s="106" t="s">
        <v>92</v>
      </c>
      <c r="J40" s="121">
        <v>45264</v>
      </c>
      <c r="K40" s="121">
        <v>45664</v>
      </c>
      <c r="L40" s="124">
        <f>DATEDIF(J40,K40,"m")</f>
        <v>13</v>
      </c>
      <c r="M40" s="171">
        <f>'CLT NOVA'!AV17</f>
        <v>2474.73</v>
      </c>
      <c r="N40" s="105">
        <f>'CLT NOVA'!BI33</f>
        <v>44.12</v>
      </c>
      <c r="O40" s="105">
        <f t="shared" si="2"/>
        <v>1607.6307692307689</v>
      </c>
      <c r="P40" s="105">
        <f>'CLT NOVA'!BX33</f>
        <v>20899.199999999997</v>
      </c>
      <c r="Q40" s="118"/>
    </row>
    <row r="41" spans="1:18" s="107" customFormat="1" ht="13.9" customHeight="1">
      <c r="A41" s="219">
        <v>40</v>
      </c>
      <c r="B41" s="37" t="s">
        <v>151</v>
      </c>
      <c r="C41" s="106" t="s">
        <v>136</v>
      </c>
      <c r="D41" s="106" t="s">
        <v>152</v>
      </c>
      <c r="E41" s="106" t="s">
        <v>152</v>
      </c>
      <c r="F41" s="106" t="s">
        <v>49</v>
      </c>
      <c r="G41" s="106" t="s">
        <v>41</v>
      </c>
      <c r="H41" s="106"/>
      <c r="I41" s="106" t="s">
        <v>23</v>
      </c>
      <c r="J41" s="121">
        <v>45547</v>
      </c>
      <c r="K41" s="121"/>
      <c r="L41" s="124">
        <f ca="1">DATEDIF(J41,TODAY(),"m")</f>
        <v>20</v>
      </c>
      <c r="M41" s="105">
        <f>'MEI - NOVA'!BF40</f>
        <v>3000</v>
      </c>
      <c r="N41" s="109">
        <f>'MEI - NOVA'!BW40</f>
        <v>8015.41</v>
      </c>
      <c r="O41" s="105">
        <f t="shared" ca="1" si="2"/>
        <v>4871.183500000001</v>
      </c>
      <c r="P41" s="105">
        <f>'MEI - NOVA'!BX40</f>
        <v>97423.670000000013</v>
      </c>
    </row>
    <row r="42" spans="1:18" s="107" customFormat="1" ht="13.9" customHeight="1">
      <c r="A42" s="219">
        <v>41</v>
      </c>
      <c r="B42" s="37" t="s">
        <v>153</v>
      </c>
      <c r="C42" s="106" t="s">
        <v>89</v>
      </c>
      <c r="D42" s="106" t="s">
        <v>100</v>
      </c>
      <c r="E42" s="106" t="s">
        <v>154</v>
      </c>
      <c r="F42" s="106" t="s">
        <v>25</v>
      </c>
      <c r="G42" s="106" t="s">
        <v>41</v>
      </c>
      <c r="H42" s="106"/>
      <c r="I42" s="106" t="s">
        <v>23</v>
      </c>
      <c r="J42" s="121">
        <v>45566</v>
      </c>
      <c r="K42" s="121"/>
      <c r="L42" s="124">
        <f ca="1">DATEDIF(J42,TODAY(),"m")</f>
        <v>20</v>
      </c>
      <c r="M42" s="105">
        <f>'MEI - NOVA'!BF62</f>
        <v>2500</v>
      </c>
      <c r="N42" s="105">
        <f>'MEI - NOVA'!BW62</f>
        <v>4500</v>
      </c>
      <c r="O42" s="105">
        <f t="shared" ca="1" si="2"/>
        <v>3450</v>
      </c>
      <c r="P42" s="105">
        <f>'MEI - NOVA'!BX62</f>
        <v>69000</v>
      </c>
    </row>
    <row r="43" spans="1:18" s="107" customFormat="1">
      <c r="A43" s="219">
        <v>42</v>
      </c>
      <c r="B43" s="37" t="s">
        <v>155</v>
      </c>
      <c r="C43" s="106" t="s">
        <v>89</v>
      </c>
      <c r="D43" s="106" t="s">
        <v>90</v>
      </c>
      <c r="E43" s="106" t="s">
        <v>90</v>
      </c>
      <c r="F43" s="106" t="s">
        <v>25</v>
      </c>
      <c r="G43" s="106" t="s">
        <v>41</v>
      </c>
      <c r="H43" s="106"/>
      <c r="I43" s="106" t="s">
        <v>92</v>
      </c>
      <c r="J43" s="121">
        <v>44586</v>
      </c>
      <c r="K43" s="121">
        <v>44986</v>
      </c>
      <c r="L43" s="124">
        <f>DATEDIF(J43,K43,"m")</f>
        <v>13</v>
      </c>
      <c r="M43" s="105">
        <f>'MEI - NOVA'!Z58</f>
        <v>3220</v>
      </c>
      <c r="N43" s="105">
        <f>'MEI - NOVA'!BK62</f>
        <v>4500</v>
      </c>
      <c r="O43" s="105">
        <f t="shared" si="2"/>
        <v>3753.4730769230764</v>
      </c>
      <c r="P43" s="105">
        <f>'MEI - NOVA'!BX58</f>
        <v>48795.149999999994</v>
      </c>
    </row>
    <row r="44" spans="1:18" s="107" customFormat="1">
      <c r="A44" s="219">
        <v>43</v>
      </c>
      <c r="B44" s="37" t="s">
        <v>156</v>
      </c>
      <c r="C44" s="106" t="s">
        <v>89</v>
      </c>
      <c r="D44" s="106" t="s">
        <v>102</v>
      </c>
      <c r="E44" s="106" t="s">
        <v>102</v>
      </c>
      <c r="F44" s="106" t="s">
        <v>103</v>
      </c>
      <c r="G44" s="106" t="s">
        <v>22</v>
      </c>
      <c r="H44" s="106">
        <v>911205</v>
      </c>
      <c r="I44" s="106" t="s">
        <v>92</v>
      </c>
      <c r="J44" s="121">
        <v>44228</v>
      </c>
      <c r="K44" s="121">
        <v>44603</v>
      </c>
      <c r="L44" s="124">
        <f>DATEDIF(J44,K44,"m")</f>
        <v>12</v>
      </c>
      <c r="M44" s="105">
        <f>'CLT NOVA'!N642</f>
        <v>1542.6200000000001</v>
      </c>
      <c r="N44" s="111">
        <f>'CLT NOVA'!Z642</f>
        <v>2947.17</v>
      </c>
      <c r="O44" s="105">
        <f t="shared" si="2"/>
        <v>1884.4158333333332</v>
      </c>
      <c r="P44" s="105">
        <f>'CLT NOVA'!BX642</f>
        <v>22612.989999999998</v>
      </c>
      <c r="Q44" s="118"/>
    </row>
    <row r="45" spans="1:18" s="107" customFormat="1">
      <c r="A45" s="219">
        <v>44</v>
      </c>
      <c r="B45" s="37" t="s">
        <v>157</v>
      </c>
      <c r="C45" s="106" t="s">
        <v>89</v>
      </c>
      <c r="D45" s="106" t="s">
        <v>102</v>
      </c>
      <c r="E45" s="106" t="s">
        <v>102</v>
      </c>
      <c r="F45" s="106" t="s">
        <v>103</v>
      </c>
      <c r="G45" s="106" t="s">
        <v>22</v>
      </c>
      <c r="H45" s="106">
        <v>514320</v>
      </c>
      <c r="I45" s="106" t="s">
        <v>92</v>
      </c>
      <c r="J45" s="121">
        <v>45604</v>
      </c>
      <c r="K45" s="121"/>
      <c r="L45" s="124">
        <f ca="1">DATEDIF(J45,TODAY(),"m")</f>
        <v>18</v>
      </c>
      <c r="M45" s="105">
        <f>'CLT NOVA'!BH524</f>
        <v>2163.12</v>
      </c>
      <c r="N45" s="109">
        <f>'CLT NOVA'!BV524</f>
        <v>5214.45</v>
      </c>
      <c r="O45" s="105">
        <f t="shared" ca="1" si="2"/>
        <v>2257.0077777777778</v>
      </c>
      <c r="P45" s="105">
        <f>'CLT NOVA'!BX524</f>
        <v>40626.14</v>
      </c>
      <c r="Q45" s="118"/>
      <c r="R45" s="123"/>
    </row>
    <row r="46" spans="1:18" s="107" customFormat="1">
      <c r="A46" s="219">
        <v>45</v>
      </c>
      <c r="B46" s="37" t="s">
        <v>158</v>
      </c>
      <c r="C46" s="106" t="s">
        <v>89</v>
      </c>
      <c r="D46" s="106" t="s">
        <v>102</v>
      </c>
      <c r="E46" s="106" t="s">
        <v>102</v>
      </c>
      <c r="F46" s="106" t="s">
        <v>103</v>
      </c>
      <c r="G46" s="106" t="s">
        <v>22</v>
      </c>
      <c r="H46" s="106">
        <v>514320</v>
      </c>
      <c r="I46" s="106" t="s">
        <v>92</v>
      </c>
      <c r="J46" s="121">
        <v>44916</v>
      </c>
      <c r="K46" s="121">
        <v>45260</v>
      </c>
      <c r="L46" s="124">
        <f>DATEDIF(J46,K46,"m")</f>
        <v>11</v>
      </c>
      <c r="M46" s="105">
        <f>'CLT NOVA'!AK302</f>
        <v>2110.87</v>
      </c>
      <c r="N46" s="105">
        <f>'CLT NOVA'!AU302</f>
        <v>9624.8900000000012</v>
      </c>
      <c r="O46" s="105">
        <f t="shared" si="2"/>
        <v>2847.9372727272726</v>
      </c>
      <c r="P46" s="105">
        <f>'CLT NOVA'!BX302</f>
        <v>31327.309999999998</v>
      </c>
      <c r="Q46" s="118"/>
    </row>
    <row r="47" spans="1:18" s="107" customFormat="1">
      <c r="A47" s="219">
        <v>46</v>
      </c>
      <c r="B47" s="37" t="s">
        <v>36</v>
      </c>
      <c r="C47" s="106" t="s">
        <v>89</v>
      </c>
      <c r="D47" s="106" t="s">
        <v>102</v>
      </c>
      <c r="E47" s="106" t="s">
        <v>102</v>
      </c>
      <c r="F47" s="106" t="s">
        <v>103</v>
      </c>
      <c r="G47" s="106" t="s">
        <v>22</v>
      </c>
      <c r="H47" s="106">
        <v>514320</v>
      </c>
      <c r="I47" s="106" t="s">
        <v>92</v>
      </c>
      <c r="J47" s="121">
        <v>45264</v>
      </c>
      <c r="K47" s="121">
        <v>45622</v>
      </c>
      <c r="L47" s="124">
        <f>DATEDIF(J47,K47,"m")</f>
        <v>11</v>
      </c>
      <c r="M47" s="105">
        <f>'CLT NOVA'!AV551</f>
        <v>2096.5299999999997</v>
      </c>
      <c r="N47" s="105">
        <f>'CLT NOVA'!BG551</f>
        <v>6800.21</v>
      </c>
      <c r="O47" s="105">
        <f t="shared" si="2"/>
        <v>2755.8427272727272</v>
      </c>
      <c r="P47" s="105">
        <f>'CLT NOVA'!BX551</f>
        <v>30314.269999999997</v>
      </c>
      <c r="Q47" s="118"/>
    </row>
    <row r="48" spans="1:18" s="107" customFormat="1">
      <c r="A48" s="219">
        <v>47</v>
      </c>
      <c r="B48" s="37" t="s">
        <v>159</v>
      </c>
      <c r="C48" s="127" t="s">
        <v>89</v>
      </c>
      <c r="D48" s="127" t="s">
        <v>102</v>
      </c>
      <c r="E48" s="127" t="s">
        <v>102</v>
      </c>
      <c r="F48" s="106" t="s">
        <v>160</v>
      </c>
      <c r="G48" s="106" t="s">
        <v>22</v>
      </c>
      <c r="H48" s="106">
        <v>514320</v>
      </c>
      <c r="I48" s="106" t="s">
        <v>92</v>
      </c>
      <c r="J48" s="121">
        <v>44972</v>
      </c>
      <c r="K48" s="121">
        <v>45299</v>
      </c>
      <c r="L48" s="124">
        <f>DATEDIF(J48,K48,"m")</f>
        <v>10</v>
      </c>
      <c r="M48" s="105">
        <f>'CLT NOVA'!AM158</f>
        <v>2062.0500000000002</v>
      </c>
      <c r="N48" s="105">
        <f>'CLT NOVA'!AW158</f>
        <v>496.02</v>
      </c>
      <c r="O48" s="105">
        <f t="shared" si="2"/>
        <v>2470.2179999999998</v>
      </c>
      <c r="P48" s="105">
        <f>'CLT NOVA'!BX158</f>
        <v>24702.179999999997</v>
      </c>
      <c r="Q48" s="118"/>
    </row>
    <row r="49" spans="1:17" s="107" customFormat="1">
      <c r="A49" s="219">
        <v>48</v>
      </c>
      <c r="B49" s="37" t="s">
        <v>34</v>
      </c>
      <c r="C49" s="106" t="s">
        <v>89</v>
      </c>
      <c r="D49" s="106" t="s">
        <v>102</v>
      </c>
      <c r="E49" s="106" t="s">
        <v>102</v>
      </c>
      <c r="F49" s="106" t="s">
        <v>104</v>
      </c>
      <c r="G49" s="106" t="s">
        <v>22</v>
      </c>
      <c r="H49" s="106">
        <v>514320</v>
      </c>
      <c r="I49" s="106" t="s">
        <v>92</v>
      </c>
      <c r="J49" s="121">
        <v>45145</v>
      </c>
      <c r="K49" s="121">
        <v>45473</v>
      </c>
      <c r="L49" s="124">
        <f>DATEDIF(J49,K49,"m")</f>
        <v>10</v>
      </c>
      <c r="M49" s="105">
        <f>'CLT NOVA'!AS459</f>
        <v>2282.8199999999997</v>
      </c>
      <c r="N49" s="111">
        <f>'CLT NOVA'!BB459</f>
        <v>3042.2500000000005</v>
      </c>
      <c r="O49" s="105">
        <f t="shared" si="2"/>
        <v>2916.2460000000001</v>
      </c>
      <c r="P49" s="105">
        <f>'CLT NOVA'!BX459</f>
        <v>29162.460000000003</v>
      </c>
      <c r="Q49" s="118"/>
    </row>
    <row r="50" spans="1:17" s="107" customFormat="1">
      <c r="A50" s="219">
        <v>49</v>
      </c>
      <c r="B50" s="37" t="s">
        <v>161</v>
      </c>
      <c r="C50" s="106" t="s">
        <v>89</v>
      </c>
      <c r="D50" s="106" t="s">
        <v>162</v>
      </c>
      <c r="E50" s="106" t="s">
        <v>162</v>
      </c>
      <c r="F50" s="106" t="s">
        <v>45</v>
      </c>
      <c r="G50" s="106" t="s">
        <v>41</v>
      </c>
      <c r="H50" s="106"/>
      <c r="I50" s="106" t="s">
        <v>23</v>
      </c>
      <c r="J50" s="121">
        <v>45637</v>
      </c>
      <c r="K50" s="106"/>
      <c r="L50" s="124">
        <f ca="1">DATEDIF(J50,TODAY(),"m")</f>
        <v>17</v>
      </c>
      <c r="M50" s="105">
        <f>'MEI - NOVA'!BI18</f>
        <v>3000</v>
      </c>
      <c r="N50" s="105">
        <f>'MEI - NOVA'!BW18</f>
        <v>3500</v>
      </c>
      <c r="O50" s="105">
        <f t="shared" ca="1" si="2"/>
        <v>2911.7647058823532</v>
      </c>
      <c r="P50" s="105">
        <f>'MEI - NOVA'!BX18</f>
        <v>49500</v>
      </c>
    </row>
    <row r="51" spans="1:17" s="107" customFormat="1">
      <c r="A51" s="219">
        <v>50</v>
      </c>
      <c r="B51" s="37" t="s">
        <v>163</v>
      </c>
      <c r="C51" s="106" t="s">
        <v>89</v>
      </c>
      <c r="D51" s="106" t="s">
        <v>90</v>
      </c>
      <c r="E51" s="106" t="s">
        <v>90</v>
      </c>
      <c r="F51" s="106" t="s">
        <v>25</v>
      </c>
      <c r="G51" s="106" t="s">
        <v>41</v>
      </c>
      <c r="H51" s="106"/>
      <c r="I51" s="106" t="s">
        <v>92</v>
      </c>
      <c r="J51" s="121">
        <v>45566</v>
      </c>
      <c r="K51" s="121">
        <v>45900</v>
      </c>
      <c r="L51" s="124">
        <f>DATEDIF(J51,K51,"m")</f>
        <v>10</v>
      </c>
      <c r="M51" s="105">
        <f>'MEI - NOVA'!BF7</f>
        <v>4099.16</v>
      </c>
      <c r="N51" s="111">
        <f>'MEI - NOVA'!BN7</f>
        <v>5350</v>
      </c>
      <c r="O51" s="105">
        <f t="shared" si="2"/>
        <v>3864.6089999999995</v>
      </c>
      <c r="P51" s="105">
        <f>'MEI - NOVA'!BX7</f>
        <v>38646.089999999997</v>
      </c>
    </row>
    <row r="52" spans="1:17" s="107" customFormat="1">
      <c r="A52" s="219">
        <v>51</v>
      </c>
      <c r="B52" s="150" t="s">
        <v>164</v>
      </c>
      <c r="C52" s="108" t="s">
        <v>136</v>
      </c>
      <c r="D52" s="108" t="s">
        <v>165</v>
      </c>
      <c r="E52" s="108" t="s">
        <v>165</v>
      </c>
      <c r="F52" s="106" t="s">
        <v>45</v>
      </c>
      <c r="G52" s="106" t="s">
        <v>41</v>
      </c>
      <c r="H52" s="106"/>
      <c r="I52" s="106" t="s">
        <v>23</v>
      </c>
      <c r="J52" s="121">
        <v>45688</v>
      </c>
      <c r="K52" s="121"/>
      <c r="L52" s="124">
        <f ca="1">DATEDIF(J52,TODAY(),"m")</f>
        <v>16</v>
      </c>
      <c r="M52" s="105">
        <f>'MEI - NOVA'!BJ27</f>
        <v>2583.33</v>
      </c>
      <c r="N52" s="172">
        <f>'MEI - NOVA'!BV27</f>
        <v>3783.36</v>
      </c>
      <c r="O52" s="105">
        <f t="shared" ca="1" si="2"/>
        <v>3271.5925000000002</v>
      </c>
      <c r="P52" s="105">
        <f>'MEI - NOVA'!BX27</f>
        <v>52345.48</v>
      </c>
    </row>
    <row r="53" spans="1:17" s="107" customFormat="1">
      <c r="A53" s="219">
        <v>52</v>
      </c>
      <c r="B53" s="150" t="s">
        <v>166</v>
      </c>
      <c r="C53" s="108" t="s">
        <v>121</v>
      </c>
      <c r="D53" s="108" t="s">
        <v>167</v>
      </c>
      <c r="E53" s="108" t="s">
        <v>167</v>
      </c>
      <c r="F53" s="106" t="s">
        <v>45</v>
      </c>
      <c r="G53" s="106" t="s">
        <v>41</v>
      </c>
      <c r="H53" s="106"/>
      <c r="I53" s="106" t="s">
        <v>23</v>
      </c>
      <c r="J53" s="167">
        <v>45677</v>
      </c>
      <c r="K53" s="124"/>
      <c r="L53" s="124">
        <f ca="1">DATEDIF(J53,TODAY(),"m")</f>
        <v>16</v>
      </c>
      <c r="M53" s="105">
        <f>'MEI - NOVA'!BI30</f>
        <v>1000</v>
      </c>
      <c r="N53" s="105">
        <f>'MEI - NOVA'!BW30</f>
        <v>4000</v>
      </c>
      <c r="O53" s="105">
        <f t="shared" ca="1" si="2"/>
        <v>3187.5</v>
      </c>
      <c r="P53" s="105">
        <f>'MEI - NOVA'!BX30</f>
        <v>51000</v>
      </c>
    </row>
    <row r="54" spans="1:17" s="107" customFormat="1">
      <c r="A54" s="219">
        <v>53</v>
      </c>
      <c r="B54" s="37" t="s">
        <v>168</v>
      </c>
      <c r="C54" s="106" t="s">
        <v>89</v>
      </c>
      <c r="D54" s="106" t="s">
        <v>90</v>
      </c>
      <c r="E54" s="106" t="s">
        <v>90</v>
      </c>
      <c r="F54" s="106" t="s">
        <v>169</v>
      </c>
      <c r="G54" s="106" t="s">
        <v>41</v>
      </c>
      <c r="H54" s="106"/>
      <c r="I54" s="106" t="s">
        <v>23</v>
      </c>
      <c r="J54" s="121">
        <v>45691</v>
      </c>
      <c r="K54" s="106"/>
      <c r="L54" s="124">
        <f ca="1">DATEDIF(J54,TODAY(),"m")</f>
        <v>15</v>
      </c>
      <c r="M54" s="105">
        <f>'MEI - NOVA'!BJ47</f>
        <v>4421</v>
      </c>
      <c r="N54" s="111">
        <f>'MEI - NOVA'!BW47</f>
        <v>3783.33</v>
      </c>
      <c r="O54" s="105">
        <f t="shared" ca="1" si="2"/>
        <v>3973.467333333333</v>
      </c>
      <c r="P54" s="105">
        <f>'MEI - NOVA'!BX47</f>
        <v>59602.009999999995</v>
      </c>
      <c r="Q54" s="125"/>
    </row>
    <row r="55" spans="1:17" s="107" customFormat="1">
      <c r="A55" s="219">
        <v>54</v>
      </c>
      <c r="B55" s="37" t="s">
        <v>170</v>
      </c>
      <c r="C55" s="106" t="s">
        <v>99</v>
      </c>
      <c r="D55" s="106" t="s">
        <v>171</v>
      </c>
      <c r="E55" s="106" t="s">
        <v>171</v>
      </c>
      <c r="F55" s="106" t="s">
        <v>25</v>
      </c>
      <c r="G55" s="106" t="s">
        <v>41</v>
      </c>
      <c r="H55" s="106"/>
      <c r="I55" s="106" t="s">
        <v>92</v>
      </c>
      <c r="J55" s="121">
        <v>45539</v>
      </c>
      <c r="K55" s="121">
        <v>45813</v>
      </c>
      <c r="L55" s="124">
        <f>DATEDIF(J55,K55,"m")</f>
        <v>9</v>
      </c>
      <c r="M55" s="105">
        <f>'MEI - NOVA'!BF37</f>
        <v>3000</v>
      </c>
      <c r="N55" s="111">
        <f>'MEI - NOVA'!BK37</f>
        <v>3000</v>
      </c>
      <c r="O55" s="105">
        <f t="shared" si="2"/>
        <v>3033.3333333333335</v>
      </c>
      <c r="P55" s="105">
        <f>'MEI - NOVA'!BX37</f>
        <v>27300</v>
      </c>
    </row>
    <row r="56" spans="1:17" s="107" customFormat="1">
      <c r="A56" s="219">
        <v>55</v>
      </c>
      <c r="B56" s="37" t="s">
        <v>24</v>
      </c>
      <c r="C56" s="106" t="s">
        <v>89</v>
      </c>
      <c r="D56" s="106" t="s">
        <v>102</v>
      </c>
      <c r="E56" s="106" t="s">
        <v>90</v>
      </c>
      <c r="F56" s="106" t="s">
        <v>25</v>
      </c>
      <c r="G56" s="106" t="s">
        <v>22</v>
      </c>
      <c r="H56" s="106">
        <v>514320</v>
      </c>
      <c r="I56" s="106" t="s">
        <v>92</v>
      </c>
      <c r="J56" s="121">
        <v>45302</v>
      </c>
      <c r="K56" s="121">
        <v>45565</v>
      </c>
      <c r="L56" s="124">
        <f>DATEDIF(J56,K56,"m")</f>
        <v>8</v>
      </c>
      <c r="M56" s="171">
        <f>'CLT NOVA'!AV33</f>
        <v>2203.0299999999997</v>
      </c>
      <c r="N56" s="171">
        <f>'CLT NOVA'!BE49</f>
        <v>4880.97</v>
      </c>
      <c r="O56" s="105">
        <f t="shared" si="2"/>
        <v>3071.4862499999999</v>
      </c>
      <c r="P56" s="105">
        <f>'CLT NOVA'!BX49</f>
        <v>24571.89</v>
      </c>
      <c r="Q56" s="118"/>
    </row>
    <row r="57" spans="1:17" s="107" customFormat="1">
      <c r="A57" s="219">
        <v>56</v>
      </c>
      <c r="B57" s="37" t="s">
        <v>172</v>
      </c>
      <c r="C57" s="106" t="s">
        <v>89</v>
      </c>
      <c r="D57" s="106" t="s">
        <v>173</v>
      </c>
      <c r="E57" s="106" t="s">
        <v>174</v>
      </c>
      <c r="F57" s="106" t="s">
        <v>175</v>
      </c>
      <c r="G57" s="106" t="s">
        <v>22</v>
      </c>
      <c r="H57" s="106" t="s">
        <v>176</v>
      </c>
      <c r="I57" s="106" t="s">
        <v>92</v>
      </c>
      <c r="J57" s="121">
        <v>45726</v>
      </c>
      <c r="K57" s="121"/>
      <c r="L57" s="124">
        <f ca="1">DATEDIF(J57,TODAY(),"m")</f>
        <v>14</v>
      </c>
      <c r="M57" s="171">
        <f>'CLT NOVA'!BK694</f>
        <v>540.9</v>
      </c>
      <c r="N57" s="171">
        <f>'CLT NOVA'!BK694</f>
        <v>540.9</v>
      </c>
      <c r="O57" s="105">
        <v>540.9</v>
      </c>
      <c r="P57" s="105">
        <f>'CLT NOVA'!BX694</f>
        <v>540.9</v>
      </c>
      <c r="Q57" s="118"/>
    </row>
    <row r="58" spans="1:17" s="107" customFormat="1">
      <c r="A58" s="219">
        <v>57</v>
      </c>
      <c r="B58" s="37" t="s">
        <v>30</v>
      </c>
      <c r="C58" s="106" t="s">
        <v>89</v>
      </c>
      <c r="D58" s="106" t="s">
        <v>102</v>
      </c>
      <c r="E58" s="106" t="s">
        <v>102</v>
      </c>
      <c r="F58" s="106" t="s">
        <v>103</v>
      </c>
      <c r="G58" s="106" t="s">
        <v>22</v>
      </c>
      <c r="H58" s="106">
        <v>514425</v>
      </c>
      <c r="I58" s="106" t="s">
        <v>92</v>
      </c>
      <c r="J58" s="121">
        <v>45376</v>
      </c>
      <c r="K58" s="121">
        <v>45624</v>
      </c>
      <c r="L58" s="124">
        <f>DATEDIF(J58,K58,"m")</f>
        <v>8</v>
      </c>
      <c r="M58" s="105">
        <f>'CLT NOVA'!AZ249</f>
        <v>2238.5199999999995</v>
      </c>
      <c r="N58" s="111">
        <f>'CLT NOVA'!BG249</f>
        <v>6126.1100000000006</v>
      </c>
      <c r="O58" s="105">
        <f t="shared" ref="O58:O96" si="3">P58/L58</f>
        <v>2739.9575</v>
      </c>
      <c r="P58" s="105">
        <f>'CLT NOVA'!BX249</f>
        <v>21919.66</v>
      </c>
      <c r="Q58" s="118"/>
    </row>
    <row r="59" spans="1:17" s="107" customFormat="1">
      <c r="A59" s="219">
        <v>58</v>
      </c>
      <c r="B59" s="37" t="s">
        <v>33</v>
      </c>
      <c r="C59" s="106" t="s">
        <v>89</v>
      </c>
      <c r="D59" s="106" t="s">
        <v>102</v>
      </c>
      <c r="E59" s="106" t="s">
        <v>102</v>
      </c>
      <c r="F59" s="106" t="s">
        <v>103</v>
      </c>
      <c r="G59" s="106" t="s">
        <v>22</v>
      </c>
      <c r="H59" s="106">
        <v>514320</v>
      </c>
      <c r="I59" s="106" t="s">
        <v>92</v>
      </c>
      <c r="J59" s="121">
        <v>45376</v>
      </c>
      <c r="K59" s="121">
        <v>45622</v>
      </c>
      <c r="L59" s="124">
        <f>DATEDIF(J59,K59,"m")</f>
        <v>8</v>
      </c>
      <c r="M59" s="105">
        <f>'CLT NOVA'!AZ407</f>
        <v>2163.12</v>
      </c>
      <c r="N59" s="105">
        <f>'CLT NOVA'!BG407</f>
        <v>5755.36</v>
      </c>
      <c r="O59" s="105">
        <f t="shared" si="3"/>
        <v>2642.2565</v>
      </c>
      <c r="P59" s="105">
        <f>'CLT NOVA'!BX407</f>
        <v>21138.052</v>
      </c>
      <c r="Q59" s="118"/>
    </row>
    <row r="60" spans="1:17" s="107" customFormat="1">
      <c r="A60" s="219">
        <v>59</v>
      </c>
      <c r="B60" s="37" t="s">
        <v>39</v>
      </c>
      <c r="C60" s="106" t="s">
        <v>89</v>
      </c>
      <c r="D60" s="106" t="s">
        <v>177</v>
      </c>
      <c r="E60" s="106" t="s">
        <v>177</v>
      </c>
      <c r="F60" s="106" t="s">
        <v>21</v>
      </c>
      <c r="G60" s="106" t="s">
        <v>41</v>
      </c>
      <c r="H60" s="106"/>
      <c r="I60" s="106" t="s">
        <v>92</v>
      </c>
      <c r="J60" s="121">
        <v>45281</v>
      </c>
      <c r="K60" s="121">
        <v>45536</v>
      </c>
      <c r="L60" s="124">
        <f>DATEDIF(J60,K60,"m")</f>
        <v>8</v>
      </c>
      <c r="M60" s="105">
        <f>'MEI - NOVA'!AW2</f>
        <v>4250</v>
      </c>
      <c r="N60" s="111">
        <f>'MEI - NOVA'!BD2</f>
        <v>2250</v>
      </c>
      <c r="O60" s="105">
        <f t="shared" si="3"/>
        <v>4447.2662499999997</v>
      </c>
      <c r="P60" s="105">
        <f>'MEI - NOVA'!BX2</f>
        <v>35578.129999999997</v>
      </c>
    </row>
    <row r="61" spans="1:17" s="107" customFormat="1">
      <c r="A61" s="219">
        <v>60</v>
      </c>
      <c r="B61" s="37" t="s">
        <v>178</v>
      </c>
      <c r="C61" s="106" t="s">
        <v>89</v>
      </c>
      <c r="D61" s="106" t="s">
        <v>90</v>
      </c>
      <c r="E61" s="106" t="s">
        <v>90</v>
      </c>
      <c r="F61" s="106" t="s">
        <v>21</v>
      </c>
      <c r="G61" s="106" t="s">
        <v>41</v>
      </c>
      <c r="H61" s="106"/>
      <c r="I61" s="106" t="s">
        <v>92</v>
      </c>
      <c r="J61" s="121">
        <v>45302</v>
      </c>
      <c r="K61" s="121">
        <v>45572</v>
      </c>
      <c r="L61" s="124">
        <f>DATEDIF(J61,K61,"m")</f>
        <v>8</v>
      </c>
      <c r="M61" s="105">
        <f>'MEI - NOVA'!AX14</f>
        <v>4250</v>
      </c>
      <c r="N61" s="111">
        <f>'MEI - NOVA'!BF14</f>
        <v>2083.5700000000002</v>
      </c>
      <c r="O61" s="105">
        <f t="shared" si="3"/>
        <v>4942.1587499999996</v>
      </c>
      <c r="P61" s="105">
        <f>'MEI - NOVA'!BX14</f>
        <v>39537.269999999997</v>
      </c>
    </row>
    <row r="62" spans="1:17" s="107" customFormat="1">
      <c r="A62" s="219">
        <v>61</v>
      </c>
      <c r="B62" s="37" t="s">
        <v>179</v>
      </c>
      <c r="C62" s="106" t="s">
        <v>89</v>
      </c>
      <c r="D62" s="106" t="s">
        <v>102</v>
      </c>
      <c r="E62" s="106" t="s">
        <v>102</v>
      </c>
      <c r="F62" s="106" t="s">
        <v>180</v>
      </c>
      <c r="G62" s="106" t="s">
        <v>22</v>
      </c>
      <c r="H62" s="106">
        <v>514325</v>
      </c>
      <c r="I62" s="106" t="s">
        <v>92</v>
      </c>
      <c r="J62" s="121">
        <v>45701</v>
      </c>
      <c r="K62" s="121"/>
      <c r="L62" s="124">
        <f ca="1">DATEDIF(J62,TODAY(),"m")</f>
        <v>15</v>
      </c>
      <c r="M62" s="105">
        <f>'CLT NOVA'!BJ341</f>
        <v>1142.6600000000001</v>
      </c>
      <c r="N62" s="111">
        <f>'CLT NOVA'!BQ341</f>
        <v>0</v>
      </c>
      <c r="O62" s="105">
        <f t="shared" ca="1" si="3"/>
        <v>964.23066666666682</v>
      </c>
      <c r="P62" s="105">
        <f>'CLT NOVA'!BX341</f>
        <v>14463.460000000003</v>
      </c>
      <c r="Q62" s="118"/>
    </row>
    <row r="63" spans="1:17" s="107" customFormat="1">
      <c r="A63" s="219">
        <v>62</v>
      </c>
      <c r="B63" s="37" t="s">
        <v>181</v>
      </c>
      <c r="C63" s="106" t="s">
        <v>89</v>
      </c>
      <c r="D63" s="106" t="s">
        <v>102</v>
      </c>
      <c r="E63" s="106" t="s">
        <v>102</v>
      </c>
      <c r="F63" s="106" t="s">
        <v>104</v>
      </c>
      <c r="G63" s="106" t="s">
        <v>22</v>
      </c>
      <c r="H63" s="106">
        <v>514325</v>
      </c>
      <c r="I63" s="106" t="s">
        <v>92</v>
      </c>
      <c r="J63" s="121">
        <v>45707</v>
      </c>
      <c r="K63" s="121"/>
      <c r="L63" s="124">
        <f ca="1">DATEDIF(J63,TODAY(),"m")</f>
        <v>15</v>
      </c>
      <c r="M63" s="105">
        <f>'CLT NOVA'!BJ381</f>
        <v>889.89</v>
      </c>
      <c r="N63" s="105">
        <f>'CLT NOVA'!BR381</f>
        <v>896.36999999999989</v>
      </c>
      <c r="O63" s="105">
        <f t="shared" ca="1" si="3"/>
        <v>1219.419333333333</v>
      </c>
      <c r="P63" s="105">
        <f>'CLT NOVA'!BX381</f>
        <v>18291.289999999997</v>
      </c>
      <c r="Q63" s="118"/>
    </row>
    <row r="64" spans="1:17" s="107" customFormat="1">
      <c r="A64" s="219">
        <v>63</v>
      </c>
      <c r="B64" s="37" t="s">
        <v>182</v>
      </c>
      <c r="C64" s="106" t="s">
        <v>89</v>
      </c>
      <c r="D64" s="106" t="s">
        <v>183</v>
      </c>
      <c r="E64" s="106" t="s">
        <v>183</v>
      </c>
      <c r="F64" s="106" t="s">
        <v>175</v>
      </c>
      <c r="G64" s="106" t="s">
        <v>22</v>
      </c>
      <c r="H64" s="106" t="s">
        <v>176</v>
      </c>
      <c r="I64" s="106" t="s">
        <v>92</v>
      </c>
      <c r="J64" s="121">
        <v>45726</v>
      </c>
      <c r="K64" s="121"/>
      <c r="L64" s="124">
        <f ca="1">DATEDIF(J64,TODAY(),"m")</f>
        <v>14</v>
      </c>
      <c r="M64" s="105">
        <f>'CLT NOVA'!BK733</f>
        <v>2317.3799999999997</v>
      </c>
      <c r="N64" s="105">
        <f>'CLT NOVA'!BR733</f>
        <v>3762.51</v>
      </c>
      <c r="O64" s="105">
        <f t="shared" ca="1" si="3"/>
        <v>1846.9292857142859</v>
      </c>
      <c r="P64" s="105">
        <f>'CLT NOVA'!BX733</f>
        <v>25857.010000000002</v>
      </c>
      <c r="Q64" s="118"/>
    </row>
    <row r="65" spans="1:18" s="107" customFormat="1">
      <c r="A65" s="219">
        <v>64</v>
      </c>
      <c r="B65" s="150" t="s">
        <v>184</v>
      </c>
      <c r="C65" s="108" t="s">
        <v>113</v>
      </c>
      <c r="D65" s="108" t="s">
        <v>140</v>
      </c>
      <c r="E65" s="108" t="s">
        <v>140</v>
      </c>
      <c r="F65" s="106" t="s">
        <v>45</v>
      </c>
      <c r="G65" s="106" t="s">
        <v>41</v>
      </c>
      <c r="H65" s="106"/>
      <c r="I65" s="106" t="s">
        <v>92</v>
      </c>
      <c r="J65" s="167">
        <v>45719</v>
      </c>
      <c r="K65" s="121">
        <v>45915</v>
      </c>
      <c r="L65" s="124">
        <f ca="1">DATEDIF(J65,TODAY(),"m")</f>
        <v>14</v>
      </c>
      <c r="M65" s="105">
        <f>'MEI - NOVA'!BK29</f>
        <v>3850</v>
      </c>
      <c r="N65" s="105">
        <v>4500</v>
      </c>
      <c r="O65" s="105">
        <f t="shared" ca="1" si="3"/>
        <v>1882.1428571428571</v>
      </c>
      <c r="P65" s="105">
        <f>'MEI - NOVA'!BX29</f>
        <v>26350</v>
      </c>
    </row>
    <row r="66" spans="1:18" s="107" customFormat="1">
      <c r="A66" s="219">
        <v>65</v>
      </c>
      <c r="B66" s="37" t="s">
        <v>185</v>
      </c>
      <c r="C66" s="106" t="s">
        <v>89</v>
      </c>
      <c r="D66" s="106" t="s">
        <v>186</v>
      </c>
      <c r="E66" s="106" t="s">
        <v>186</v>
      </c>
      <c r="F66" s="106" t="s">
        <v>175</v>
      </c>
      <c r="G66" s="106" t="s">
        <v>22</v>
      </c>
      <c r="H66" s="106" t="s">
        <v>187</v>
      </c>
      <c r="I66" s="106" t="s">
        <v>23</v>
      </c>
      <c r="J66" s="121">
        <v>45726</v>
      </c>
      <c r="K66" s="121"/>
      <c r="L66" s="124">
        <f ca="1">DATEDIF(J66,TODAY(),"m")</f>
        <v>14</v>
      </c>
      <c r="M66" s="105">
        <f>'CLT NOVA'!BK746</f>
        <v>2491.9300000000003</v>
      </c>
      <c r="N66" s="105">
        <f>'CLT NOVA'!BW746</f>
        <v>4084.9400000000005</v>
      </c>
      <c r="O66" s="105">
        <f t="shared" ca="1" si="3"/>
        <v>3408.1742857142858</v>
      </c>
      <c r="P66" s="105">
        <f>'CLT NOVA'!BX746</f>
        <v>47714.44</v>
      </c>
      <c r="Q66" s="118"/>
    </row>
    <row r="67" spans="1:18" s="107" customFormat="1">
      <c r="A67" s="219">
        <v>66</v>
      </c>
      <c r="B67" s="150" t="s">
        <v>188</v>
      </c>
      <c r="C67" s="108" t="s">
        <v>189</v>
      </c>
      <c r="D67" s="108" t="s">
        <v>190</v>
      </c>
      <c r="E67" s="108" t="s">
        <v>190</v>
      </c>
      <c r="F67" s="106" t="s">
        <v>145</v>
      </c>
      <c r="G67" s="106" t="s">
        <v>41</v>
      </c>
      <c r="H67" s="106"/>
      <c r="I67" s="106" t="s">
        <v>92</v>
      </c>
      <c r="J67" s="121">
        <v>45397</v>
      </c>
      <c r="K67" s="121">
        <v>45652</v>
      </c>
      <c r="L67" s="124">
        <f>DATEDIF(J67,K67,"m")</f>
        <v>8</v>
      </c>
      <c r="M67" s="105">
        <f>'MEI - NOVA'!BA33</f>
        <v>2470</v>
      </c>
      <c r="N67" s="105">
        <f>'MEI - NOVA'!BG33</f>
        <v>2470</v>
      </c>
      <c r="O67" s="105">
        <f t="shared" si="3"/>
        <v>2317.9162500000002</v>
      </c>
      <c r="P67" s="105">
        <f>'MEI - NOVA'!BX33</f>
        <v>18543.330000000002</v>
      </c>
    </row>
    <row r="68" spans="1:18" s="107" customFormat="1">
      <c r="A68" s="219">
        <v>67</v>
      </c>
      <c r="B68" s="37" t="s">
        <v>191</v>
      </c>
      <c r="C68" s="106" t="s">
        <v>89</v>
      </c>
      <c r="D68" s="106" t="s">
        <v>173</v>
      </c>
      <c r="E68" s="106" t="s">
        <v>173</v>
      </c>
      <c r="F68" s="106" t="s">
        <v>175</v>
      </c>
      <c r="G68" s="106" t="s">
        <v>22</v>
      </c>
      <c r="H68" s="106" t="s">
        <v>176</v>
      </c>
      <c r="I68" s="106" t="s">
        <v>23</v>
      </c>
      <c r="J68" s="121">
        <v>45726</v>
      </c>
      <c r="K68" s="121"/>
      <c r="L68" s="124">
        <f ca="1">DATEDIF(J68,TODAY(),"m")</f>
        <v>14</v>
      </c>
      <c r="M68" s="105">
        <f>'CLT NOVA'!BK772</f>
        <v>1924.2599999999998</v>
      </c>
      <c r="N68" s="105">
        <f>'CLT NOVA'!BW772</f>
        <v>3327.3</v>
      </c>
      <c r="O68" s="105">
        <f t="shared" ca="1" si="3"/>
        <v>2660.8064285714286</v>
      </c>
      <c r="P68" s="105">
        <f>'CLT NOVA'!BX772</f>
        <v>37251.29</v>
      </c>
      <c r="Q68" s="118"/>
    </row>
    <row r="69" spans="1:18" s="107" customFormat="1">
      <c r="A69" s="219">
        <v>68</v>
      </c>
      <c r="B69" s="37" t="s">
        <v>75</v>
      </c>
      <c r="C69" s="106" t="s">
        <v>121</v>
      </c>
      <c r="D69" s="106" t="s">
        <v>126</v>
      </c>
      <c r="E69" s="106" t="s">
        <v>192</v>
      </c>
      <c r="F69" s="106" t="s">
        <v>45</v>
      </c>
      <c r="G69" s="106" t="s">
        <v>41</v>
      </c>
      <c r="H69" s="106"/>
      <c r="I69" s="106" t="s">
        <v>92</v>
      </c>
      <c r="J69" s="121">
        <v>45383</v>
      </c>
      <c r="K69" s="121">
        <v>45626</v>
      </c>
      <c r="L69" s="124">
        <f>DATEDIF(J69,K69,"m")</f>
        <v>7</v>
      </c>
      <c r="M69" s="105">
        <f>'MEI - NOVA'!AV16</f>
        <v>3500</v>
      </c>
      <c r="N69" s="105">
        <f>'MEI - NOVA'!BF16</f>
        <v>4000</v>
      </c>
      <c r="O69" s="105">
        <f t="shared" si="3"/>
        <v>6214.2857142857147</v>
      </c>
      <c r="P69" s="105">
        <f>'MEI - NOVA'!BX16</f>
        <v>43500</v>
      </c>
    </row>
    <row r="70" spans="1:18" s="107" customFormat="1">
      <c r="A70" s="219">
        <v>69</v>
      </c>
      <c r="B70" s="150" t="s">
        <v>193</v>
      </c>
      <c r="C70" s="108" t="s">
        <v>99</v>
      </c>
      <c r="D70" s="108" t="s">
        <v>194</v>
      </c>
      <c r="E70" s="108" t="s">
        <v>194</v>
      </c>
      <c r="F70" s="106" t="s">
        <v>45</v>
      </c>
      <c r="G70" s="155" t="s">
        <v>41</v>
      </c>
      <c r="H70" s="106"/>
      <c r="I70" s="106" t="s">
        <v>23</v>
      </c>
      <c r="J70" s="167">
        <v>45747</v>
      </c>
      <c r="K70" s="170"/>
      <c r="L70" s="124">
        <f t="shared" ref="L70:L76" ca="1" si="4">DATEDIF(J70,TODAY(),"m")</f>
        <v>14</v>
      </c>
      <c r="M70" s="20">
        <f>'MEI - NOVA'!BL61</f>
        <v>3616.67</v>
      </c>
      <c r="N70" s="169">
        <f>'MEI - NOVA'!BW61</f>
        <v>3500</v>
      </c>
      <c r="O70" s="105">
        <f t="shared" ca="1" si="3"/>
        <v>3008.3335714285713</v>
      </c>
      <c r="P70" s="105">
        <f>'MEI - NOVA'!BX61</f>
        <v>42116.67</v>
      </c>
      <c r="Q70"/>
      <c r="R70"/>
    </row>
    <row r="71" spans="1:18" s="107" customFormat="1">
      <c r="A71" s="219">
        <v>70</v>
      </c>
      <c r="B71" s="37" t="s">
        <v>195</v>
      </c>
      <c r="C71" s="106" t="s">
        <v>89</v>
      </c>
      <c r="D71" s="106" t="s">
        <v>183</v>
      </c>
      <c r="E71" s="106" t="s">
        <v>183</v>
      </c>
      <c r="F71" s="106" t="s">
        <v>175</v>
      </c>
      <c r="G71" s="106" t="s">
        <v>22</v>
      </c>
      <c r="H71" s="106" t="s">
        <v>176</v>
      </c>
      <c r="I71" s="106" t="s">
        <v>23</v>
      </c>
      <c r="J71" s="121">
        <v>45729</v>
      </c>
      <c r="K71" s="121"/>
      <c r="L71" s="124">
        <f t="shared" ca="1" si="4"/>
        <v>14</v>
      </c>
      <c r="M71" s="105">
        <f>'CLT NOVA'!BK720</f>
        <v>2329.8199999999997</v>
      </c>
      <c r="N71" s="111">
        <f>'CLT NOVA'!BW720</f>
        <v>3128.01</v>
      </c>
      <c r="O71" s="105">
        <f t="shared" ca="1" si="3"/>
        <v>2428.0371428571439</v>
      </c>
      <c r="P71" s="105">
        <f>'CLT NOVA'!BX720</f>
        <v>33992.520000000011</v>
      </c>
      <c r="Q71" s="118"/>
    </row>
    <row r="72" spans="1:18" s="107" customFormat="1">
      <c r="A72" s="219">
        <v>71</v>
      </c>
      <c r="B72" s="37" t="s">
        <v>196</v>
      </c>
      <c r="C72" s="106" t="s">
        <v>89</v>
      </c>
      <c r="D72" s="106" t="s">
        <v>183</v>
      </c>
      <c r="E72" s="106" t="s">
        <v>183</v>
      </c>
      <c r="F72" s="106" t="s">
        <v>175</v>
      </c>
      <c r="G72" s="106" t="s">
        <v>22</v>
      </c>
      <c r="H72" s="106" t="s">
        <v>176</v>
      </c>
      <c r="I72" s="106" t="s">
        <v>23</v>
      </c>
      <c r="J72" s="121">
        <v>45729</v>
      </c>
      <c r="K72" s="121"/>
      <c r="L72" s="124">
        <f t="shared" ca="1" si="4"/>
        <v>14</v>
      </c>
      <c r="M72" s="105">
        <f>'CLT NOVA'!BK759</f>
        <v>2056.6999999999998</v>
      </c>
      <c r="N72" s="109">
        <f>'CLT NOVA'!BW759</f>
        <v>3900.2300000000005</v>
      </c>
      <c r="O72" s="105">
        <f t="shared" ca="1" si="3"/>
        <v>3168.9650000000001</v>
      </c>
      <c r="P72" s="105">
        <f>'CLT NOVA'!BX759</f>
        <v>44365.51</v>
      </c>
      <c r="Q72" s="118"/>
      <c r="R72" s="123"/>
    </row>
    <row r="73" spans="1:18" s="107" customFormat="1">
      <c r="A73" s="219">
        <v>72</v>
      </c>
      <c r="B73" s="150" t="s">
        <v>197</v>
      </c>
      <c r="C73" s="108" t="s">
        <v>189</v>
      </c>
      <c r="D73" s="108" t="s">
        <v>190</v>
      </c>
      <c r="E73" s="108" t="s">
        <v>190</v>
      </c>
      <c r="F73" s="106" t="s">
        <v>145</v>
      </c>
      <c r="G73" s="155" t="s">
        <v>41</v>
      </c>
      <c r="H73" s="106"/>
      <c r="I73" s="106" t="s">
        <v>92</v>
      </c>
      <c r="J73" s="26">
        <v>45750</v>
      </c>
      <c r="K73" s="170"/>
      <c r="L73" s="124">
        <f t="shared" ca="1" si="4"/>
        <v>13</v>
      </c>
      <c r="M73" s="20">
        <f>'MEI - NOVA'!BL36</f>
        <v>2763.07</v>
      </c>
      <c r="N73" s="169">
        <f>'MEI - NOVA'!BP36</f>
        <v>2500</v>
      </c>
      <c r="O73" s="105">
        <f t="shared" ca="1" si="3"/>
        <v>1751.0053846153846</v>
      </c>
      <c r="P73" s="105">
        <f>'MEI - NOVA'!BX36</f>
        <v>22763.07</v>
      </c>
      <c r="Q73"/>
      <c r="R73"/>
    </row>
    <row r="74" spans="1:18" s="107" customFormat="1">
      <c r="A74" s="219">
        <v>73</v>
      </c>
      <c r="B74" s="150" t="s">
        <v>198</v>
      </c>
      <c r="C74" s="108" t="s">
        <v>99</v>
      </c>
      <c r="D74" s="108" t="s">
        <v>100</v>
      </c>
      <c r="E74" s="108" t="s">
        <v>100</v>
      </c>
      <c r="F74" s="106" t="s">
        <v>45</v>
      </c>
      <c r="G74" s="155" t="s">
        <v>41</v>
      </c>
      <c r="H74" s="106"/>
      <c r="I74" s="106" t="s">
        <v>23</v>
      </c>
      <c r="J74" s="26">
        <v>45740</v>
      </c>
      <c r="K74" s="170"/>
      <c r="L74" s="124">
        <f t="shared" ca="1" si="4"/>
        <v>14</v>
      </c>
      <c r="M74" s="20">
        <f>'MEI - NOVA'!BL50</f>
        <v>2000</v>
      </c>
      <c r="N74" s="169">
        <f>'MEI - NOVA'!BW50</f>
        <v>4000</v>
      </c>
      <c r="O74" s="105">
        <f t="shared" ca="1" si="3"/>
        <v>2642.8571428571427</v>
      </c>
      <c r="P74" s="105">
        <f>'MEI - NOVA'!BX50</f>
        <v>37000</v>
      </c>
      <c r="Q74"/>
      <c r="R74"/>
    </row>
    <row r="75" spans="1:18" s="107" customFormat="1">
      <c r="A75" s="219">
        <v>74</v>
      </c>
      <c r="B75" s="150" t="s">
        <v>199</v>
      </c>
      <c r="C75" s="106" t="s">
        <v>89</v>
      </c>
      <c r="D75" s="106" t="s">
        <v>102</v>
      </c>
      <c r="E75" s="106" t="s">
        <v>102</v>
      </c>
      <c r="F75" s="106" t="s">
        <v>104</v>
      </c>
      <c r="G75" s="106" t="s">
        <v>22</v>
      </c>
      <c r="H75" s="106">
        <v>514320</v>
      </c>
      <c r="I75" s="106" t="s">
        <v>92</v>
      </c>
      <c r="J75" s="121">
        <v>45751</v>
      </c>
      <c r="K75" s="217"/>
      <c r="L75" s="124">
        <f t="shared" ca="1" si="4"/>
        <v>13</v>
      </c>
      <c r="M75" s="109">
        <f>'CLT NOVA'!BL841</f>
        <v>2007.3799999999999</v>
      </c>
      <c r="N75" s="171">
        <f>'CLT NOVA'!BU841</f>
        <v>4374.26</v>
      </c>
      <c r="O75" s="105">
        <f t="shared" ca="1" si="3"/>
        <v>1881.0269230769229</v>
      </c>
      <c r="P75" s="105">
        <f>'CLT NOVA'!BX841</f>
        <v>24453.35</v>
      </c>
    </row>
    <row r="76" spans="1:18" s="107" customFormat="1">
      <c r="A76" s="219">
        <v>75</v>
      </c>
      <c r="B76" s="150" t="s">
        <v>200</v>
      </c>
      <c r="C76" s="106" t="s">
        <v>89</v>
      </c>
      <c r="D76" s="106" t="s">
        <v>102</v>
      </c>
      <c r="E76" s="106" t="s">
        <v>102</v>
      </c>
      <c r="F76" s="106" t="s">
        <v>104</v>
      </c>
      <c r="G76" s="106" t="s">
        <v>22</v>
      </c>
      <c r="H76" s="106">
        <v>514320</v>
      </c>
      <c r="I76" s="106" t="s">
        <v>92</v>
      </c>
      <c r="J76" s="121">
        <v>45751</v>
      </c>
      <c r="K76" s="217"/>
      <c r="L76" s="124">
        <f t="shared" ca="1" si="4"/>
        <v>13</v>
      </c>
      <c r="M76" s="109">
        <f>'CLT NOVA'!BL854</f>
        <v>1990.8799999999999</v>
      </c>
      <c r="N76" s="171">
        <f>'CLT NOVA'!BR854</f>
        <v>6549.31</v>
      </c>
      <c r="O76" s="105">
        <f t="shared" ca="1" si="3"/>
        <v>1529.8453846153848</v>
      </c>
      <c r="P76" s="105">
        <f>'CLT NOVA'!BX854</f>
        <v>19887.990000000002</v>
      </c>
    </row>
    <row r="77" spans="1:18" s="107" customFormat="1">
      <c r="A77" s="219">
        <v>76</v>
      </c>
      <c r="B77" s="37" t="s">
        <v>35</v>
      </c>
      <c r="C77" s="106" t="s">
        <v>89</v>
      </c>
      <c r="D77" s="106" t="s">
        <v>102</v>
      </c>
      <c r="E77" s="106" t="s">
        <v>102</v>
      </c>
      <c r="F77" s="106" t="s">
        <v>104</v>
      </c>
      <c r="G77" s="106" t="s">
        <v>22</v>
      </c>
      <c r="H77" s="106">
        <v>514320</v>
      </c>
      <c r="I77" s="106" t="s">
        <v>92</v>
      </c>
      <c r="J77" s="121">
        <v>45264</v>
      </c>
      <c r="K77" s="121">
        <v>45458</v>
      </c>
      <c r="L77" s="124">
        <f>DATEDIF(J77,K77,"m")</f>
        <v>6</v>
      </c>
      <c r="M77" s="105">
        <f>'CLT NOVA'!AW472</f>
        <v>2174.1699999999996</v>
      </c>
      <c r="N77" s="111">
        <f>'CLT NOVA'!BB472</f>
        <v>4977.7299999999996</v>
      </c>
      <c r="O77" s="105">
        <f t="shared" si="3"/>
        <v>3018.3416666666667</v>
      </c>
      <c r="P77" s="105">
        <f>'CLT NOVA'!BX472</f>
        <v>18110.05</v>
      </c>
      <c r="Q77" s="118"/>
    </row>
    <row r="78" spans="1:18" s="107" customFormat="1">
      <c r="A78" s="219">
        <v>77</v>
      </c>
      <c r="B78" s="37" t="s">
        <v>201</v>
      </c>
      <c r="C78" s="106" t="s">
        <v>121</v>
      </c>
      <c r="D78" s="106" t="s">
        <v>202</v>
      </c>
      <c r="E78" s="106" t="s">
        <v>203</v>
      </c>
      <c r="F78" s="106" t="s">
        <v>145</v>
      </c>
      <c r="G78" s="106" t="s">
        <v>22</v>
      </c>
      <c r="H78" s="106">
        <v>411005</v>
      </c>
      <c r="I78" s="106" t="s">
        <v>92</v>
      </c>
      <c r="J78" s="121">
        <v>45474</v>
      </c>
      <c r="K78" s="121">
        <v>45677</v>
      </c>
      <c r="L78" s="124">
        <f>DATEDIF(J78,K78,"m")</f>
        <v>6</v>
      </c>
      <c r="M78" s="105">
        <f>'CLT NOVA'!BC578</f>
        <v>2111.7399999999998</v>
      </c>
      <c r="N78" s="105">
        <f>'CLT NOVA'!BI578</f>
        <v>4349.43</v>
      </c>
      <c r="O78" s="105">
        <f t="shared" si="3"/>
        <v>2936.3449999999998</v>
      </c>
      <c r="P78" s="105">
        <f>'CLT NOVA'!BX578</f>
        <v>17618.07</v>
      </c>
      <c r="Q78" s="118"/>
    </row>
    <row r="79" spans="1:18" s="107" customFormat="1">
      <c r="A79" s="219">
        <v>78</v>
      </c>
      <c r="B79" s="37" t="s">
        <v>46</v>
      </c>
      <c r="C79" s="106" t="s">
        <v>89</v>
      </c>
      <c r="D79" s="106" t="s">
        <v>90</v>
      </c>
      <c r="E79" s="106" t="s">
        <v>90</v>
      </c>
      <c r="F79" s="106" t="s">
        <v>21</v>
      </c>
      <c r="G79" s="106" t="s">
        <v>41</v>
      </c>
      <c r="H79" s="106"/>
      <c r="I79" s="106" t="s">
        <v>92</v>
      </c>
      <c r="J79" s="121">
        <v>45264</v>
      </c>
      <c r="K79" s="121">
        <v>45454</v>
      </c>
      <c r="L79" s="124">
        <f>DATEDIF(J79,K79,"m")</f>
        <v>6</v>
      </c>
      <c r="M79" s="105">
        <f>'MEI - NOVA'!AW22</f>
        <v>4250</v>
      </c>
      <c r="N79" s="105">
        <f>'MEI - NOVA'!AX23</f>
        <v>2025.89</v>
      </c>
      <c r="O79" s="105">
        <f t="shared" si="3"/>
        <v>4549.1783333333333</v>
      </c>
      <c r="P79" s="105">
        <f>'MEI - NOVA'!BX22</f>
        <v>27295.07</v>
      </c>
    </row>
    <row r="80" spans="1:18" s="107" customFormat="1">
      <c r="A80" s="219">
        <v>79</v>
      </c>
      <c r="B80" s="37" t="s">
        <v>204</v>
      </c>
      <c r="C80" s="106" t="s">
        <v>89</v>
      </c>
      <c r="D80" s="106" t="s">
        <v>102</v>
      </c>
      <c r="E80" s="106" t="s">
        <v>102</v>
      </c>
      <c r="F80" s="106" t="s">
        <v>104</v>
      </c>
      <c r="G80" s="106" t="s">
        <v>22</v>
      </c>
      <c r="H80" s="106">
        <v>514325</v>
      </c>
      <c r="I80" s="106" t="s">
        <v>23</v>
      </c>
      <c r="J80" s="121">
        <v>45785</v>
      </c>
      <c r="K80" s="121"/>
      <c r="L80" s="124">
        <f ca="1">DATEDIF(J80,TODAY(),"m")</f>
        <v>12</v>
      </c>
      <c r="M80" s="105">
        <f>'CLT NOVA'!BM880</f>
        <v>1931.3300000000002</v>
      </c>
      <c r="N80" s="111">
        <f>'CLT NOVA'!BW880</f>
        <v>2461.77</v>
      </c>
      <c r="O80" s="105">
        <f t="shared" ca="1" si="3"/>
        <v>2161.3066666666668</v>
      </c>
      <c r="P80" s="105">
        <f>'CLT NOVA'!BX880</f>
        <v>25935.68</v>
      </c>
      <c r="Q80" s="118"/>
    </row>
    <row r="81" spans="1:18" s="107" customFormat="1">
      <c r="A81" s="219">
        <v>80</v>
      </c>
      <c r="B81" s="37" t="s">
        <v>205</v>
      </c>
      <c r="C81" s="106" t="s">
        <v>89</v>
      </c>
      <c r="D81" s="106" t="s">
        <v>102</v>
      </c>
      <c r="E81" s="106" t="s">
        <v>102</v>
      </c>
      <c r="F81" s="106" t="s">
        <v>104</v>
      </c>
      <c r="G81" s="106" t="s">
        <v>22</v>
      </c>
      <c r="H81" s="106">
        <v>514325</v>
      </c>
      <c r="I81" s="106" t="s">
        <v>92</v>
      </c>
      <c r="J81" s="121">
        <v>45785</v>
      </c>
      <c r="K81" s="121"/>
      <c r="L81" s="124">
        <f ca="1">DATEDIF(J81,TODAY(),"m")</f>
        <v>12</v>
      </c>
      <c r="M81" s="105">
        <f>'CLT NOVA'!BM867</f>
        <v>1904.8300000000002</v>
      </c>
      <c r="N81" s="111">
        <f>'CLT NOVA'!BQ867</f>
        <v>745.05</v>
      </c>
      <c r="O81" s="105">
        <f t="shared" ca="1" si="3"/>
        <v>836.14</v>
      </c>
      <c r="P81" s="105">
        <f>'CLT NOVA'!BX867</f>
        <v>10033.68</v>
      </c>
      <c r="Q81" s="118"/>
    </row>
    <row r="82" spans="1:18" s="107" customFormat="1">
      <c r="A82" s="219">
        <v>81</v>
      </c>
      <c r="B82" s="150" t="s">
        <v>206</v>
      </c>
      <c r="C82" s="106" t="s">
        <v>89</v>
      </c>
      <c r="D82" s="106" t="s">
        <v>173</v>
      </c>
      <c r="E82" s="106" t="s">
        <v>173</v>
      </c>
      <c r="F82" s="106" t="s">
        <v>175</v>
      </c>
      <c r="G82" s="106" t="s">
        <v>22</v>
      </c>
      <c r="H82" s="106" t="s">
        <v>176</v>
      </c>
      <c r="I82" s="106" t="s">
        <v>92</v>
      </c>
      <c r="J82" s="121">
        <v>45771</v>
      </c>
      <c r="K82" s="217"/>
      <c r="L82" s="124">
        <f ca="1">DATEDIF(J82,TODAY(),"m")</f>
        <v>13</v>
      </c>
      <c r="M82" s="109">
        <f>'CLT NOVA'!BL815</f>
        <v>651.70000000000005</v>
      </c>
      <c r="N82" s="171">
        <f>'CLT NOVA'!BW815</f>
        <v>1618.0099999999998</v>
      </c>
      <c r="O82" s="105">
        <f t="shared" ca="1" si="3"/>
        <v>2480.3430769230772</v>
      </c>
      <c r="P82" s="105">
        <f>'CLT NOVA'!BX815</f>
        <v>32244.460000000003</v>
      </c>
    </row>
    <row r="83" spans="1:18" s="107" customFormat="1">
      <c r="A83" s="219">
        <v>82</v>
      </c>
      <c r="B83" s="37" t="s">
        <v>207</v>
      </c>
      <c r="C83" s="106" t="s">
        <v>89</v>
      </c>
      <c r="D83" s="106" t="s">
        <v>102</v>
      </c>
      <c r="E83" s="106" t="s">
        <v>102</v>
      </c>
      <c r="F83" s="106" t="s">
        <v>51</v>
      </c>
      <c r="G83" s="106" t="s">
        <v>22</v>
      </c>
      <c r="H83" s="106">
        <v>514320</v>
      </c>
      <c r="I83" s="106" t="s">
        <v>92</v>
      </c>
      <c r="J83" s="121">
        <v>45448</v>
      </c>
      <c r="K83" s="121">
        <v>45624</v>
      </c>
      <c r="L83" s="124">
        <f>DATEDIF(J83,K83,"m")</f>
        <v>5</v>
      </c>
      <c r="M83" s="105">
        <f>'CLT NOVA'!BB236</f>
        <v>1872.41</v>
      </c>
      <c r="N83" s="111">
        <f>'CLT NOVA'!BG236</f>
        <v>4948.3599999999997</v>
      </c>
      <c r="O83" s="105">
        <f t="shared" si="3"/>
        <v>2938.8779999999997</v>
      </c>
      <c r="P83" s="105">
        <f>'CLT NOVA'!BX236</f>
        <v>14694.39</v>
      </c>
      <c r="Q83" s="118"/>
    </row>
    <row r="84" spans="1:18" s="107" customFormat="1">
      <c r="A84" s="219">
        <v>83</v>
      </c>
      <c r="B84" s="37" t="s">
        <v>208</v>
      </c>
      <c r="C84" s="106" t="s">
        <v>89</v>
      </c>
      <c r="D84" s="106" t="s">
        <v>102</v>
      </c>
      <c r="E84" s="106" t="s">
        <v>90</v>
      </c>
      <c r="F84" s="106" t="s">
        <v>209</v>
      </c>
      <c r="G84" s="106" t="s">
        <v>22</v>
      </c>
      <c r="H84" s="106">
        <v>514325</v>
      </c>
      <c r="I84" s="106" t="s">
        <v>92</v>
      </c>
      <c r="J84" s="121">
        <v>45579</v>
      </c>
      <c r="K84" s="121">
        <v>45747</v>
      </c>
      <c r="L84" s="124">
        <f>DATEDIF(J84,K84,"m")</f>
        <v>5</v>
      </c>
      <c r="M84" s="105">
        <f>'CLT NOVA'!AI289</f>
        <v>2076.7999999999997</v>
      </c>
      <c r="N84" s="111">
        <f>'CLT NOVA'!BK289</f>
        <v>3779.9700000000003</v>
      </c>
      <c r="O84" s="105">
        <f t="shared" si="3"/>
        <v>7200.5679999999993</v>
      </c>
      <c r="P84" s="105">
        <f>'CLT NOVA'!BX289</f>
        <v>36002.839999999997</v>
      </c>
      <c r="Q84" s="118"/>
    </row>
    <row r="85" spans="1:18" s="107" customFormat="1">
      <c r="A85" s="219">
        <v>84</v>
      </c>
      <c r="B85" s="37" t="s">
        <v>210</v>
      </c>
      <c r="C85" s="106" t="s">
        <v>121</v>
      </c>
      <c r="D85" s="106" t="s">
        <v>202</v>
      </c>
      <c r="E85" s="106" t="s">
        <v>203</v>
      </c>
      <c r="F85" s="106" t="s">
        <v>145</v>
      </c>
      <c r="G85" s="106" t="s">
        <v>22</v>
      </c>
      <c r="H85" s="106">
        <v>411005</v>
      </c>
      <c r="I85" s="106" t="s">
        <v>92</v>
      </c>
      <c r="J85" s="121">
        <v>45505</v>
      </c>
      <c r="K85" s="121">
        <v>45672</v>
      </c>
      <c r="L85" s="124">
        <f>DATEDIF(J85,K85,"m")</f>
        <v>5</v>
      </c>
      <c r="M85" s="105">
        <f>'CLT NOVA'!BD263</f>
        <v>2216.75</v>
      </c>
      <c r="N85" s="105">
        <f>'CLT NOVA'!BI263</f>
        <v>3257.87</v>
      </c>
      <c r="O85" s="105">
        <f t="shared" si="3"/>
        <v>3031.7160000000003</v>
      </c>
      <c r="P85" s="105">
        <f>'CLT NOVA'!BX263</f>
        <v>15158.580000000002</v>
      </c>
      <c r="Q85" s="118"/>
    </row>
    <row r="86" spans="1:18" s="107" customFormat="1">
      <c r="A86" s="219">
        <v>85</v>
      </c>
      <c r="B86" s="37" t="s">
        <v>48</v>
      </c>
      <c r="C86" s="106" t="s">
        <v>113</v>
      </c>
      <c r="D86" s="106" t="s">
        <v>114</v>
      </c>
      <c r="E86" s="106" t="s">
        <v>114</v>
      </c>
      <c r="F86" s="106" t="s">
        <v>49</v>
      </c>
      <c r="G86" s="106" t="s">
        <v>41</v>
      </c>
      <c r="H86" s="106"/>
      <c r="I86" s="106" t="s">
        <v>92</v>
      </c>
      <c r="J86" s="121">
        <v>45348</v>
      </c>
      <c r="K86" s="121">
        <v>45506</v>
      </c>
      <c r="L86" s="124">
        <f>DATEDIF(J86,K86,"m")</f>
        <v>5</v>
      </c>
      <c r="M86" s="105">
        <f>'MEI - NOVA'!AY25</f>
        <v>3000</v>
      </c>
      <c r="N86" s="105">
        <f>'MEI - NOVA'!BC25</f>
        <v>3193.55</v>
      </c>
      <c r="O86" s="105">
        <f t="shared" si="3"/>
        <v>3121.4679999999998</v>
      </c>
      <c r="P86" s="105">
        <f>'MEI - NOVA'!BX25</f>
        <v>15607.34</v>
      </c>
    </row>
    <row r="87" spans="1:18" s="107" customFormat="1">
      <c r="A87" s="219">
        <v>86</v>
      </c>
      <c r="B87" s="220" t="s">
        <v>211</v>
      </c>
      <c r="C87" s="106" t="s">
        <v>121</v>
      </c>
      <c r="D87" s="106" t="s">
        <v>212</v>
      </c>
      <c r="E87" s="106" t="s">
        <v>212</v>
      </c>
      <c r="F87" s="106" t="s">
        <v>49</v>
      </c>
      <c r="G87" s="106" t="s">
        <v>41</v>
      </c>
      <c r="H87" s="106"/>
      <c r="I87" s="106" t="s">
        <v>92</v>
      </c>
      <c r="J87" s="121">
        <v>45625</v>
      </c>
      <c r="K87" s="121">
        <v>45785</v>
      </c>
      <c r="L87" s="124">
        <f>DATEDIF(J87,K87,"m")</f>
        <v>5</v>
      </c>
      <c r="M87" s="105">
        <f>'MEI - NOVA'!BH45</f>
        <v>3000</v>
      </c>
      <c r="N87" s="111">
        <f>'MEI - NOVA'!BK45</f>
        <v>4000</v>
      </c>
      <c r="O87" s="105">
        <f t="shared" si="3"/>
        <v>3040</v>
      </c>
      <c r="P87" s="105">
        <f>'MEI - NOVA'!BX45</f>
        <v>15200</v>
      </c>
      <c r="Q87" s="125"/>
    </row>
    <row r="88" spans="1:18" s="107" customFormat="1">
      <c r="A88" s="219">
        <v>87</v>
      </c>
      <c r="B88" s="150" t="s">
        <v>213</v>
      </c>
      <c r="C88" s="108" t="s">
        <v>121</v>
      </c>
      <c r="D88" s="108" t="s">
        <v>122</v>
      </c>
      <c r="E88" s="108" t="s">
        <v>122</v>
      </c>
      <c r="F88" s="108" t="s">
        <v>45</v>
      </c>
      <c r="G88" s="106" t="s">
        <v>41</v>
      </c>
      <c r="H88" s="106"/>
      <c r="I88" s="106" t="s">
        <v>23</v>
      </c>
      <c r="J88" s="167">
        <v>45796</v>
      </c>
      <c r="K88" s="121"/>
      <c r="L88" s="124">
        <f ca="1">DATEDIF(J88,TODAY(),"m")</f>
        <v>12</v>
      </c>
      <c r="M88" s="105">
        <f>'MEI - NOVA'!BM6</f>
        <v>1300</v>
      </c>
      <c r="N88" s="111">
        <f>'MEI - NOVA'!BS6</f>
        <v>4000</v>
      </c>
      <c r="O88" s="105">
        <f t="shared" ca="1" si="3"/>
        <v>3300</v>
      </c>
      <c r="P88" s="105">
        <f>'MEI - NOVA'!BX6</f>
        <v>39600</v>
      </c>
    </row>
    <row r="89" spans="1:18" s="107" customFormat="1">
      <c r="A89" s="219">
        <v>88</v>
      </c>
      <c r="B89" s="37" t="s">
        <v>214</v>
      </c>
      <c r="C89" s="108" t="s">
        <v>99</v>
      </c>
      <c r="D89" s="106" t="s">
        <v>100</v>
      </c>
      <c r="E89" s="106" t="s">
        <v>100</v>
      </c>
      <c r="F89" s="106" t="s">
        <v>49</v>
      </c>
      <c r="G89" s="106" t="s">
        <v>41</v>
      </c>
      <c r="H89" s="106"/>
      <c r="I89" s="106" t="s">
        <v>92</v>
      </c>
      <c r="J89" s="121">
        <v>45810</v>
      </c>
      <c r="K89" s="121"/>
      <c r="L89" s="124">
        <f ca="1">DATEDIF(J89,TODAY(),"m")</f>
        <v>11</v>
      </c>
      <c r="M89" s="105">
        <f>'MEI - NOVA'!BN39</f>
        <v>2416.66</v>
      </c>
      <c r="N89" s="109">
        <f>'MEI - NOVA'!BS39</f>
        <v>2500</v>
      </c>
      <c r="O89" s="105">
        <f t="shared" ca="1" si="3"/>
        <v>1810.6054545454544</v>
      </c>
      <c r="P89" s="105">
        <f>'MEI - NOVA'!BX39</f>
        <v>19916.66</v>
      </c>
    </row>
    <row r="90" spans="1:18" s="107" customFormat="1">
      <c r="A90" s="219">
        <v>89</v>
      </c>
      <c r="B90" s="150" t="s">
        <v>215</v>
      </c>
      <c r="C90" s="108" t="s">
        <v>121</v>
      </c>
      <c r="D90" s="108" t="s">
        <v>212</v>
      </c>
      <c r="E90" s="108" t="s">
        <v>212</v>
      </c>
      <c r="F90" s="106" t="s">
        <v>49</v>
      </c>
      <c r="G90" s="106" t="s">
        <v>41</v>
      </c>
      <c r="H90" s="106"/>
      <c r="I90" s="106" t="s">
        <v>23</v>
      </c>
      <c r="J90" s="167">
        <v>45796</v>
      </c>
      <c r="K90" s="121"/>
      <c r="L90" s="124">
        <f ca="1">DATEDIF(J90,TODAY(),"m")</f>
        <v>12</v>
      </c>
      <c r="M90" s="105">
        <f>'MEI - NOVA'!BM43</f>
        <v>1950</v>
      </c>
      <c r="N90" s="109">
        <f>'MEI - NOVA'!BW43</f>
        <v>5500</v>
      </c>
      <c r="O90" s="105">
        <f t="shared" ca="1" si="3"/>
        <v>4329.166666666667</v>
      </c>
      <c r="P90" s="105">
        <f>'MEI - NOVA'!BX43</f>
        <v>51950</v>
      </c>
    </row>
    <row r="91" spans="1:18" s="107" customFormat="1">
      <c r="A91" s="219">
        <v>90</v>
      </c>
      <c r="B91" s="150" t="s">
        <v>208</v>
      </c>
      <c r="C91" s="108" t="s">
        <v>89</v>
      </c>
      <c r="D91" s="108" t="s">
        <v>90</v>
      </c>
      <c r="E91" s="108" t="s">
        <v>90</v>
      </c>
      <c r="F91" s="106" t="s">
        <v>180</v>
      </c>
      <c r="G91" s="155" t="s">
        <v>41</v>
      </c>
      <c r="H91" s="106"/>
      <c r="I91" s="106" t="s">
        <v>92</v>
      </c>
      <c r="J91" s="26">
        <v>45748</v>
      </c>
      <c r="K91" s="121">
        <v>45915</v>
      </c>
      <c r="L91" s="124">
        <f t="shared" ref="L91:L96" si="5">DATEDIF(J91,K91,"m")</f>
        <v>5</v>
      </c>
      <c r="M91" s="20">
        <f>'MEI - NOVA'!BL21</f>
        <v>4350</v>
      </c>
      <c r="N91" s="169">
        <f>M91</f>
        <v>4350</v>
      </c>
      <c r="O91" s="105">
        <f t="shared" si="3"/>
        <v>3818</v>
      </c>
      <c r="P91" s="105">
        <f>'MEI - NOVA'!BX21</f>
        <v>19090</v>
      </c>
      <c r="Q91"/>
      <c r="R91"/>
    </row>
    <row r="92" spans="1:18" s="107" customFormat="1">
      <c r="A92" s="219">
        <v>91</v>
      </c>
      <c r="B92" s="37" t="s">
        <v>216</v>
      </c>
      <c r="C92" s="106" t="s">
        <v>89</v>
      </c>
      <c r="D92" s="106" t="s">
        <v>102</v>
      </c>
      <c r="E92" s="106" t="s">
        <v>102</v>
      </c>
      <c r="F92" s="106" t="s">
        <v>103</v>
      </c>
      <c r="G92" s="106" t="s">
        <v>22</v>
      </c>
      <c r="H92" s="106">
        <v>911205</v>
      </c>
      <c r="I92" s="106" t="s">
        <v>92</v>
      </c>
      <c r="J92" s="121">
        <v>44138</v>
      </c>
      <c r="K92" s="121">
        <v>44265</v>
      </c>
      <c r="L92" s="124">
        <f t="shared" si="5"/>
        <v>4</v>
      </c>
      <c r="M92" s="105">
        <f>'CLT NOVA'!K276</f>
        <v>1315.1399999999999</v>
      </c>
      <c r="N92" s="111">
        <f>'CLT NOVA'!O276</f>
        <v>2782.8</v>
      </c>
      <c r="O92" s="105">
        <f t="shared" si="3"/>
        <v>2361.6824999999999</v>
      </c>
      <c r="P92" s="105">
        <f>'CLT NOVA'!BX276</f>
        <v>9446.73</v>
      </c>
      <c r="Q92" s="118"/>
    </row>
    <row r="93" spans="1:18" s="107" customFormat="1">
      <c r="A93" s="219">
        <v>92</v>
      </c>
      <c r="B93" s="37" t="s">
        <v>217</v>
      </c>
      <c r="C93" s="106" t="s">
        <v>218</v>
      </c>
      <c r="D93" s="106" t="s">
        <v>218</v>
      </c>
      <c r="E93" s="106" t="s">
        <v>218</v>
      </c>
      <c r="F93" s="106" t="s">
        <v>219</v>
      </c>
      <c r="G93" s="106" t="s">
        <v>41</v>
      </c>
      <c r="H93" s="106"/>
      <c r="I93" s="106" t="s">
        <v>92</v>
      </c>
      <c r="J93" s="121">
        <v>44866</v>
      </c>
      <c r="K93" s="121">
        <v>44986</v>
      </c>
      <c r="L93" s="124">
        <f t="shared" si="5"/>
        <v>4</v>
      </c>
      <c r="M93" s="105">
        <f>'MEI - NOVA'!AI55</f>
        <v>2000</v>
      </c>
      <c r="N93" s="111">
        <f>'MEI - NOVA'!AM55</f>
        <v>2000</v>
      </c>
      <c r="O93" s="105">
        <f t="shared" si="3"/>
        <v>2790.1525000000001</v>
      </c>
      <c r="P93" s="105">
        <f>'MEI - NOVA'!BX55</f>
        <v>11160.61</v>
      </c>
    </row>
    <row r="94" spans="1:18" s="107" customFormat="1">
      <c r="A94" s="219">
        <v>93</v>
      </c>
      <c r="B94" s="37" t="s">
        <v>220</v>
      </c>
      <c r="C94" s="106" t="s">
        <v>189</v>
      </c>
      <c r="D94" s="106" t="s">
        <v>190</v>
      </c>
      <c r="E94" s="106" t="s">
        <v>190</v>
      </c>
      <c r="F94" s="106" t="s">
        <v>145</v>
      </c>
      <c r="G94" s="106" t="s">
        <v>41</v>
      </c>
      <c r="H94" s="106"/>
      <c r="I94" s="106" t="s">
        <v>92</v>
      </c>
      <c r="J94" s="121">
        <v>45628</v>
      </c>
      <c r="K94" s="121">
        <v>45757</v>
      </c>
      <c r="L94" s="124">
        <f t="shared" si="5"/>
        <v>4</v>
      </c>
      <c r="M94" s="105">
        <f>'MEI - NOVA'!BH10</f>
        <v>3406.88</v>
      </c>
      <c r="N94" s="111">
        <f>'MEI - NOVA'!BK10</f>
        <v>2500</v>
      </c>
      <c r="O94" s="105">
        <f t="shared" si="3"/>
        <v>3026.7200000000003</v>
      </c>
      <c r="P94" s="105">
        <f>'MEI - NOVA'!BX10</f>
        <v>12106.880000000001</v>
      </c>
    </row>
    <row r="95" spans="1:18" s="107" customFormat="1">
      <c r="A95" s="219">
        <v>94</v>
      </c>
      <c r="B95" s="37" t="s">
        <v>221</v>
      </c>
      <c r="C95" s="106" t="s">
        <v>89</v>
      </c>
      <c r="D95" s="106" t="s">
        <v>124</v>
      </c>
      <c r="E95" s="106" t="s">
        <v>124</v>
      </c>
      <c r="F95" s="106" t="s">
        <v>45</v>
      </c>
      <c r="G95" s="106" t="s">
        <v>41</v>
      </c>
      <c r="H95" s="106"/>
      <c r="I95" s="106" t="s">
        <v>92</v>
      </c>
      <c r="J95" s="121">
        <v>45597</v>
      </c>
      <c r="K95" s="121">
        <v>45730</v>
      </c>
      <c r="L95" s="124">
        <f t="shared" si="5"/>
        <v>4</v>
      </c>
      <c r="M95" s="105">
        <f>'MEI - NOVA'!BG56</f>
        <v>5000</v>
      </c>
      <c r="N95" s="105">
        <f>'MEI - NOVA'!BK56</f>
        <v>2333.33</v>
      </c>
      <c r="O95" s="105">
        <f t="shared" si="3"/>
        <v>5583.3325000000004</v>
      </c>
      <c r="P95" s="105">
        <f>'MEI - NOVA'!BX56</f>
        <v>22333.33</v>
      </c>
    </row>
    <row r="96" spans="1:18" s="107" customFormat="1">
      <c r="A96" s="219">
        <v>95</v>
      </c>
      <c r="B96" s="150" t="s">
        <v>31</v>
      </c>
      <c r="C96" s="108" t="s">
        <v>89</v>
      </c>
      <c r="D96" s="108" t="s">
        <v>162</v>
      </c>
      <c r="E96" s="108" t="s">
        <v>162</v>
      </c>
      <c r="F96" s="106" t="s">
        <v>45</v>
      </c>
      <c r="G96" s="155" t="s">
        <v>41</v>
      </c>
      <c r="H96" s="106"/>
      <c r="I96" s="106" t="s">
        <v>92</v>
      </c>
      <c r="J96" s="26">
        <v>45743</v>
      </c>
      <c r="K96" s="121">
        <v>45873</v>
      </c>
      <c r="L96" s="124">
        <f t="shared" si="5"/>
        <v>4</v>
      </c>
      <c r="M96" s="20">
        <f>'MEI - NOVA'!BL31</f>
        <v>2500</v>
      </c>
      <c r="N96" s="169">
        <f>'MEI - NOVA'!BL31</f>
        <v>2500</v>
      </c>
      <c r="O96" s="105">
        <f t="shared" si="3"/>
        <v>1875</v>
      </c>
      <c r="P96" s="105">
        <f>'MEI - NOVA'!BX31</f>
        <v>7500</v>
      </c>
      <c r="Q96"/>
      <c r="R96"/>
    </row>
    <row r="97" spans="1:18" s="107" customFormat="1">
      <c r="A97" s="219">
        <v>96</v>
      </c>
      <c r="B97" s="150" t="s">
        <v>222</v>
      </c>
      <c r="C97" s="106" t="s">
        <v>89</v>
      </c>
      <c r="D97" s="106" t="s">
        <v>102</v>
      </c>
      <c r="E97" s="106" t="s">
        <v>102</v>
      </c>
      <c r="F97" s="106" t="s">
        <v>104</v>
      </c>
      <c r="G97" s="106" t="s">
        <v>22</v>
      </c>
      <c r="H97" s="106">
        <v>514320</v>
      </c>
      <c r="I97" s="106" t="s">
        <v>92</v>
      </c>
      <c r="J97" s="129">
        <v>45845</v>
      </c>
      <c r="K97" s="217"/>
      <c r="L97" s="124">
        <f ca="1">DATEDIF(J97,TODAY(),"m")</f>
        <v>10</v>
      </c>
      <c r="M97" s="109">
        <f>'CLT NOVA'!BO906</f>
        <v>2019.08</v>
      </c>
      <c r="N97" s="171">
        <f>'CLT NOVA'!BT906</f>
        <v>0</v>
      </c>
      <c r="O97" s="109">
        <f>'CLT NOVA'!BS906</f>
        <v>1196.3899999999999</v>
      </c>
      <c r="P97" s="171">
        <f>'CLT NOVA'!BX906</f>
        <v>10290.869999999999</v>
      </c>
    </row>
    <row r="98" spans="1:18" s="107" customFormat="1">
      <c r="A98" s="219">
        <v>97</v>
      </c>
      <c r="B98" s="150" t="s">
        <v>223</v>
      </c>
      <c r="C98" s="106" t="s">
        <v>89</v>
      </c>
      <c r="D98" s="106" t="s">
        <v>173</v>
      </c>
      <c r="E98" s="106" t="s">
        <v>173</v>
      </c>
      <c r="F98" s="106" t="s">
        <v>175</v>
      </c>
      <c r="G98" s="106" t="s">
        <v>22</v>
      </c>
      <c r="H98" s="106" t="s">
        <v>176</v>
      </c>
      <c r="I98" s="106" t="s">
        <v>23</v>
      </c>
      <c r="J98" s="129">
        <v>45832</v>
      </c>
      <c r="K98" s="217"/>
      <c r="L98" s="124">
        <f ca="1">DATEDIF(J98,TODAY(),"m")</f>
        <v>11</v>
      </c>
      <c r="M98" s="109">
        <f>'CLT NOVA'!BN997</f>
        <v>620.62</v>
      </c>
      <c r="N98" s="171">
        <f>'CLT NOVA'!BW997</f>
        <v>3743.2</v>
      </c>
      <c r="O98" s="109">
        <f>'CLT NOVA'!BS997</f>
        <v>3764</v>
      </c>
      <c r="P98" s="171">
        <f>'CLT NOVA'!BX997</f>
        <v>31306.1</v>
      </c>
    </row>
    <row r="99" spans="1:18" s="107" customFormat="1">
      <c r="A99" s="219">
        <v>98</v>
      </c>
      <c r="B99" s="37" t="s">
        <v>224</v>
      </c>
      <c r="C99" s="106" t="s">
        <v>113</v>
      </c>
      <c r="D99" s="106" t="s">
        <v>225</v>
      </c>
      <c r="E99" s="106" t="s">
        <v>225</v>
      </c>
      <c r="F99" s="106" t="s">
        <v>49</v>
      </c>
      <c r="G99" s="106" t="s">
        <v>41</v>
      </c>
      <c r="H99" s="106"/>
      <c r="I99" s="106" t="s">
        <v>92</v>
      </c>
      <c r="J99" s="121">
        <v>45572</v>
      </c>
      <c r="K99" s="121">
        <v>45691</v>
      </c>
      <c r="L99" s="124">
        <f>DATEDIF(J99,K99,"m")</f>
        <v>3</v>
      </c>
      <c r="M99" s="105">
        <f>'MEI - NOVA'!BG11</f>
        <v>3000</v>
      </c>
      <c r="N99" s="111">
        <f>'MEI - NOVA'!BI11</f>
        <v>1500</v>
      </c>
      <c r="O99" s="105">
        <f t="shared" ref="O99:O105" si="6">P99/L99</f>
        <v>3300</v>
      </c>
      <c r="P99" s="105">
        <f>'MEI - NOVA'!BX11</f>
        <v>9900</v>
      </c>
    </row>
    <row r="100" spans="1:18" s="107" customFormat="1">
      <c r="A100" s="219">
        <v>99</v>
      </c>
      <c r="B100" s="150" t="s">
        <v>226</v>
      </c>
      <c r="C100" s="108" t="s">
        <v>121</v>
      </c>
      <c r="D100" s="108" t="s">
        <v>123</v>
      </c>
      <c r="E100" s="108" t="s">
        <v>123</v>
      </c>
      <c r="F100" s="106" t="s">
        <v>45</v>
      </c>
      <c r="G100" s="106" t="s">
        <v>41</v>
      </c>
      <c r="H100" s="106"/>
      <c r="I100" s="106" t="s">
        <v>92</v>
      </c>
      <c r="J100" s="121">
        <v>45484</v>
      </c>
      <c r="K100" s="121">
        <v>45576</v>
      </c>
      <c r="L100" s="124">
        <f>DATEDIF(J100,K100,"m")</f>
        <v>3</v>
      </c>
      <c r="M100" s="105">
        <f>'MEI - NOVA'!BD26</f>
        <v>5000</v>
      </c>
      <c r="N100" s="105">
        <f>'MEI - NOVA'!BF26</f>
        <v>1833.33</v>
      </c>
      <c r="O100" s="105">
        <f t="shared" si="6"/>
        <v>5073.4766666666665</v>
      </c>
      <c r="P100" s="105">
        <f>'MEI - NOVA'!BX26</f>
        <v>15220.43</v>
      </c>
    </row>
    <row r="101" spans="1:18" s="107" customFormat="1">
      <c r="A101" s="219">
        <v>100</v>
      </c>
      <c r="B101" s="150" t="s">
        <v>227</v>
      </c>
      <c r="C101" s="108" t="s">
        <v>89</v>
      </c>
      <c r="D101" s="106" t="s">
        <v>228</v>
      </c>
      <c r="E101" s="106" t="s">
        <v>228</v>
      </c>
      <c r="F101" s="106" t="s">
        <v>49</v>
      </c>
      <c r="G101" s="106" t="s">
        <v>41</v>
      </c>
      <c r="H101" s="106"/>
      <c r="I101" s="106" t="s">
        <v>92</v>
      </c>
      <c r="J101" s="121">
        <v>45566</v>
      </c>
      <c r="K101" s="121">
        <v>45658</v>
      </c>
      <c r="L101" s="124">
        <f>DATEDIF(J101,K101,"m")</f>
        <v>3</v>
      </c>
      <c r="M101" s="105">
        <f>'MEI - NOVA'!BF34</f>
        <v>2500</v>
      </c>
      <c r="N101" s="105">
        <f>'MEI - NOVA'!BH34</f>
        <v>2500</v>
      </c>
      <c r="O101" s="105">
        <f t="shared" si="6"/>
        <v>2500</v>
      </c>
      <c r="P101" s="105">
        <f>'MEI - NOVA'!BX34</f>
        <v>7500</v>
      </c>
    </row>
    <row r="102" spans="1:18" s="107" customFormat="1">
      <c r="A102" s="219">
        <v>101</v>
      </c>
      <c r="B102" s="37" t="s">
        <v>229</v>
      </c>
      <c r="C102" s="106" t="s">
        <v>89</v>
      </c>
      <c r="D102" s="106" t="s">
        <v>90</v>
      </c>
      <c r="E102" s="106" t="s">
        <v>90</v>
      </c>
      <c r="F102" s="106" t="s">
        <v>21</v>
      </c>
      <c r="G102" s="106" t="s">
        <v>41</v>
      </c>
      <c r="H102" s="106"/>
      <c r="I102" s="106" t="s">
        <v>92</v>
      </c>
      <c r="J102" s="121">
        <v>45566</v>
      </c>
      <c r="K102" s="121">
        <v>45658</v>
      </c>
      <c r="L102" s="124">
        <f>DATEDIF(J102,K102,"m")</f>
        <v>3</v>
      </c>
      <c r="M102" s="105">
        <f>'MEI - NOVA'!BF52</f>
        <v>4250</v>
      </c>
      <c r="N102" s="111">
        <f>'MEI - NOVA'!BG52</f>
        <v>3250.51</v>
      </c>
      <c r="O102" s="105">
        <f t="shared" si="6"/>
        <v>2500.17</v>
      </c>
      <c r="P102" s="105">
        <f>'MEI - NOVA'!BX52</f>
        <v>7500.51</v>
      </c>
    </row>
    <row r="103" spans="1:18" s="107" customFormat="1">
      <c r="A103" s="219">
        <v>102</v>
      </c>
      <c r="B103" s="150" t="s">
        <v>230</v>
      </c>
      <c r="C103" s="108" t="s">
        <v>121</v>
      </c>
      <c r="D103" s="108" t="s">
        <v>231</v>
      </c>
      <c r="E103" s="108" t="s">
        <v>231</v>
      </c>
      <c r="F103" s="106" t="s">
        <v>45</v>
      </c>
      <c r="G103" s="155" t="s">
        <v>41</v>
      </c>
      <c r="H103" s="106"/>
      <c r="I103" s="106" t="s">
        <v>92</v>
      </c>
      <c r="J103" s="121">
        <v>45672</v>
      </c>
      <c r="K103" s="121">
        <v>45762</v>
      </c>
      <c r="L103" s="124">
        <f>DATEDIF(J103,K103,"m")</f>
        <v>3</v>
      </c>
      <c r="M103" s="105">
        <f>'MEI - NOVA'!BI57</f>
        <v>1250</v>
      </c>
      <c r="N103" s="111">
        <f>'MEI - NOVA'!BK57</f>
        <v>2500</v>
      </c>
      <c r="O103" s="105">
        <f t="shared" si="6"/>
        <v>2083.3333333333335</v>
      </c>
      <c r="P103" s="105">
        <f>'MEI - NOVA'!BX57</f>
        <v>6250</v>
      </c>
    </row>
    <row r="104" spans="1:18" s="107" customFormat="1">
      <c r="A104" s="219">
        <v>103</v>
      </c>
      <c r="B104" s="150" t="s">
        <v>232</v>
      </c>
      <c r="C104" s="108" t="s">
        <v>89</v>
      </c>
      <c r="D104" s="108" t="s">
        <v>90</v>
      </c>
      <c r="E104" s="108" t="s">
        <v>90</v>
      </c>
      <c r="F104" s="108" t="s">
        <v>45</v>
      </c>
      <c r="G104" s="106" t="s">
        <v>41</v>
      </c>
      <c r="H104" s="106"/>
      <c r="I104" s="106" t="s">
        <v>92</v>
      </c>
      <c r="J104" s="167">
        <v>45870</v>
      </c>
      <c r="K104" s="121"/>
      <c r="L104" s="124">
        <f ca="1">DATEDIF(J104,TODAY(),"m")</f>
        <v>10</v>
      </c>
      <c r="M104" s="105">
        <f>'MEI - NOVA'!BP5</f>
        <v>2225</v>
      </c>
      <c r="N104" s="111">
        <f>'MEI - NOVA'!BR5</f>
        <v>4750</v>
      </c>
      <c r="O104" s="105">
        <f t="shared" ca="1" si="6"/>
        <v>1122.5</v>
      </c>
      <c r="P104" s="105">
        <f>'MEI - NOVA'!BX5</f>
        <v>11225</v>
      </c>
    </row>
    <row r="105" spans="1:18" s="107" customFormat="1">
      <c r="A105" s="219">
        <v>104</v>
      </c>
      <c r="B105" s="150" t="s">
        <v>233</v>
      </c>
      <c r="C105" s="108" t="s">
        <v>218</v>
      </c>
      <c r="D105" s="108" t="s">
        <v>234</v>
      </c>
      <c r="E105" s="108" t="s">
        <v>234</v>
      </c>
      <c r="F105" s="106" t="s">
        <v>49</v>
      </c>
      <c r="G105" s="106" t="s">
        <v>41</v>
      </c>
      <c r="H105" s="106"/>
      <c r="I105" s="106" t="s">
        <v>92</v>
      </c>
      <c r="J105" s="167">
        <v>45863</v>
      </c>
      <c r="K105" s="121"/>
      <c r="L105" s="124">
        <f ca="1">DATEDIF(J105,TODAY(),"m")</f>
        <v>10</v>
      </c>
      <c r="M105" s="105">
        <f>'MEI - NOVA'!BO41</f>
        <v>1200</v>
      </c>
      <c r="N105" s="109"/>
      <c r="O105" s="105">
        <f t="shared" ca="1" si="6"/>
        <v>3016.7519999999995</v>
      </c>
      <c r="P105" s="105">
        <f>'MEI - NOVA'!BX41</f>
        <v>30167.519999999997</v>
      </c>
    </row>
    <row r="106" spans="1:18" s="107" customFormat="1">
      <c r="A106" s="219">
        <v>105</v>
      </c>
      <c r="B106" s="150" t="s">
        <v>235</v>
      </c>
      <c r="C106" s="106" t="s">
        <v>89</v>
      </c>
      <c r="D106" s="106" t="s">
        <v>102</v>
      </c>
      <c r="E106" s="106" t="s">
        <v>102</v>
      </c>
      <c r="F106" s="106" t="s">
        <v>104</v>
      </c>
      <c r="G106" s="106" t="s">
        <v>22</v>
      </c>
      <c r="H106" s="106">
        <v>514320</v>
      </c>
      <c r="I106" s="106" t="s">
        <v>23</v>
      </c>
      <c r="J106" s="121">
        <v>45859</v>
      </c>
      <c r="K106" s="217"/>
      <c r="L106" s="124">
        <f ca="1">DATEDIF(J106,TODAY(),"m")</f>
        <v>10</v>
      </c>
      <c r="M106" s="109">
        <f>'CLT NOVA'!BO893</f>
        <v>778.58999999999992</v>
      </c>
      <c r="N106" s="171">
        <f>'CLT NOVA'!BW893</f>
        <v>2392.1999999999998</v>
      </c>
      <c r="O106" s="105">
        <f>'CLT NOVA'!BS893</f>
        <v>2240.12</v>
      </c>
      <c r="P106" s="105">
        <f>'CLT NOVA'!BX893</f>
        <v>18975.850000000002</v>
      </c>
    </row>
    <row r="107" spans="1:18" s="107" customFormat="1">
      <c r="A107" s="219">
        <v>106</v>
      </c>
      <c r="B107" s="150" t="s">
        <v>236</v>
      </c>
      <c r="C107" s="122" t="s">
        <v>89</v>
      </c>
      <c r="D107" s="108" t="s">
        <v>90</v>
      </c>
      <c r="E107" s="108" t="s">
        <v>90</v>
      </c>
      <c r="F107" s="112" t="s">
        <v>104</v>
      </c>
      <c r="G107" s="106" t="s">
        <v>41</v>
      </c>
      <c r="H107" s="112"/>
      <c r="I107" s="106" t="s">
        <v>92</v>
      </c>
      <c r="J107" s="26">
        <v>45870</v>
      </c>
      <c r="K107" s="170"/>
      <c r="L107" s="124">
        <f ca="1">DATEDIF(J107,TODAY(),"m")</f>
        <v>10</v>
      </c>
      <c r="M107" s="20">
        <f>'MEI - NOVA'!BP60</f>
        <v>2225</v>
      </c>
      <c r="N107" s="169">
        <f>'MEI - NOVA'!BR60</f>
        <v>4250</v>
      </c>
      <c r="O107" s="109">
        <f ca="1">P107/L107</f>
        <v>1072.5</v>
      </c>
      <c r="P107" s="171">
        <f>'MEI - NOVA'!BX60</f>
        <v>10725</v>
      </c>
      <c r="Q107"/>
      <c r="R107"/>
    </row>
    <row r="108" spans="1:18" s="107" customFormat="1">
      <c r="A108" s="219">
        <v>107</v>
      </c>
      <c r="B108" s="37" t="s">
        <v>237</v>
      </c>
      <c r="C108" s="106" t="s">
        <v>89</v>
      </c>
      <c r="D108" s="106" t="s">
        <v>173</v>
      </c>
      <c r="E108" s="106" t="s">
        <v>173</v>
      </c>
      <c r="F108" s="106" t="s">
        <v>175</v>
      </c>
      <c r="G108" s="106" t="s">
        <v>22</v>
      </c>
      <c r="H108" s="106" t="s">
        <v>176</v>
      </c>
      <c r="I108" s="106" t="s">
        <v>92</v>
      </c>
      <c r="J108" s="121">
        <v>45726</v>
      </c>
      <c r="K108" s="121">
        <v>45800</v>
      </c>
      <c r="L108" s="124">
        <f t="shared" ref="L108:L113" si="7">DATEDIF(J108,K108,"m")</f>
        <v>2</v>
      </c>
      <c r="M108" s="105">
        <f>'CLT NOVA'!BK707</f>
        <v>1987.2599999999998</v>
      </c>
      <c r="N108" s="105">
        <f>'CLT NOVA'!BN707</f>
        <v>2.37</v>
      </c>
      <c r="O108" s="105">
        <v>1987.26</v>
      </c>
      <c r="P108" s="105">
        <f>'CLT NOVA'!BX707</f>
        <v>7609.11</v>
      </c>
      <c r="Q108" s="118"/>
    </row>
    <row r="109" spans="1:18" s="107" customFormat="1">
      <c r="A109" s="219">
        <v>108</v>
      </c>
      <c r="B109" s="37" t="s">
        <v>238</v>
      </c>
      <c r="C109" s="106" t="s">
        <v>89</v>
      </c>
      <c r="D109" s="106" t="s">
        <v>102</v>
      </c>
      <c r="E109" s="106" t="s">
        <v>102</v>
      </c>
      <c r="F109" s="106" t="s">
        <v>209</v>
      </c>
      <c r="G109" s="106" t="s">
        <v>22</v>
      </c>
      <c r="H109" s="106">
        <v>514325</v>
      </c>
      <c r="I109" s="106" t="s">
        <v>92</v>
      </c>
      <c r="J109" s="121">
        <v>44873</v>
      </c>
      <c r="K109" s="121">
        <v>44962</v>
      </c>
      <c r="L109" s="124">
        <f t="shared" si="7"/>
        <v>2</v>
      </c>
      <c r="M109" s="105">
        <f>'CLT NOVA'!AJ184</f>
        <v>2212.83</v>
      </c>
      <c r="N109" s="105">
        <f>'CLT NOVA'!AK184</f>
        <v>3006.07</v>
      </c>
      <c r="O109" s="105">
        <f>P109/L109</f>
        <v>3428.6499999999996</v>
      </c>
      <c r="P109" s="105">
        <f>'CLT NOVA'!BX184</f>
        <v>6857.2999999999993</v>
      </c>
      <c r="Q109" s="118"/>
    </row>
    <row r="110" spans="1:18" s="107" customFormat="1">
      <c r="A110" s="219">
        <v>109</v>
      </c>
      <c r="B110" s="37" t="s">
        <v>239</v>
      </c>
      <c r="C110" s="106" t="s">
        <v>89</v>
      </c>
      <c r="D110" s="106" t="s">
        <v>102</v>
      </c>
      <c r="E110" s="106" t="s">
        <v>102</v>
      </c>
      <c r="F110" s="106"/>
      <c r="G110" s="106" t="s">
        <v>22</v>
      </c>
      <c r="H110" s="106">
        <v>514320</v>
      </c>
      <c r="I110" s="106" t="s">
        <v>240</v>
      </c>
      <c r="J110" s="121">
        <v>45740</v>
      </c>
      <c r="K110" s="121">
        <v>45813</v>
      </c>
      <c r="L110" s="124">
        <f t="shared" si="7"/>
        <v>2</v>
      </c>
      <c r="M110" s="105">
        <f>'CLT NOVA'!BK446</f>
        <v>569.70999999999992</v>
      </c>
      <c r="N110" s="105">
        <f>'CLT NOVA'!BN446</f>
        <v>783.43</v>
      </c>
      <c r="O110" s="173">
        <v>569.71</v>
      </c>
      <c r="P110" s="105">
        <f>'CLT NOVA'!BX446</f>
        <v>6738.77</v>
      </c>
      <c r="Q110" s="118"/>
    </row>
    <row r="111" spans="1:18" s="107" customFormat="1">
      <c r="A111" s="219">
        <v>110</v>
      </c>
      <c r="B111" s="37" t="s">
        <v>241</v>
      </c>
      <c r="C111" s="106" t="s">
        <v>89</v>
      </c>
      <c r="D111" s="106" t="s">
        <v>102</v>
      </c>
      <c r="E111" s="106" t="s">
        <v>102</v>
      </c>
      <c r="F111" s="106" t="s">
        <v>103</v>
      </c>
      <c r="G111" s="106" t="s">
        <v>22</v>
      </c>
      <c r="H111" s="106">
        <v>514320</v>
      </c>
      <c r="I111" s="106" t="s">
        <v>92</v>
      </c>
      <c r="J111" s="121">
        <v>45448</v>
      </c>
      <c r="K111" s="121">
        <v>45532</v>
      </c>
      <c r="L111" s="124">
        <f t="shared" si="7"/>
        <v>2</v>
      </c>
      <c r="M111" s="105">
        <f>'CLT NOVA'!BB604</f>
        <v>2054.27</v>
      </c>
      <c r="N111" s="105">
        <f>'CLT NOVA'!BD604</f>
        <v>3841.4100000000003</v>
      </c>
      <c r="O111" s="105">
        <f>P111/L111</f>
        <v>3978.6450000000004</v>
      </c>
      <c r="P111" s="105">
        <f>'CLT NOVA'!BX604</f>
        <v>7957.2900000000009</v>
      </c>
      <c r="Q111" s="118"/>
    </row>
    <row r="112" spans="1:18" s="107" customFormat="1">
      <c r="A112" s="219">
        <v>111</v>
      </c>
      <c r="B112" s="37" t="s">
        <v>242</v>
      </c>
      <c r="C112" s="106" t="s">
        <v>89</v>
      </c>
      <c r="D112" s="106" t="s">
        <v>102</v>
      </c>
      <c r="E112" s="106" t="s">
        <v>102</v>
      </c>
      <c r="F112" s="106" t="s">
        <v>180</v>
      </c>
      <c r="G112" s="106" t="s">
        <v>22</v>
      </c>
      <c r="H112" s="106">
        <v>514320</v>
      </c>
      <c r="I112" s="106" t="s">
        <v>92</v>
      </c>
      <c r="J112" s="121">
        <v>45569</v>
      </c>
      <c r="K112" s="121">
        <v>45660</v>
      </c>
      <c r="L112" s="124">
        <f t="shared" si="7"/>
        <v>2</v>
      </c>
      <c r="M112" s="105">
        <f>'CLT NOVA'!BF668</f>
        <v>2128.4299999999998</v>
      </c>
      <c r="N112" s="111">
        <f>'CLT NOVA'!BI668</f>
        <v>2593.85</v>
      </c>
      <c r="O112" s="105">
        <f>P112/L112</f>
        <v>4524.6599999999989</v>
      </c>
      <c r="P112" s="105">
        <f>'CLT NOVA'!BX668</f>
        <v>9049.3199999999979</v>
      </c>
    </row>
    <row r="113" spans="1:18" s="107" customFormat="1">
      <c r="A113" s="219">
        <v>112</v>
      </c>
      <c r="B113" s="37" t="s">
        <v>243</v>
      </c>
      <c r="C113" s="106" t="s">
        <v>189</v>
      </c>
      <c r="D113" s="106" t="s">
        <v>244</v>
      </c>
      <c r="E113" s="106" t="s">
        <v>244</v>
      </c>
      <c r="F113" s="106" t="s">
        <v>145</v>
      </c>
      <c r="G113" s="106" t="s">
        <v>41</v>
      </c>
      <c r="H113" s="106"/>
      <c r="I113" s="106" t="s">
        <v>92</v>
      </c>
      <c r="J113" s="121">
        <v>45367</v>
      </c>
      <c r="K113" s="121">
        <v>45446</v>
      </c>
      <c r="L113" s="124">
        <f t="shared" si="7"/>
        <v>2</v>
      </c>
      <c r="M113" s="105">
        <f>'MEI - NOVA'!BA9</f>
        <v>3000</v>
      </c>
      <c r="N113" s="111">
        <f>'MEI - NOVA'!BC9</f>
        <v>193.54</v>
      </c>
      <c r="O113" s="105">
        <f>P113/L113</f>
        <v>5499.9950000000008</v>
      </c>
      <c r="P113" s="105">
        <f>'MEI - NOVA'!BX9</f>
        <v>10999.990000000002</v>
      </c>
    </row>
    <row r="114" spans="1:18" s="107" customFormat="1">
      <c r="A114" s="219">
        <v>113</v>
      </c>
      <c r="B114" s="150" t="s">
        <v>245</v>
      </c>
      <c r="C114" s="108" t="s">
        <v>89</v>
      </c>
      <c r="D114" s="108" t="s">
        <v>246</v>
      </c>
      <c r="E114" s="108" t="s">
        <v>246</v>
      </c>
      <c r="F114" s="106" t="s">
        <v>45</v>
      </c>
      <c r="G114" s="106" t="s">
        <v>41</v>
      </c>
      <c r="H114" s="106"/>
      <c r="I114" s="106" t="s">
        <v>92</v>
      </c>
      <c r="J114" s="167">
        <v>45901</v>
      </c>
      <c r="K114" s="121">
        <v>45950</v>
      </c>
      <c r="L114" s="124">
        <f ca="1">DATEDIF(J114,TODAY(),"m")</f>
        <v>9</v>
      </c>
      <c r="M114" s="105">
        <f>'MEI - NOVA'!BQ63</f>
        <v>3000</v>
      </c>
      <c r="N114" s="109">
        <f>'MEI - NOVA'!BQ63</f>
        <v>3000</v>
      </c>
      <c r="O114" s="105">
        <f ca="1">N114/L114</f>
        <v>333.33333333333331</v>
      </c>
      <c r="P114" s="105">
        <f>'MEI - NOVA'!BX63</f>
        <v>3000</v>
      </c>
    </row>
    <row r="115" spans="1:18" s="107" customFormat="1">
      <c r="A115" s="219">
        <v>114</v>
      </c>
      <c r="B115" s="37" t="s">
        <v>247</v>
      </c>
      <c r="C115" s="106" t="s">
        <v>89</v>
      </c>
      <c r="D115" s="106" t="s">
        <v>124</v>
      </c>
      <c r="E115" s="106" t="s">
        <v>124</v>
      </c>
      <c r="F115" s="106" t="s">
        <v>49</v>
      </c>
      <c r="G115" s="106" t="s">
        <v>41</v>
      </c>
      <c r="H115" s="106"/>
      <c r="I115" s="106" t="s">
        <v>23</v>
      </c>
      <c r="J115" s="121">
        <v>45894</v>
      </c>
      <c r="K115" s="106"/>
      <c r="L115" s="124">
        <f ca="1">DATEDIF(J115,TODAY(),"m")</f>
        <v>9</v>
      </c>
      <c r="M115" s="105">
        <f>'MEI - NOVA'!BP17</f>
        <v>500</v>
      </c>
      <c r="N115" s="105">
        <f>'MEI - NOVA'!BV17</f>
        <v>5900</v>
      </c>
      <c r="O115" s="105">
        <f ca="1">P115/L115</f>
        <v>4144.4444444444443</v>
      </c>
      <c r="P115" s="105">
        <f>'MEI - NOVA'!BX17</f>
        <v>37300</v>
      </c>
    </row>
    <row r="116" spans="1:18" s="107" customFormat="1">
      <c r="A116" s="219">
        <v>115</v>
      </c>
      <c r="B116" s="150" t="s">
        <v>248</v>
      </c>
      <c r="C116" s="106" t="s">
        <v>89</v>
      </c>
      <c r="D116" s="106" t="s">
        <v>102</v>
      </c>
      <c r="E116" s="106" t="s">
        <v>102</v>
      </c>
      <c r="F116" s="106" t="s">
        <v>104</v>
      </c>
      <c r="G116" s="106" t="s">
        <v>22</v>
      </c>
      <c r="H116" s="106">
        <v>514320</v>
      </c>
      <c r="I116" s="106" t="s">
        <v>23</v>
      </c>
      <c r="J116" s="129">
        <v>45908</v>
      </c>
      <c r="K116" s="217"/>
      <c r="L116" s="124">
        <f ca="1">DATEDIF(J116,TODAY(),"m")</f>
        <v>8</v>
      </c>
      <c r="M116" s="109">
        <f>'CLT NOVA'!BQ945</f>
        <v>1596.58</v>
      </c>
      <c r="N116" s="171">
        <f>'CLT NOVA'!BW945</f>
        <v>2567.37</v>
      </c>
      <c r="O116" s="109">
        <f>'CLT NOVA'!BS945</f>
        <v>2555.67</v>
      </c>
      <c r="P116" s="171">
        <f>'CLT NOVA'!BX945</f>
        <v>16280.66</v>
      </c>
    </row>
    <row r="117" spans="1:18" s="107" customFormat="1">
      <c r="A117" s="219">
        <v>116</v>
      </c>
      <c r="B117" s="37" t="s">
        <v>249</v>
      </c>
      <c r="C117" s="127" t="s">
        <v>121</v>
      </c>
      <c r="D117" s="106" t="s">
        <v>122</v>
      </c>
      <c r="E117" s="106" t="s">
        <v>122</v>
      </c>
      <c r="F117" s="106" t="s">
        <v>45</v>
      </c>
      <c r="G117" s="106" t="s">
        <v>22</v>
      </c>
      <c r="H117" s="106">
        <v>411005</v>
      </c>
      <c r="I117" s="106" t="s">
        <v>92</v>
      </c>
      <c r="J117" s="121">
        <v>45183</v>
      </c>
      <c r="K117" s="121">
        <v>45226</v>
      </c>
      <c r="L117" s="124">
        <f t="shared" ref="L117:L127" si="8">DATEDIF(J117,K117,"m")</f>
        <v>1</v>
      </c>
      <c r="M117" s="105">
        <f>'CLT NOVA'!AT97</f>
        <v>2780.2799999999997</v>
      </c>
      <c r="N117" s="105">
        <f>'CLT NOVA'!AT97</f>
        <v>2780.2799999999997</v>
      </c>
      <c r="O117" s="105">
        <f t="shared" ref="O117:O125" si="9">P117/L117</f>
        <v>4023.3499999999995</v>
      </c>
      <c r="P117" s="105">
        <f>'CLT NOVA'!BX97</f>
        <v>4023.3499999999995</v>
      </c>
      <c r="Q117" s="118"/>
    </row>
    <row r="118" spans="1:18" s="107" customFormat="1">
      <c r="A118" s="219">
        <v>117</v>
      </c>
      <c r="B118" s="37" t="s">
        <v>250</v>
      </c>
      <c r="C118" s="106" t="s">
        <v>89</v>
      </c>
      <c r="D118" s="106" t="s">
        <v>102</v>
      </c>
      <c r="E118" s="106" t="s">
        <v>102</v>
      </c>
      <c r="F118" s="106" t="s">
        <v>25</v>
      </c>
      <c r="G118" s="106" t="s">
        <v>22</v>
      </c>
      <c r="H118" s="106">
        <v>514320</v>
      </c>
      <c r="I118" s="106" t="s">
        <v>92</v>
      </c>
      <c r="J118" s="121">
        <v>45258</v>
      </c>
      <c r="K118" s="121">
        <v>45299</v>
      </c>
      <c r="L118" s="124">
        <f t="shared" si="8"/>
        <v>1</v>
      </c>
      <c r="M118" s="105">
        <f>'CLT NOVA'!AV113</f>
        <v>2479.7299999999996</v>
      </c>
      <c r="N118" s="105">
        <f>'CLT NOVA'!AW113</f>
        <v>651.01</v>
      </c>
      <c r="O118" s="105">
        <f t="shared" si="9"/>
        <v>3373.75</v>
      </c>
      <c r="P118" s="105">
        <f>'CLT NOVA'!BX113</f>
        <v>3373.75</v>
      </c>
      <c r="Q118" s="118"/>
    </row>
    <row r="119" spans="1:18" s="107" customFormat="1">
      <c r="A119" s="219">
        <v>118</v>
      </c>
      <c r="B119" s="37" t="s">
        <v>251</v>
      </c>
      <c r="C119" s="106" t="s">
        <v>89</v>
      </c>
      <c r="D119" s="106" t="s">
        <v>102</v>
      </c>
      <c r="E119" s="106" t="s">
        <v>102</v>
      </c>
      <c r="F119" s="106" t="s">
        <v>103</v>
      </c>
      <c r="G119" s="106" t="s">
        <v>22</v>
      </c>
      <c r="H119" s="106">
        <v>514320</v>
      </c>
      <c r="I119" s="106" t="s">
        <v>92</v>
      </c>
      <c r="J119" s="121">
        <v>45281</v>
      </c>
      <c r="K119" s="121">
        <v>45325</v>
      </c>
      <c r="L119" s="124">
        <f t="shared" si="8"/>
        <v>1</v>
      </c>
      <c r="M119" s="105">
        <f>'CLT NOVA'!AW420</f>
        <v>2199.1699999999996</v>
      </c>
      <c r="N119" s="105">
        <f>'CLT NOVA'!AX420</f>
        <v>331.41</v>
      </c>
      <c r="O119" s="105">
        <f t="shared" si="9"/>
        <v>3263.1099999999997</v>
      </c>
      <c r="P119" s="105">
        <f>'CLT NOVA'!BX420</f>
        <v>3263.1099999999997</v>
      </c>
      <c r="Q119" s="118"/>
    </row>
    <row r="120" spans="1:18" s="107" customFormat="1">
      <c r="A120" s="219">
        <v>119</v>
      </c>
      <c r="B120" s="37" t="s">
        <v>252</v>
      </c>
      <c r="C120" s="106" t="s">
        <v>89</v>
      </c>
      <c r="D120" s="106" t="s">
        <v>102</v>
      </c>
      <c r="E120" s="106" t="s">
        <v>102</v>
      </c>
      <c r="F120" s="106" t="s">
        <v>103</v>
      </c>
      <c r="G120" s="106" t="s">
        <v>22</v>
      </c>
      <c r="H120" s="106">
        <v>514320</v>
      </c>
      <c r="I120" s="106" t="s">
        <v>92</v>
      </c>
      <c r="J120" s="121">
        <v>45253</v>
      </c>
      <c r="K120" s="121">
        <v>45301</v>
      </c>
      <c r="L120" s="124">
        <f t="shared" si="8"/>
        <v>1</v>
      </c>
      <c r="M120" s="105">
        <f>'CLT NOVA'!AV433</f>
        <v>2329.73</v>
      </c>
      <c r="N120" s="105">
        <f>'CLT NOVA'!AW433</f>
        <v>858.81</v>
      </c>
      <c r="O120" s="105">
        <f t="shared" si="9"/>
        <v>3788.57</v>
      </c>
      <c r="P120" s="105">
        <f>'CLT NOVA'!BX433</f>
        <v>3788.57</v>
      </c>
      <c r="Q120" s="118"/>
    </row>
    <row r="121" spans="1:18" s="107" customFormat="1">
      <c r="A121" s="219">
        <v>120</v>
      </c>
      <c r="B121" s="37" t="s">
        <v>253</v>
      </c>
      <c r="C121" s="106" t="s">
        <v>89</v>
      </c>
      <c r="D121" s="106" t="s">
        <v>102</v>
      </c>
      <c r="E121" s="106" t="s">
        <v>102</v>
      </c>
      <c r="F121" s="106" t="s">
        <v>55</v>
      </c>
      <c r="G121" s="106" t="s">
        <v>22</v>
      </c>
      <c r="H121" s="106">
        <v>514325</v>
      </c>
      <c r="I121" s="106" t="s">
        <v>92</v>
      </c>
      <c r="J121" s="121">
        <v>44853</v>
      </c>
      <c r="K121" s="121">
        <v>44897</v>
      </c>
      <c r="L121" s="124">
        <f t="shared" si="8"/>
        <v>1</v>
      </c>
      <c r="M121" s="105">
        <f>'CLT NOVA'!AI511</f>
        <v>2100.6999999999998</v>
      </c>
      <c r="N121" s="109">
        <f>'CLT NOVA'!AJ511</f>
        <v>397.06</v>
      </c>
      <c r="O121" s="105">
        <f t="shared" si="9"/>
        <v>3311.3399999999997</v>
      </c>
      <c r="P121" s="105">
        <f>'CLT NOVA'!BX511</f>
        <v>3311.3399999999997</v>
      </c>
      <c r="Q121" s="118"/>
      <c r="R121" s="123"/>
    </row>
    <row r="122" spans="1:18" s="107" customFormat="1">
      <c r="A122" s="219">
        <v>121</v>
      </c>
      <c r="B122" s="37" t="s">
        <v>254</v>
      </c>
      <c r="C122" s="106" t="s">
        <v>89</v>
      </c>
      <c r="D122" s="106" t="s">
        <v>102</v>
      </c>
      <c r="E122" s="106" t="s">
        <v>102</v>
      </c>
      <c r="F122" s="106" t="s">
        <v>51</v>
      </c>
      <c r="G122" s="106" t="s">
        <v>22</v>
      </c>
      <c r="H122" s="106">
        <v>514320</v>
      </c>
      <c r="I122" s="106" t="s">
        <v>92</v>
      </c>
      <c r="J122" s="121">
        <v>45313</v>
      </c>
      <c r="K122" s="121">
        <v>45357</v>
      </c>
      <c r="L122" s="124">
        <f t="shared" si="8"/>
        <v>1</v>
      </c>
      <c r="M122" s="105">
        <f>'CLT NOVA'!AX617</f>
        <v>2226.0199999999995</v>
      </c>
      <c r="N122" s="111">
        <f>'CLT NOVA'!AY617</f>
        <v>802.43999999999994</v>
      </c>
      <c r="O122" s="105">
        <f t="shared" si="9"/>
        <v>3693.9499999999994</v>
      </c>
      <c r="P122" s="105">
        <f>'CLT NOVA'!BX617</f>
        <v>3693.9499999999994</v>
      </c>
      <c r="Q122" s="118"/>
    </row>
    <row r="123" spans="1:18" s="107" customFormat="1">
      <c r="A123" s="219">
        <v>122</v>
      </c>
      <c r="B123" s="37" t="s">
        <v>255</v>
      </c>
      <c r="C123" s="106" t="s">
        <v>89</v>
      </c>
      <c r="D123" s="106" t="s">
        <v>102</v>
      </c>
      <c r="E123" s="106" t="s">
        <v>102</v>
      </c>
      <c r="F123" s="106" t="s">
        <v>104</v>
      </c>
      <c r="G123" s="106" t="s">
        <v>22</v>
      </c>
      <c r="H123" s="106">
        <v>514320</v>
      </c>
      <c r="I123" s="106" t="s">
        <v>92</v>
      </c>
      <c r="J123" s="121">
        <v>45320</v>
      </c>
      <c r="K123" s="121">
        <v>45352</v>
      </c>
      <c r="L123" s="124">
        <f t="shared" si="8"/>
        <v>1</v>
      </c>
      <c r="M123" s="105">
        <f>'CLT NOVA'!AX630</f>
        <v>1035.3299999999997</v>
      </c>
      <c r="N123" s="105">
        <f>'CLT NOVA'!BG681</f>
        <v>2929.98</v>
      </c>
      <c r="O123" s="105">
        <f t="shared" si="9"/>
        <v>1072.3199999999997</v>
      </c>
      <c r="P123" s="105">
        <f>'CLT NOVA'!BX630</f>
        <v>1072.3199999999997</v>
      </c>
      <c r="Q123" s="118"/>
    </row>
    <row r="124" spans="1:18" s="107" customFormat="1">
      <c r="A124" s="219">
        <v>123</v>
      </c>
      <c r="B124" s="37" t="s">
        <v>256</v>
      </c>
      <c r="C124" s="106" t="s">
        <v>89</v>
      </c>
      <c r="D124" s="106" t="s">
        <v>102</v>
      </c>
      <c r="E124" s="106" t="s">
        <v>102</v>
      </c>
      <c r="F124" s="106" t="s">
        <v>103</v>
      </c>
      <c r="G124" s="106" t="s">
        <v>22</v>
      </c>
      <c r="H124" s="106">
        <v>514320</v>
      </c>
      <c r="I124" s="106" t="s">
        <v>92</v>
      </c>
      <c r="J124" s="121">
        <v>45574</v>
      </c>
      <c r="K124" s="121">
        <v>45622</v>
      </c>
      <c r="L124" s="124">
        <f t="shared" si="8"/>
        <v>1</v>
      </c>
      <c r="M124" s="105">
        <f>'CLT NOVA'!BF681</f>
        <v>1597.44</v>
      </c>
      <c r="N124" s="111">
        <f>'CLT NOVA'!BG681</f>
        <v>2929.98</v>
      </c>
      <c r="O124" s="105">
        <f t="shared" si="9"/>
        <v>4527.42</v>
      </c>
      <c r="P124" s="105">
        <f>'CLT NOVA'!BX681</f>
        <v>4527.42</v>
      </c>
    </row>
    <row r="125" spans="1:18">
      <c r="A125" s="219">
        <v>124</v>
      </c>
      <c r="B125" s="37" t="s">
        <v>257</v>
      </c>
      <c r="C125" s="106" t="s">
        <v>189</v>
      </c>
      <c r="D125" s="106" t="s">
        <v>122</v>
      </c>
      <c r="E125" s="106" t="s">
        <v>258</v>
      </c>
      <c r="F125" s="106" t="s">
        <v>49</v>
      </c>
      <c r="G125" s="106" t="s">
        <v>41</v>
      </c>
      <c r="H125" s="106"/>
      <c r="I125" s="106" t="s">
        <v>92</v>
      </c>
      <c r="J125" s="121">
        <v>45368</v>
      </c>
      <c r="K125" s="121">
        <v>45400</v>
      </c>
      <c r="L125" s="124">
        <f t="shared" si="8"/>
        <v>1</v>
      </c>
      <c r="M125" s="105">
        <f>'MEI - NOVA'!AZ12</f>
        <v>3532.26</v>
      </c>
      <c r="N125" s="111">
        <f>'MEI - NOVA'!BB12</f>
        <v>416.66</v>
      </c>
      <c r="O125" s="105">
        <f t="shared" si="9"/>
        <v>6448.92</v>
      </c>
      <c r="P125" s="105">
        <f>'MEI - NOVA'!BX12</f>
        <v>6448.92</v>
      </c>
      <c r="Q125" s="107"/>
      <c r="R125" s="107"/>
    </row>
    <row r="126" spans="1:18">
      <c r="A126" s="219">
        <v>125</v>
      </c>
      <c r="B126" s="150" t="s">
        <v>259</v>
      </c>
      <c r="C126" s="108" t="s">
        <v>99</v>
      </c>
      <c r="D126" s="108" t="s">
        <v>100</v>
      </c>
      <c r="E126" s="108" t="s">
        <v>100</v>
      </c>
      <c r="F126" s="106" t="s">
        <v>45</v>
      </c>
      <c r="G126" s="106" t="s">
        <v>41</v>
      </c>
      <c r="H126" s="106"/>
      <c r="I126" s="106" t="s">
        <v>92</v>
      </c>
      <c r="J126" s="121">
        <v>45414</v>
      </c>
      <c r="K126" s="121">
        <v>45454</v>
      </c>
      <c r="L126" s="124">
        <f t="shared" si="8"/>
        <v>1</v>
      </c>
      <c r="M126" s="105">
        <f>'MEI - NOVA'!AZ32</f>
        <v>5350</v>
      </c>
      <c r="N126" s="105">
        <f>'MEI - NOVA'!BC32</f>
        <v>2500</v>
      </c>
      <c r="O126" s="105">
        <f>N126</f>
        <v>2500</v>
      </c>
      <c r="P126" s="105">
        <f>'MEI - NOVA'!BX32</f>
        <v>18527.849999999999</v>
      </c>
      <c r="Q126" s="107"/>
      <c r="R126" s="107"/>
    </row>
    <row r="127" spans="1:18" s="107" customFormat="1">
      <c r="A127" s="219">
        <v>126</v>
      </c>
      <c r="B127" s="150" t="s">
        <v>260</v>
      </c>
      <c r="C127" s="106" t="s">
        <v>89</v>
      </c>
      <c r="D127" s="106" t="s">
        <v>102</v>
      </c>
      <c r="E127" s="106" t="s">
        <v>102</v>
      </c>
      <c r="F127" s="106" t="s">
        <v>104</v>
      </c>
      <c r="G127" s="106" t="s">
        <v>22</v>
      </c>
      <c r="H127" s="106">
        <v>514320</v>
      </c>
      <c r="I127" s="106" t="s">
        <v>92</v>
      </c>
      <c r="J127" s="121">
        <v>45751</v>
      </c>
      <c r="K127" s="218">
        <v>45789</v>
      </c>
      <c r="L127" s="124">
        <f t="shared" si="8"/>
        <v>1</v>
      </c>
      <c r="M127" s="109">
        <f>'CLT NOVA'!BL828</f>
        <v>2007.3799999999999</v>
      </c>
      <c r="N127" s="171">
        <f>M127</f>
        <v>2007.3799999999999</v>
      </c>
      <c r="O127" s="105">
        <f>P127/L127</f>
        <v>2007.3799999999999</v>
      </c>
      <c r="P127" s="105">
        <f>'CLT NOVA'!BX828</f>
        <v>2007.3799999999999</v>
      </c>
    </row>
    <row r="128" spans="1:18" s="107" customFormat="1">
      <c r="A128" s="219">
        <v>127</v>
      </c>
      <c r="B128" s="150" t="s">
        <v>261</v>
      </c>
      <c r="C128" s="106" t="s">
        <v>89</v>
      </c>
      <c r="D128" s="106" t="s">
        <v>102</v>
      </c>
      <c r="E128" s="106" t="s">
        <v>102</v>
      </c>
      <c r="F128" s="106" t="s">
        <v>104</v>
      </c>
      <c r="G128" s="106" t="s">
        <v>22</v>
      </c>
      <c r="H128" s="106">
        <v>514320</v>
      </c>
      <c r="I128" s="106" t="s">
        <v>23</v>
      </c>
      <c r="J128" s="121">
        <v>45924</v>
      </c>
      <c r="K128" s="217"/>
      <c r="L128" s="124">
        <f t="shared" ref="L128:L141" ca="1" si="10">DATEDIF(J128,TODAY(),"m")</f>
        <v>8</v>
      </c>
      <c r="M128" s="109">
        <f>'CLT NOVA'!BQ919</f>
        <v>643.43000000000006</v>
      </c>
      <c r="N128" s="171">
        <f>'CLT NOVA'!BW919</f>
        <v>2188.5499999999997</v>
      </c>
      <c r="O128" s="109">
        <f>'CLT NOVA'!BS919</f>
        <v>2124.1099999999997</v>
      </c>
      <c r="P128" s="171">
        <f>'CLT NOVA'!BX919</f>
        <v>13617.76</v>
      </c>
    </row>
    <row r="129" spans="1:18" s="107" customFormat="1">
      <c r="A129" s="219">
        <v>128</v>
      </c>
      <c r="B129" s="150" t="s">
        <v>262</v>
      </c>
      <c r="C129" s="106" t="s">
        <v>89</v>
      </c>
      <c r="D129" s="106" t="s">
        <v>102</v>
      </c>
      <c r="E129" s="106" t="s">
        <v>102</v>
      </c>
      <c r="F129" s="106" t="s">
        <v>104</v>
      </c>
      <c r="G129" s="106" t="s">
        <v>22</v>
      </c>
      <c r="H129" s="106">
        <v>514320</v>
      </c>
      <c r="I129" s="106" t="s">
        <v>92</v>
      </c>
      <c r="J129" s="121">
        <v>45924</v>
      </c>
      <c r="K129" s="217"/>
      <c r="L129" s="124">
        <f t="shared" ca="1" si="10"/>
        <v>8</v>
      </c>
      <c r="M129" s="109">
        <f>'CLT NOVA'!BQ932</f>
        <v>605.37</v>
      </c>
      <c r="N129" s="171">
        <f>'CLT NOVA'!BT932</f>
        <v>2099.23</v>
      </c>
      <c r="O129" s="109">
        <f>'CLT NOVA'!BS932</f>
        <v>2099.23</v>
      </c>
      <c r="P129" s="171">
        <f>'CLT NOVA'!BX932</f>
        <v>9432.01</v>
      </c>
    </row>
    <row r="130" spans="1:18" s="107" customFormat="1">
      <c r="A130" s="219">
        <v>129</v>
      </c>
      <c r="B130" s="37" t="s">
        <v>263</v>
      </c>
      <c r="C130" s="106" t="s">
        <v>89</v>
      </c>
      <c r="D130" s="106" t="s">
        <v>102</v>
      </c>
      <c r="E130" s="106" t="s">
        <v>102</v>
      </c>
      <c r="F130" s="106" t="s">
        <v>104</v>
      </c>
      <c r="G130" s="106" t="s">
        <v>22</v>
      </c>
      <c r="H130" s="106">
        <v>514320</v>
      </c>
      <c r="I130" s="106" t="s">
        <v>92</v>
      </c>
      <c r="J130" s="121">
        <v>45559</v>
      </c>
      <c r="K130" s="121">
        <v>45572</v>
      </c>
      <c r="L130" s="124">
        <f t="shared" ca="1" si="10"/>
        <v>20</v>
      </c>
      <c r="M130" s="171">
        <f>'CLT NOVA'!BE65</f>
        <v>580.62</v>
      </c>
      <c r="N130" s="171">
        <f>'CLT NOVA'!BE65</f>
        <v>580.62</v>
      </c>
      <c r="O130" s="109">
        <f ca="1">P130/L130</f>
        <v>29.030999999999999</v>
      </c>
      <c r="P130" s="105">
        <f>'CLT NOVA'!BX65</f>
        <v>580.62</v>
      </c>
      <c r="Q130" s="118"/>
    </row>
    <row r="131" spans="1:18">
      <c r="A131" s="219">
        <v>130</v>
      </c>
      <c r="B131" s="37" t="s">
        <v>264</v>
      </c>
      <c r="C131" s="127" t="s">
        <v>121</v>
      </c>
      <c r="D131" s="127" t="s">
        <v>122</v>
      </c>
      <c r="E131" s="127" t="s">
        <v>190</v>
      </c>
      <c r="F131" s="106" t="s">
        <v>265</v>
      </c>
      <c r="G131" s="106" t="s">
        <v>22</v>
      </c>
      <c r="H131" s="106">
        <v>314715</v>
      </c>
      <c r="I131" s="106" t="s">
        <v>92</v>
      </c>
      <c r="J131" s="121">
        <v>45205</v>
      </c>
      <c r="K131" s="121">
        <v>45233</v>
      </c>
      <c r="L131" s="124">
        <f t="shared" ca="1" si="10"/>
        <v>31</v>
      </c>
      <c r="M131" s="105">
        <f>'CLT NOVA'!AT171</f>
        <v>2051.5300000000002</v>
      </c>
      <c r="N131" s="105">
        <f>'CLT NOVA'!AU171</f>
        <v>312.8</v>
      </c>
      <c r="O131" s="109">
        <f ca="1">P131/L131</f>
        <v>76.268709677419366</v>
      </c>
      <c r="P131" s="105">
        <f>'CLT NOVA'!BX171</f>
        <v>2364.3300000000004</v>
      </c>
      <c r="Q131" s="118"/>
      <c r="R131" s="107"/>
    </row>
    <row r="132" spans="1:18">
      <c r="A132" s="219">
        <v>131</v>
      </c>
      <c r="B132" s="37" t="s">
        <v>266</v>
      </c>
      <c r="C132" s="106" t="s">
        <v>89</v>
      </c>
      <c r="D132" s="106" t="s">
        <v>102</v>
      </c>
      <c r="E132" s="106" t="s">
        <v>102</v>
      </c>
      <c r="F132" s="106" t="s">
        <v>103</v>
      </c>
      <c r="G132" s="106" t="s">
        <v>22</v>
      </c>
      <c r="H132" s="106">
        <v>514320</v>
      </c>
      <c r="I132" s="106" t="s">
        <v>92</v>
      </c>
      <c r="J132" s="121">
        <v>45604</v>
      </c>
      <c r="K132" s="121">
        <v>45622</v>
      </c>
      <c r="L132" s="124">
        <f t="shared" ca="1" si="10"/>
        <v>18</v>
      </c>
      <c r="M132" s="105">
        <f>'CLT NOVA'!BG194</f>
        <v>2973.32</v>
      </c>
      <c r="N132" s="105">
        <f>'CLT NOVA'!BG197</f>
        <v>3306.36</v>
      </c>
      <c r="O132" s="109">
        <f ca="1">P132/L132</f>
        <v>183.68666666666667</v>
      </c>
      <c r="P132" s="105">
        <f>'CLT NOVA'!BX197</f>
        <v>3306.36</v>
      </c>
      <c r="Q132" s="118"/>
      <c r="R132" s="107"/>
    </row>
    <row r="133" spans="1:18">
      <c r="A133" s="219">
        <v>132</v>
      </c>
      <c r="B133" s="37" t="s">
        <v>267</v>
      </c>
      <c r="C133" s="106" t="s">
        <v>89</v>
      </c>
      <c r="D133" s="106" t="s">
        <v>102</v>
      </c>
      <c r="E133" s="106" t="s">
        <v>102</v>
      </c>
      <c r="F133" s="106" t="s">
        <v>103</v>
      </c>
      <c r="G133" s="106" t="s">
        <v>22</v>
      </c>
      <c r="H133" s="106">
        <v>514320</v>
      </c>
      <c r="I133" s="106" t="s">
        <v>92</v>
      </c>
      <c r="J133" s="121">
        <v>45264</v>
      </c>
      <c r="K133" s="121">
        <v>45291</v>
      </c>
      <c r="L133" s="124">
        <f t="shared" ca="1" si="10"/>
        <v>29</v>
      </c>
      <c r="M133" s="105">
        <f>'CLT NOVA'!AV354</f>
        <v>2225.2400000000002</v>
      </c>
      <c r="N133" s="111">
        <f>'CLT NOVA'!AV354</f>
        <v>2225.2400000000002</v>
      </c>
      <c r="O133" s="109">
        <f ca="1">P133/L133</f>
        <v>76.732413793103461</v>
      </c>
      <c r="P133" s="105">
        <f>'CLT NOVA'!BX354</f>
        <v>2225.2400000000002</v>
      </c>
      <c r="Q133" s="118"/>
      <c r="R133" s="107"/>
    </row>
    <row r="134" spans="1:18">
      <c r="A134" s="219">
        <v>133</v>
      </c>
      <c r="B134" s="37" t="s">
        <v>268</v>
      </c>
      <c r="C134" s="127" t="s">
        <v>269</v>
      </c>
      <c r="D134" s="106" t="s">
        <v>117</v>
      </c>
      <c r="E134" s="106" t="s">
        <v>117</v>
      </c>
      <c r="F134" s="106" t="s">
        <v>27</v>
      </c>
      <c r="G134" s="106" t="s">
        <v>22</v>
      </c>
      <c r="H134" s="106">
        <v>514320</v>
      </c>
      <c r="I134" s="106" t="s">
        <v>92</v>
      </c>
      <c r="J134" s="121">
        <v>45243</v>
      </c>
      <c r="K134" s="121">
        <v>45252</v>
      </c>
      <c r="L134" s="124">
        <f t="shared" ca="1" si="10"/>
        <v>30</v>
      </c>
      <c r="M134" s="105">
        <f>'CLT NOVA'!AU328</f>
        <v>1649.42</v>
      </c>
      <c r="N134" s="105">
        <f>'CLT NOVA'!AU328</f>
        <v>1649.42</v>
      </c>
      <c r="O134" s="109">
        <f ca="1">P134/L134</f>
        <v>54.980666666666671</v>
      </c>
      <c r="P134" s="105">
        <f>'CLT NOVA'!BX328</f>
        <v>1649.42</v>
      </c>
      <c r="Q134" s="118"/>
      <c r="R134" s="107"/>
    </row>
    <row r="135" spans="1:18" s="107" customFormat="1">
      <c r="A135" s="219">
        <v>134</v>
      </c>
      <c r="B135" s="150" t="s">
        <v>270</v>
      </c>
      <c r="C135" s="106" t="s">
        <v>89</v>
      </c>
      <c r="D135" s="106" t="s">
        <v>102</v>
      </c>
      <c r="E135" s="106" t="s">
        <v>102</v>
      </c>
      <c r="F135" s="106" t="s">
        <v>104</v>
      </c>
      <c r="G135" s="106" t="s">
        <v>22</v>
      </c>
      <c r="H135" s="106">
        <v>514320</v>
      </c>
      <c r="I135" s="106" t="s">
        <v>23</v>
      </c>
      <c r="J135" s="121">
        <v>45957</v>
      </c>
      <c r="K135" s="217"/>
      <c r="L135" s="124">
        <f t="shared" ca="1" si="10"/>
        <v>7</v>
      </c>
      <c r="M135" s="109">
        <f>'CLT NOVA'!BR958</f>
        <v>322.35000000000002</v>
      </c>
      <c r="N135" s="171">
        <f>'CLT NOVA'!BW958</f>
        <v>2367.08</v>
      </c>
      <c r="O135" s="109">
        <f>'CLT NOVA'!BS926</f>
        <v>787.4</v>
      </c>
      <c r="P135" s="171">
        <f>'CLT NOVA'!BX958</f>
        <v>11800.49</v>
      </c>
    </row>
    <row r="136" spans="1:18" s="107" customFormat="1">
      <c r="A136" s="219">
        <v>135</v>
      </c>
      <c r="B136" s="150" t="s">
        <v>271</v>
      </c>
      <c r="C136" s="106" t="s">
        <v>89</v>
      </c>
      <c r="D136" s="106" t="s">
        <v>102</v>
      </c>
      <c r="E136" s="106" t="s">
        <v>102</v>
      </c>
      <c r="F136" s="106" t="s">
        <v>104</v>
      </c>
      <c r="G136" s="106" t="s">
        <v>22</v>
      </c>
      <c r="H136" s="106">
        <v>514320</v>
      </c>
      <c r="I136" s="106" t="s">
        <v>23</v>
      </c>
      <c r="J136" s="121">
        <v>45953</v>
      </c>
      <c r="K136" s="217"/>
      <c r="L136" s="124">
        <f t="shared" ca="1" si="10"/>
        <v>7</v>
      </c>
      <c r="M136" s="109">
        <f>'CLT NOVA'!BR971</f>
        <v>698.06</v>
      </c>
      <c r="N136" s="171">
        <f>'CLT NOVA'!BW971</f>
        <v>2475.66</v>
      </c>
      <c r="O136" s="109">
        <f t="shared" ref="O136:O141" ca="1" si="11">P136/L136</f>
        <v>1790.07</v>
      </c>
      <c r="P136" s="171">
        <f>'CLT NOVA'!BX971</f>
        <v>12530.49</v>
      </c>
    </row>
    <row r="137" spans="1:18" s="107" customFormat="1">
      <c r="A137" s="219">
        <v>136</v>
      </c>
      <c r="B137" s="150" t="s">
        <v>272</v>
      </c>
      <c r="C137" s="106" t="s">
        <v>89</v>
      </c>
      <c r="D137" s="106" t="s">
        <v>102</v>
      </c>
      <c r="E137" s="106" t="s">
        <v>102</v>
      </c>
      <c r="F137" s="106" t="s">
        <v>104</v>
      </c>
      <c r="G137" s="106" t="s">
        <v>22</v>
      </c>
      <c r="H137" s="106">
        <v>514320</v>
      </c>
      <c r="I137" s="106" t="s">
        <v>92</v>
      </c>
      <c r="J137" s="121">
        <v>45953</v>
      </c>
      <c r="K137" s="217"/>
      <c r="L137" s="124">
        <f t="shared" ca="1" si="10"/>
        <v>7</v>
      </c>
      <c r="M137" s="109">
        <f>'CLT NOVA'!BR984</f>
        <v>627.05999999999995</v>
      </c>
      <c r="N137" s="171">
        <f>'CLT NOVA'!BW984</f>
        <v>0</v>
      </c>
      <c r="O137" s="109">
        <f t="shared" ca="1" si="11"/>
        <v>1287.0728571428569</v>
      </c>
      <c r="P137" s="171">
        <f>'CLT NOVA'!BX984</f>
        <v>9009.5099999999984</v>
      </c>
    </row>
    <row r="138" spans="1:18">
      <c r="A138" s="219">
        <v>137</v>
      </c>
      <c r="B138" s="150" t="s">
        <v>273</v>
      </c>
      <c r="C138" s="108" t="s">
        <v>89</v>
      </c>
      <c r="D138" s="108" t="s">
        <v>90</v>
      </c>
      <c r="E138" s="108" t="s">
        <v>90</v>
      </c>
      <c r="F138" s="106" t="s">
        <v>104</v>
      </c>
      <c r="G138" s="106" t="s">
        <v>41</v>
      </c>
      <c r="H138" s="106"/>
      <c r="I138" s="106" t="s">
        <v>23</v>
      </c>
      <c r="J138" s="26">
        <v>45950</v>
      </c>
      <c r="K138" s="170"/>
      <c r="L138" s="124">
        <f t="shared" ca="1" si="10"/>
        <v>7</v>
      </c>
      <c r="M138" s="20">
        <f>'MEI - NOVA'!BR64</f>
        <v>2100</v>
      </c>
      <c r="N138" s="169">
        <f>'MEI - NOVA'!BW64</f>
        <v>5320.88</v>
      </c>
      <c r="O138" s="109">
        <f t="shared" ca="1" si="11"/>
        <v>4064.9471428571428</v>
      </c>
      <c r="P138" s="169">
        <f>'MEI - NOVA'!BX64</f>
        <v>28454.63</v>
      </c>
    </row>
    <row r="139" spans="1:18">
      <c r="A139" s="219">
        <v>138</v>
      </c>
      <c r="B139" s="150" t="s">
        <v>274</v>
      </c>
      <c r="C139" s="108" t="s">
        <v>89</v>
      </c>
      <c r="D139" s="108" t="s">
        <v>90</v>
      </c>
      <c r="E139" s="108" t="s">
        <v>111</v>
      </c>
      <c r="F139" s="106" t="s">
        <v>104</v>
      </c>
      <c r="G139" s="106" t="s">
        <v>41</v>
      </c>
      <c r="H139" s="106"/>
      <c r="I139" s="106" t="s">
        <v>23</v>
      </c>
      <c r="J139" s="26">
        <v>45940</v>
      </c>
      <c r="K139" s="170"/>
      <c r="L139" s="124">
        <f t="shared" ca="1" si="10"/>
        <v>7</v>
      </c>
      <c r="M139" s="20">
        <f>'MEI - NOVA'!BR65</f>
        <v>3850</v>
      </c>
      <c r="N139" s="169">
        <f>'MEI - NOVA'!BV66</f>
        <v>5068.13</v>
      </c>
      <c r="O139" s="109">
        <f t="shared" ca="1" si="11"/>
        <v>4403.6499999999996</v>
      </c>
      <c r="P139" s="169">
        <f>'MEI - NOVA'!BX65</f>
        <v>30825.55</v>
      </c>
    </row>
    <row r="140" spans="1:18">
      <c r="A140" s="219">
        <v>139</v>
      </c>
      <c r="B140" s="150" t="s">
        <v>275</v>
      </c>
      <c r="C140" s="108" t="s">
        <v>89</v>
      </c>
      <c r="D140" s="108" t="s">
        <v>90</v>
      </c>
      <c r="E140" s="108" t="s">
        <v>90</v>
      </c>
      <c r="F140" s="106" t="s">
        <v>104</v>
      </c>
      <c r="G140" s="106" t="s">
        <v>41</v>
      </c>
      <c r="H140" s="106"/>
      <c r="I140" s="106" t="s">
        <v>23</v>
      </c>
      <c r="J140" s="26">
        <v>45957</v>
      </c>
      <c r="K140" s="170"/>
      <c r="L140" s="124">
        <f t="shared" ca="1" si="10"/>
        <v>7</v>
      </c>
      <c r="M140" s="20">
        <f>'MEI - NOVA'!BR66</f>
        <v>602</v>
      </c>
      <c r="N140" s="169">
        <f>'MEI - NOVA'!BW65</f>
        <v>5900</v>
      </c>
      <c r="O140" s="109">
        <f t="shared" ca="1" si="11"/>
        <v>3385.3757142857144</v>
      </c>
      <c r="P140" s="169">
        <f>'MEI - NOVA'!BX66</f>
        <v>23697.63</v>
      </c>
    </row>
    <row r="141" spans="1:18">
      <c r="A141" s="219">
        <v>140</v>
      </c>
      <c r="B141" s="150" t="s">
        <v>276</v>
      </c>
      <c r="C141" s="108" t="s">
        <v>89</v>
      </c>
      <c r="D141" s="108" t="s">
        <v>277</v>
      </c>
      <c r="E141" s="108" t="s">
        <v>277</v>
      </c>
      <c r="F141" s="108" t="s">
        <v>45</v>
      </c>
      <c r="G141" s="106" t="s">
        <v>41</v>
      </c>
      <c r="H141" s="106"/>
      <c r="I141" s="106" t="s">
        <v>92</v>
      </c>
      <c r="J141" s="26">
        <v>45943</v>
      </c>
      <c r="K141" s="170"/>
      <c r="L141" s="124">
        <f t="shared" ca="1" si="10"/>
        <v>7</v>
      </c>
      <c r="M141" s="20">
        <f>'MEI - NOVA'!BR67</f>
        <v>5000</v>
      </c>
      <c r="N141" s="169">
        <v>0</v>
      </c>
      <c r="O141" s="109">
        <f t="shared" ca="1" si="11"/>
        <v>714.28571428571433</v>
      </c>
      <c r="P141" s="169">
        <f>'MEI - NOVA'!BX67</f>
        <v>5000</v>
      </c>
    </row>
    <row r="142" spans="1:18">
      <c r="A142" s="219">
        <v>156</v>
      </c>
      <c r="B142" s="37" t="s">
        <v>278</v>
      </c>
      <c r="C142" s="106" t="s">
        <v>89</v>
      </c>
      <c r="D142" s="106" t="s">
        <v>173</v>
      </c>
      <c r="E142" s="106" t="s">
        <v>173</v>
      </c>
      <c r="F142" s="106" t="s">
        <v>175</v>
      </c>
      <c r="G142" s="106" t="s">
        <v>22</v>
      </c>
      <c r="H142" s="106" t="s">
        <v>176</v>
      </c>
      <c r="I142" s="106" t="s">
        <v>23</v>
      </c>
      <c r="J142" s="167">
        <v>46044</v>
      </c>
      <c r="K142" s="217"/>
      <c r="L142" s="124">
        <f t="shared" ref="L142:L168" ca="1" si="12">DATEDIF(J142,TODAY(),"m")</f>
        <v>4</v>
      </c>
      <c r="M142" s="109">
        <f>'CLT NOVA'!BU1113</f>
        <v>1239.6300000000001</v>
      </c>
      <c r="N142" s="171">
        <f>'CLT NOVA'!BW1113</f>
        <v>3222.5499999999997</v>
      </c>
      <c r="O142" s="109">
        <f ca="1">P142/L142</f>
        <v>1895.7199999999998</v>
      </c>
      <c r="P142" s="171">
        <f>'CLT NOVA'!BX1113</f>
        <v>7582.8799999999992</v>
      </c>
      <c r="Q142" s="107"/>
      <c r="R142" s="107"/>
    </row>
    <row r="143" spans="1:18">
      <c r="A143" s="219">
        <v>157</v>
      </c>
      <c r="B143" s="37" t="s">
        <v>279</v>
      </c>
      <c r="C143" s="106" t="s">
        <v>89</v>
      </c>
      <c r="D143" s="106" t="s">
        <v>173</v>
      </c>
      <c r="E143" s="106" t="s">
        <v>173</v>
      </c>
      <c r="F143" s="106" t="s">
        <v>175</v>
      </c>
      <c r="G143" s="106" t="s">
        <v>22</v>
      </c>
      <c r="H143" s="106" t="s">
        <v>176</v>
      </c>
      <c r="I143" s="106" t="s">
        <v>23</v>
      </c>
      <c r="J143" s="167">
        <v>46044</v>
      </c>
      <c r="K143" s="217"/>
      <c r="L143" s="124">
        <f t="shared" ca="1" si="12"/>
        <v>4</v>
      </c>
      <c r="M143" s="109">
        <f>'CLT NOVA'!BU1126</f>
        <v>1212.75</v>
      </c>
      <c r="N143" s="171">
        <f>'CLT NOVA'!BW1126</f>
        <v>2430.3599999999997</v>
      </c>
      <c r="O143" s="109">
        <f ca="1">P143/L143</f>
        <v>1701.3174999999999</v>
      </c>
      <c r="P143" s="171">
        <f>'CLT NOVA'!BX1126</f>
        <v>6805.2699999999995</v>
      </c>
      <c r="Q143" s="107"/>
      <c r="R143" s="107"/>
    </row>
    <row r="144" spans="1:18">
      <c r="A144" s="219">
        <v>158</v>
      </c>
      <c r="B144" s="37" t="s">
        <v>280</v>
      </c>
      <c r="C144" s="106" t="s">
        <v>89</v>
      </c>
      <c r="D144" s="106" t="s">
        <v>173</v>
      </c>
      <c r="E144" s="106" t="s">
        <v>102</v>
      </c>
      <c r="F144" s="106" t="s">
        <v>104</v>
      </c>
      <c r="G144" s="106" t="s">
        <v>22</v>
      </c>
      <c r="H144" s="106">
        <v>514320</v>
      </c>
      <c r="I144" s="106" t="s">
        <v>23</v>
      </c>
      <c r="J144" s="167">
        <v>46101</v>
      </c>
      <c r="K144" s="217"/>
      <c r="L144" s="124">
        <f t="shared" ca="1" si="12"/>
        <v>2</v>
      </c>
      <c r="M144" s="109">
        <f>'CLT NOVA'!BW1139</f>
        <v>902.66000000000008</v>
      </c>
      <c r="N144" s="171">
        <f>'CLT NOVA'!BW1139</f>
        <v>902.66000000000008</v>
      </c>
      <c r="O144" s="109">
        <f ca="1">P144/L144</f>
        <v>451.33000000000004</v>
      </c>
      <c r="P144" s="171">
        <f>'CLT NOVA'!BX1139</f>
        <v>902.66000000000008</v>
      </c>
      <c r="Q144" s="107"/>
      <c r="R144" s="107"/>
    </row>
    <row r="145" spans="1:75">
      <c r="A145" s="219">
        <v>162</v>
      </c>
      <c r="B145" s="150" t="s">
        <v>281</v>
      </c>
      <c r="C145" s="106" t="s">
        <v>89</v>
      </c>
      <c r="D145" s="106" t="s">
        <v>102</v>
      </c>
      <c r="E145" s="106" t="s">
        <v>102</v>
      </c>
      <c r="F145" s="106" t="s">
        <v>104</v>
      </c>
      <c r="G145" s="106" t="s">
        <v>22</v>
      </c>
      <c r="H145" s="106">
        <v>514320</v>
      </c>
      <c r="I145" s="106" t="s">
        <v>23</v>
      </c>
      <c r="J145" s="129">
        <v>46092</v>
      </c>
      <c r="K145" s="217"/>
      <c r="L145" s="124">
        <f t="shared" ca="1" si="12"/>
        <v>2</v>
      </c>
      <c r="M145" s="109">
        <f>'CLT NOVA'!BW1152</f>
        <v>1596.73</v>
      </c>
      <c r="N145" s="171">
        <f>'CLT NOVA'!BW1152</f>
        <v>1596.73</v>
      </c>
      <c r="O145" s="109">
        <f ca="1">P145/L145</f>
        <v>798.36500000000001</v>
      </c>
      <c r="P145" s="171">
        <f>'CLT NOVA'!BX1152</f>
        <v>1596.73</v>
      </c>
      <c r="Q145" s="107"/>
      <c r="R145" s="107"/>
    </row>
    <row r="146" spans="1:75" s="107" customFormat="1">
      <c r="A146" s="219">
        <v>145</v>
      </c>
      <c r="B146" s="150" t="s">
        <v>282</v>
      </c>
      <c r="C146" s="108" t="s">
        <v>89</v>
      </c>
      <c r="D146" s="108" t="s">
        <v>90</v>
      </c>
      <c r="E146" s="108" t="s">
        <v>90</v>
      </c>
      <c r="F146" s="108" t="s">
        <v>45</v>
      </c>
      <c r="G146" s="106" t="s">
        <v>41</v>
      </c>
      <c r="H146" s="108"/>
      <c r="I146" s="106" t="s">
        <v>23</v>
      </c>
      <c r="J146" s="155">
        <v>45964</v>
      </c>
      <c r="K146" s="105"/>
      <c r="L146" s="124">
        <f t="shared" ca="1" si="12"/>
        <v>6</v>
      </c>
      <c r="M146" s="105">
        <f>'MEI - NOVA'!BT72</f>
        <v>5350</v>
      </c>
      <c r="N146" s="109">
        <f>'MEI - NOVA'!BW72</f>
        <v>5350</v>
      </c>
      <c r="O146" s="109">
        <f ca="1">N146/L146</f>
        <v>891.66666666666663</v>
      </c>
      <c r="P146" s="169">
        <f>'MEI - NOVA'!BX72</f>
        <v>21400</v>
      </c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6"/>
      <c r="AU146" s="116"/>
      <c r="AV146" s="116"/>
      <c r="AW146" s="116"/>
      <c r="AX146" s="116"/>
      <c r="AY146" s="116"/>
      <c r="AZ146" s="116"/>
      <c r="BA146" s="116"/>
      <c r="BB146" s="116"/>
      <c r="BC146" s="116"/>
      <c r="BD146" s="116"/>
      <c r="BE146" s="116"/>
      <c r="BF146" s="116"/>
      <c r="BG146" s="116"/>
      <c r="BH146" s="116"/>
      <c r="BI146" s="116"/>
      <c r="BJ146" s="116"/>
      <c r="BK146" s="116"/>
      <c r="BL146" s="116"/>
      <c r="BM146" s="116"/>
      <c r="BN146" s="116"/>
      <c r="BO146" s="116"/>
      <c r="BP146" s="116"/>
      <c r="BQ146" s="116"/>
      <c r="BR146" s="116"/>
      <c r="BS146" s="116"/>
      <c r="BT146" s="116">
        <v>5350</v>
      </c>
      <c r="BU146" s="116">
        <v>5350</v>
      </c>
      <c r="BV146" s="116">
        <v>5350</v>
      </c>
      <c r="BW146" s="174">
        <f ca="1">SUM(J146:BV146)</f>
        <v>95011.666666666657</v>
      </c>
    </row>
    <row r="147" spans="1:75" s="107" customFormat="1">
      <c r="A147" s="219">
        <v>146</v>
      </c>
      <c r="B147" s="150" t="s">
        <v>283</v>
      </c>
      <c r="C147" s="108" t="s">
        <v>89</v>
      </c>
      <c r="D147" s="108" t="s">
        <v>90</v>
      </c>
      <c r="E147" s="108" t="s">
        <v>90</v>
      </c>
      <c r="F147" s="108" t="s">
        <v>45</v>
      </c>
      <c r="G147" s="106" t="s">
        <v>41</v>
      </c>
      <c r="H147" s="108"/>
      <c r="I147" s="106" t="s">
        <v>23</v>
      </c>
      <c r="J147" s="155">
        <v>45931</v>
      </c>
      <c r="K147" s="105"/>
      <c r="L147" s="124">
        <f t="shared" ca="1" si="12"/>
        <v>8</v>
      </c>
      <c r="M147" s="105">
        <f>'MEI - NOVA'!BU73</f>
        <v>5350</v>
      </c>
      <c r="N147" s="109">
        <f>'MEI - NOVA'!BW73</f>
        <v>5078.75</v>
      </c>
      <c r="O147" s="109">
        <f ca="1">N147/L147</f>
        <v>634.84375</v>
      </c>
      <c r="P147" s="169">
        <f>'MEI - NOVA'!BX73</f>
        <v>15428.880000000001</v>
      </c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6"/>
      <c r="AU147" s="116"/>
      <c r="AV147" s="116"/>
      <c r="AW147" s="116"/>
      <c r="AX147" s="116"/>
      <c r="AY147" s="116"/>
      <c r="AZ147" s="116"/>
      <c r="BA147" s="116"/>
      <c r="BB147" s="116"/>
      <c r="BC147" s="116"/>
      <c r="BD147" s="116"/>
      <c r="BE147" s="116"/>
      <c r="BF147" s="116"/>
      <c r="BG147" s="116"/>
      <c r="BH147" s="116"/>
      <c r="BI147" s="116"/>
      <c r="BJ147" s="116"/>
      <c r="BK147" s="116"/>
      <c r="BL147" s="116"/>
      <c r="BM147" s="116"/>
      <c r="BN147" s="116"/>
      <c r="BO147" s="116"/>
      <c r="BP147" s="116"/>
      <c r="BQ147" s="116"/>
      <c r="BR147" s="116"/>
      <c r="BS147" s="116"/>
      <c r="BT147" s="116"/>
      <c r="BU147" s="116">
        <v>5350</v>
      </c>
      <c r="BV147" s="116">
        <v>5000.13</v>
      </c>
      <c r="BW147" s="174">
        <f ca="1">SUM(J147:BV147)</f>
        <v>82781.603750000009</v>
      </c>
    </row>
    <row r="148" spans="1:75" s="107" customFormat="1">
      <c r="A148" s="219">
        <v>147</v>
      </c>
      <c r="B148" s="150" t="s">
        <v>284</v>
      </c>
      <c r="C148" s="108" t="s">
        <v>99</v>
      </c>
      <c r="D148" s="108" t="s">
        <v>194</v>
      </c>
      <c r="E148" s="108" t="s">
        <v>194</v>
      </c>
      <c r="F148" s="108" t="s">
        <v>45</v>
      </c>
      <c r="G148" s="106" t="s">
        <v>41</v>
      </c>
      <c r="H148" s="108"/>
      <c r="I148" s="106" t="s">
        <v>23</v>
      </c>
      <c r="J148" s="155">
        <v>45901</v>
      </c>
      <c r="K148" s="105"/>
      <c r="L148" s="124">
        <f t="shared" ca="1" si="12"/>
        <v>9</v>
      </c>
      <c r="M148" s="105">
        <f>'MEI - NOVA'!BR74</f>
        <v>2500</v>
      </c>
      <c r="N148" s="109">
        <f>'MEI - NOVA'!BW74</f>
        <v>3000</v>
      </c>
      <c r="O148" s="109">
        <f ca="1">N148/L148</f>
        <v>333.33333333333331</v>
      </c>
      <c r="P148" s="169">
        <f>'MEI - NOVA'!BX74</f>
        <v>15750</v>
      </c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6"/>
      <c r="AU148" s="116"/>
      <c r="AV148" s="116"/>
      <c r="AW148" s="116"/>
      <c r="AX148" s="116"/>
      <c r="AY148" s="116"/>
      <c r="AZ148" s="116"/>
      <c r="BA148" s="116"/>
      <c r="BB148" s="116"/>
      <c r="BC148" s="116"/>
      <c r="BD148" s="116"/>
      <c r="BE148" s="116"/>
      <c r="BF148" s="116"/>
      <c r="BG148" s="116"/>
      <c r="BH148" s="116"/>
      <c r="BI148" s="116"/>
      <c r="BJ148" s="116"/>
      <c r="BK148" s="116"/>
      <c r="BL148" s="116"/>
      <c r="BM148" s="116"/>
      <c r="BN148" s="116"/>
      <c r="BO148" s="116"/>
      <c r="BP148" s="116"/>
      <c r="BQ148" s="116"/>
      <c r="BR148" s="116">
        <v>2500</v>
      </c>
      <c r="BS148" s="116">
        <v>2500</v>
      </c>
      <c r="BT148" s="179">
        <v>2500</v>
      </c>
      <c r="BU148" s="179">
        <v>2500</v>
      </c>
      <c r="BV148" s="179">
        <v>2500</v>
      </c>
      <c r="BW148" s="174">
        <f ca="1">SUM(J148:BV148)</f>
        <v>79993.333333333343</v>
      </c>
    </row>
    <row r="149" spans="1:75" s="107" customFormat="1">
      <c r="A149" s="219">
        <v>148</v>
      </c>
      <c r="B149" s="150" t="s">
        <v>285</v>
      </c>
      <c r="C149" s="108" t="s">
        <v>89</v>
      </c>
      <c r="D149" s="108" t="s">
        <v>90</v>
      </c>
      <c r="E149" s="108" t="s">
        <v>90</v>
      </c>
      <c r="F149" s="108" t="s">
        <v>45</v>
      </c>
      <c r="G149" s="106" t="s">
        <v>41</v>
      </c>
      <c r="H149" s="108"/>
      <c r="I149" s="106" t="s">
        <v>23</v>
      </c>
      <c r="J149" s="155">
        <v>45938</v>
      </c>
      <c r="K149" s="105"/>
      <c r="L149" s="124">
        <f t="shared" ca="1" si="12"/>
        <v>7</v>
      </c>
      <c r="M149" s="105">
        <f>'MEI - NOVA'!BS75</f>
        <v>5350</v>
      </c>
      <c r="N149" s="109">
        <f>'MEI - NOVA'!BW75</f>
        <v>5511.93</v>
      </c>
      <c r="O149" s="109">
        <f ca="1">N149/L149</f>
        <v>787.41857142857145</v>
      </c>
      <c r="P149" s="169">
        <f>'MEI - NOVA'!BX75</f>
        <v>26911.93</v>
      </c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6"/>
      <c r="AY149" s="116"/>
      <c r="AZ149" s="116"/>
      <c r="BA149" s="116"/>
      <c r="BB149" s="116"/>
      <c r="BC149" s="116"/>
      <c r="BD149" s="116"/>
      <c r="BE149" s="116"/>
      <c r="BF149" s="116"/>
      <c r="BG149" s="116"/>
      <c r="BH149" s="116"/>
      <c r="BI149" s="116"/>
      <c r="BJ149" s="116"/>
      <c r="BK149" s="116"/>
      <c r="BL149" s="116"/>
      <c r="BM149" s="116"/>
      <c r="BN149" s="116"/>
      <c r="BO149" s="116"/>
      <c r="BP149" s="116"/>
      <c r="BQ149" s="116"/>
      <c r="BR149" s="116"/>
      <c r="BS149" s="179">
        <v>5350</v>
      </c>
      <c r="BT149" s="116">
        <v>5350</v>
      </c>
      <c r="BU149" s="116">
        <v>5350</v>
      </c>
      <c r="BV149" s="116">
        <v>5350</v>
      </c>
      <c r="BW149" s="174">
        <f ca="1">SUM(J149:BV149)</f>
        <v>105906.27857142857</v>
      </c>
    </row>
    <row r="150" spans="1:75" s="107" customFormat="1">
      <c r="A150" s="219">
        <v>149</v>
      </c>
      <c r="B150" s="37" t="s">
        <v>286</v>
      </c>
      <c r="C150" s="106" t="s">
        <v>99</v>
      </c>
      <c r="D150" s="106" t="s">
        <v>144</v>
      </c>
      <c r="E150" s="106" t="s">
        <v>144</v>
      </c>
      <c r="F150" s="106" t="s">
        <v>145</v>
      </c>
      <c r="G150" s="106" t="s">
        <v>146</v>
      </c>
      <c r="H150" s="106"/>
      <c r="I150" s="106" t="s">
        <v>23</v>
      </c>
      <c r="J150" s="155">
        <v>46007</v>
      </c>
      <c r="K150" s="217"/>
      <c r="L150" s="124">
        <f t="shared" ca="1" si="12"/>
        <v>5</v>
      </c>
      <c r="M150" s="109">
        <f>'CLT NOVA'!BU1013</f>
        <v>1220.5</v>
      </c>
      <c r="N150" s="109">
        <f>'CLT NOVA'!BW1029</f>
        <v>1231</v>
      </c>
      <c r="O150" s="109">
        <f t="shared" ref="O150:O160" ca="1" si="13">P150/L150</f>
        <v>747</v>
      </c>
      <c r="P150" s="171">
        <f>'CLT NOVA'!BX1013</f>
        <v>3735</v>
      </c>
    </row>
    <row r="151" spans="1:75" s="107" customFormat="1">
      <c r="A151" s="219">
        <v>150</v>
      </c>
      <c r="B151" s="37" t="s">
        <v>287</v>
      </c>
      <c r="C151" s="106" t="s">
        <v>99</v>
      </c>
      <c r="D151" s="106" t="s">
        <v>144</v>
      </c>
      <c r="E151" s="106" t="s">
        <v>144</v>
      </c>
      <c r="F151" s="106" t="s">
        <v>145</v>
      </c>
      <c r="G151" s="106" t="s">
        <v>146</v>
      </c>
      <c r="H151" s="106"/>
      <c r="I151" s="106" t="s">
        <v>23</v>
      </c>
      <c r="J151" s="155">
        <v>46007</v>
      </c>
      <c r="K151" s="217"/>
      <c r="L151" s="124">
        <f t="shared" ca="1" si="12"/>
        <v>5</v>
      </c>
      <c r="M151" s="109">
        <f>'CLT NOVA'!BU1029</f>
        <v>1220.5</v>
      </c>
      <c r="N151" s="109">
        <f>'CLT NOVA'!BW1029</f>
        <v>1231</v>
      </c>
      <c r="O151" s="109">
        <f t="shared" ca="1" si="13"/>
        <v>732.3</v>
      </c>
      <c r="P151" s="171">
        <f>'CLT NOVA'!BX1029</f>
        <v>3661.5</v>
      </c>
    </row>
    <row r="152" spans="1:75" s="107" customFormat="1">
      <c r="A152" s="219">
        <v>163</v>
      </c>
      <c r="B152" s="150" t="s">
        <v>288</v>
      </c>
      <c r="C152" s="106" t="s">
        <v>89</v>
      </c>
      <c r="D152" s="106" t="s">
        <v>117</v>
      </c>
      <c r="E152" s="106" t="s">
        <v>117</v>
      </c>
      <c r="F152" s="106" t="s">
        <v>104</v>
      </c>
      <c r="G152" s="106" t="s">
        <v>22</v>
      </c>
      <c r="H152" s="106">
        <v>514320</v>
      </c>
      <c r="I152" s="106" t="s">
        <v>23</v>
      </c>
      <c r="J152" s="129">
        <v>46105</v>
      </c>
      <c r="K152" s="217"/>
      <c r="L152" s="124">
        <f t="shared" ca="1" si="12"/>
        <v>2</v>
      </c>
      <c r="M152" s="109">
        <f>'CLT NOVA'!BW1165</f>
        <v>520.33000000000004</v>
      </c>
      <c r="N152" s="171">
        <f>'CLT NOVA'!BW1165</f>
        <v>520.33000000000004</v>
      </c>
      <c r="O152" s="109">
        <f t="shared" ca="1" si="13"/>
        <v>260.16500000000002</v>
      </c>
      <c r="P152" s="171">
        <f>'CLT NOVA'!BX1165</f>
        <v>520.33000000000004</v>
      </c>
    </row>
    <row r="153" spans="1:75" s="107" customFormat="1">
      <c r="A153" s="219">
        <v>164</v>
      </c>
      <c r="B153" s="150" t="s">
        <v>289</v>
      </c>
      <c r="C153" s="106" t="s">
        <v>89</v>
      </c>
      <c r="D153" s="106" t="s">
        <v>102</v>
      </c>
      <c r="E153" s="106" t="s">
        <v>102</v>
      </c>
      <c r="F153" s="106" t="s">
        <v>104</v>
      </c>
      <c r="G153" s="106" t="s">
        <v>22</v>
      </c>
      <c r="H153" s="106">
        <v>514320</v>
      </c>
      <c r="I153" s="106" t="s">
        <v>23</v>
      </c>
      <c r="J153" s="129">
        <v>46073</v>
      </c>
      <c r="K153" s="217"/>
      <c r="L153" s="124">
        <f t="shared" ca="1" si="12"/>
        <v>3</v>
      </c>
      <c r="M153" s="109">
        <f>'CLT NOVA'!BV1178</f>
        <v>859.16000000000008</v>
      </c>
      <c r="N153" s="171">
        <f>'CLT NOVA'!BW1178</f>
        <v>2447.7399999999998</v>
      </c>
      <c r="O153" s="109">
        <f t="shared" ca="1" si="13"/>
        <v>1102.3</v>
      </c>
      <c r="P153" s="171">
        <f>'CLT NOVA'!BX1178</f>
        <v>3306.8999999999996</v>
      </c>
    </row>
    <row r="154" spans="1:75" s="107" customFormat="1">
      <c r="A154" s="219">
        <v>153</v>
      </c>
      <c r="B154" s="37" t="s">
        <v>290</v>
      </c>
      <c r="C154" s="106" t="s">
        <v>89</v>
      </c>
      <c r="D154" s="106" t="s">
        <v>102</v>
      </c>
      <c r="E154" s="106" t="s">
        <v>102</v>
      </c>
      <c r="F154" s="106" t="s">
        <v>104</v>
      </c>
      <c r="G154" s="106" t="s">
        <v>22</v>
      </c>
      <c r="H154" s="106">
        <v>514320</v>
      </c>
      <c r="I154" s="106" t="s">
        <v>23</v>
      </c>
      <c r="J154" s="167">
        <v>46007</v>
      </c>
      <c r="K154" s="217"/>
      <c r="L154" s="124">
        <f t="shared" ca="1" si="12"/>
        <v>5</v>
      </c>
      <c r="M154" s="109">
        <f>'CLT NOVA'!BT1074</f>
        <v>1965.48</v>
      </c>
      <c r="N154" s="171">
        <f>'CLT NOVA'!BW1074</f>
        <v>2150.6499999999996</v>
      </c>
      <c r="O154" s="109">
        <f t="shared" ca="1" si="13"/>
        <v>1613.6179999999999</v>
      </c>
      <c r="P154" s="171">
        <f>'CLT NOVA'!BX1074</f>
        <v>8068.09</v>
      </c>
    </row>
    <row r="155" spans="1:75" s="107" customFormat="1">
      <c r="A155" s="219">
        <v>154</v>
      </c>
      <c r="B155" s="37" t="s">
        <v>291</v>
      </c>
      <c r="C155" s="106" t="s">
        <v>89</v>
      </c>
      <c r="D155" s="106" t="s">
        <v>102</v>
      </c>
      <c r="E155" s="106" t="s">
        <v>102</v>
      </c>
      <c r="F155" s="106" t="s">
        <v>104</v>
      </c>
      <c r="G155" s="106" t="s">
        <v>22</v>
      </c>
      <c r="H155" s="106">
        <v>514320</v>
      </c>
      <c r="I155" s="106" t="s">
        <v>23</v>
      </c>
      <c r="J155" s="167">
        <v>46006</v>
      </c>
      <c r="K155" s="217"/>
      <c r="L155" s="124">
        <f t="shared" ca="1" si="12"/>
        <v>5</v>
      </c>
      <c r="M155" s="132">
        <f>'CLT NOVA'!BT1087</f>
        <v>1430.48</v>
      </c>
      <c r="N155" s="171">
        <f>'CLT NOVA'!BW1087</f>
        <v>1727.7799999999997</v>
      </c>
      <c r="O155" s="109">
        <f t="shared" ca="1" si="13"/>
        <v>1465.624</v>
      </c>
      <c r="P155" s="171">
        <f>'CLT NOVA'!BX1087</f>
        <v>7328.12</v>
      </c>
    </row>
    <row r="156" spans="1:75" s="107" customFormat="1">
      <c r="A156" s="219">
        <v>155</v>
      </c>
      <c r="B156" s="37" t="s">
        <v>292</v>
      </c>
      <c r="C156" s="106" t="s">
        <v>89</v>
      </c>
      <c r="D156" s="106" t="s">
        <v>173</v>
      </c>
      <c r="E156" s="106" t="s">
        <v>173</v>
      </c>
      <c r="F156" s="106" t="s">
        <v>175</v>
      </c>
      <c r="G156" s="106" t="s">
        <v>22</v>
      </c>
      <c r="H156" s="106" t="s">
        <v>176</v>
      </c>
      <c r="I156" s="106" t="s">
        <v>23</v>
      </c>
      <c r="J156" s="167">
        <v>45964</v>
      </c>
      <c r="K156" s="217"/>
      <c r="L156" s="124">
        <f t="shared" ca="1" si="12"/>
        <v>6</v>
      </c>
      <c r="M156" s="109">
        <f>'CLT NOVA'!BS1100</f>
        <v>3010.4700000000003</v>
      </c>
      <c r="N156" s="171">
        <f>'CLT NOVA'!BW1100</f>
        <v>3137.75</v>
      </c>
      <c r="O156" s="109">
        <f t="shared" ca="1" si="13"/>
        <v>2530.7950000000001</v>
      </c>
      <c r="P156" s="171">
        <f>'CLT NOVA'!BX1100</f>
        <v>15184.77</v>
      </c>
    </row>
    <row r="157" spans="1:75" s="107" customFormat="1">
      <c r="A157" s="219">
        <v>165</v>
      </c>
      <c r="B157" s="150" t="s">
        <v>293</v>
      </c>
      <c r="C157" s="106" t="s">
        <v>89</v>
      </c>
      <c r="D157" s="106" t="s">
        <v>102</v>
      </c>
      <c r="E157" s="106" t="s">
        <v>102</v>
      </c>
      <c r="F157" s="106" t="s">
        <v>104</v>
      </c>
      <c r="G157" s="106" t="s">
        <v>22</v>
      </c>
      <c r="H157" s="106">
        <v>514320</v>
      </c>
      <c r="I157" s="106" t="s">
        <v>23</v>
      </c>
      <c r="J157" s="129">
        <v>46073</v>
      </c>
      <c r="K157" s="217"/>
      <c r="L157" s="124">
        <f t="shared" ca="1" si="12"/>
        <v>3</v>
      </c>
      <c r="M157" s="109">
        <f>'CLT NOVA'!BV1191</f>
        <v>793.16000000000008</v>
      </c>
      <c r="N157" s="171">
        <f>'CLT NOVA'!BW1191</f>
        <v>2270.2599999999998</v>
      </c>
      <c r="O157" s="109">
        <f t="shared" ca="1" si="13"/>
        <v>1021.14</v>
      </c>
      <c r="P157" s="171">
        <f>'CLT NOVA'!BX1191</f>
        <v>3063.42</v>
      </c>
    </row>
    <row r="158" spans="1:75" s="107" customFormat="1">
      <c r="A158" s="219">
        <v>166</v>
      </c>
      <c r="B158" s="150" t="s">
        <v>294</v>
      </c>
      <c r="C158" s="106" t="s">
        <v>89</v>
      </c>
      <c r="D158" s="106" t="s">
        <v>102</v>
      </c>
      <c r="E158" s="106" t="s">
        <v>102</v>
      </c>
      <c r="F158" s="106" t="s">
        <v>104</v>
      </c>
      <c r="G158" s="106" t="s">
        <v>22</v>
      </c>
      <c r="H158" s="106">
        <v>514320</v>
      </c>
      <c r="I158" s="106" t="s">
        <v>23</v>
      </c>
      <c r="J158" s="129">
        <v>46101</v>
      </c>
      <c r="K158" s="217"/>
      <c r="L158" s="124">
        <f t="shared" ca="1" si="12"/>
        <v>2</v>
      </c>
      <c r="M158" s="109">
        <f>'CLT NOVA'!BW1204</f>
        <v>874.22</v>
      </c>
      <c r="N158" s="171">
        <f>'CLT NOVA'!BW1204</f>
        <v>874.22</v>
      </c>
      <c r="O158" s="109">
        <f t="shared" ca="1" si="13"/>
        <v>437.11</v>
      </c>
      <c r="P158" s="171">
        <f>'CLT NOVA'!BX1204</f>
        <v>874.22</v>
      </c>
    </row>
    <row r="159" spans="1:75" s="107" customFormat="1">
      <c r="A159" s="219">
        <v>151</v>
      </c>
      <c r="B159" s="37" t="s">
        <v>295</v>
      </c>
      <c r="C159" s="106" t="s">
        <v>121</v>
      </c>
      <c r="D159" s="106" t="s">
        <v>144</v>
      </c>
      <c r="E159" s="106" t="s">
        <v>144</v>
      </c>
      <c r="F159" s="106" t="s">
        <v>145</v>
      </c>
      <c r="G159" s="106" t="s">
        <v>146</v>
      </c>
      <c r="H159" s="106"/>
      <c r="I159" s="106" t="s">
        <v>23</v>
      </c>
      <c r="J159" s="155">
        <v>46048</v>
      </c>
      <c r="K159" s="217"/>
      <c r="L159" s="124">
        <f t="shared" ca="1" si="12"/>
        <v>4</v>
      </c>
      <c r="M159" s="109">
        <f>'CLT NOVA'!BV1045</f>
        <v>1210</v>
      </c>
      <c r="N159" s="109">
        <f>'CLT NOVA'!BW1045</f>
        <v>1231</v>
      </c>
      <c r="O159" s="109">
        <f t="shared" ca="1" si="13"/>
        <v>610.25</v>
      </c>
      <c r="P159" s="171">
        <f>'CLT NOVA'!BX1045</f>
        <v>2441</v>
      </c>
    </row>
    <row r="160" spans="1:75" s="107" customFormat="1">
      <c r="A160" s="219">
        <v>152</v>
      </c>
      <c r="B160" s="37" t="s">
        <v>296</v>
      </c>
      <c r="C160" s="106" t="s">
        <v>113</v>
      </c>
      <c r="D160" s="106" t="s">
        <v>144</v>
      </c>
      <c r="E160" s="106" t="s">
        <v>144</v>
      </c>
      <c r="F160" s="106" t="s">
        <v>145</v>
      </c>
      <c r="G160" s="106" t="s">
        <v>146</v>
      </c>
      <c r="H160" s="106"/>
      <c r="I160" s="106" t="s">
        <v>23</v>
      </c>
      <c r="J160" s="155">
        <v>46048</v>
      </c>
      <c r="K160" s="217"/>
      <c r="L160" s="124">
        <f t="shared" ca="1" si="12"/>
        <v>4</v>
      </c>
      <c r="M160" s="109">
        <f>'CLT NOVA'!BV1061</f>
        <v>1210</v>
      </c>
      <c r="N160" s="109">
        <f>'CLT NOVA'!BW1061</f>
        <v>1231</v>
      </c>
      <c r="O160" s="109">
        <f t="shared" ca="1" si="13"/>
        <v>610.25</v>
      </c>
      <c r="P160" s="171">
        <f>'CLT NOVA'!BX1061</f>
        <v>2441</v>
      </c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  <c r="AM160" s="116"/>
      <c r="AN160" s="116"/>
      <c r="AO160" s="116"/>
      <c r="AP160" s="116"/>
      <c r="AQ160" s="116"/>
      <c r="AR160" s="116"/>
      <c r="AS160" s="116"/>
      <c r="AT160" s="116"/>
      <c r="AU160" s="116"/>
      <c r="AV160" s="116"/>
      <c r="AW160" s="116"/>
      <c r="AX160" s="116"/>
      <c r="AY160" s="116"/>
      <c r="AZ160" s="116"/>
      <c r="BA160" s="116"/>
      <c r="BB160" s="116"/>
      <c r="BC160" s="116"/>
      <c r="BD160" s="116"/>
      <c r="BE160" s="116"/>
      <c r="BF160" s="116"/>
      <c r="BG160" s="116"/>
      <c r="BH160" s="116"/>
      <c r="BI160" s="116"/>
      <c r="BJ160" s="116"/>
      <c r="BK160" s="116"/>
      <c r="BL160" s="116"/>
      <c r="BM160" s="116"/>
      <c r="BN160" s="116"/>
      <c r="BO160" s="116"/>
      <c r="BP160" s="116"/>
      <c r="BQ160" s="116"/>
      <c r="BR160" s="116"/>
      <c r="BS160" s="179">
        <v>5350</v>
      </c>
      <c r="BT160" s="116">
        <v>5350</v>
      </c>
      <c r="BU160" s="116">
        <v>5350</v>
      </c>
      <c r="BV160" s="116">
        <v>5350</v>
      </c>
      <c r="BW160" s="174">
        <f ca="1">SUM(J160:BV160)</f>
        <v>72944.25</v>
      </c>
    </row>
    <row r="161" spans="1:75" s="107" customFormat="1">
      <c r="A161" s="219">
        <v>141</v>
      </c>
      <c r="B161" s="150" t="s">
        <v>297</v>
      </c>
      <c r="C161" s="108" t="s">
        <v>218</v>
      </c>
      <c r="D161" s="108" t="s">
        <v>218</v>
      </c>
      <c r="E161" s="108" t="s">
        <v>218</v>
      </c>
      <c r="F161" s="108" t="s">
        <v>45</v>
      </c>
      <c r="G161" s="106" t="s">
        <v>41</v>
      </c>
      <c r="H161" s="106"/>
      <c r="I161" s="106" t="s">
        <v>23</v>
      </c>
      <c r="J161" s="155">
        <v>46055</v>
      </c>
      <c r="K161" s="124"/>
      <c r="L161" s="124">
        <f t="shared" ca="1" si="12"/>
        <v>3</v>
      </c>
      <c r="M161" s="169">
        <f>'MEI - NOVA'!BU68</f>
        <v>0</v>
      </c>
      <c r="N161" s="109">
        <f>'MEI - NOVA'!BW68</f>
        <v>4000</v>
      </c>
      <c r="O161" s="109">
        <f t="shared" ref="O161:O169" ca="1" si="14">N161/L161</f>
        <v>1333.3333333333333</v>
      </c>
      <c r="P161" s="169">
        <f>'MEI - NOVA'!BX68</f>
        <v>8000</v>
      </c>
      <c r="Q161"/>
      <c r="R161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  <c r="AR161" s="116"/>
      <c r="AS161" s="116"/>
      <c r="AT161" s="116"/>
      <c r="AU161" s="116"/>
      <c r="AV161" s="116"/>
      <c r="AW161" s="116"/>
      <c r="AX161" s="116"/>
      <c r="AY161" s="116"/>
      <c r="AZ161" s="116"/>
      <c r="BA161" s="116"/>
      <c r="BB161" s="116"/>
      <c r="BC161" s="116"/>
      <c r="BD161" s="116"/>
      <c r="BE161" s="116"/>
      <c r="BF161" s="116"/>
      <c r="BG161" s="116"/>
      <c r="BH161" s="116"/>
      <c r="BI161" s="116"/>
      <c r="BJ161" s="116"/>
      <c r="BK161" s="116"/>
      <c r="BL161" s="116"/>
      <c r="BM161" s="116"/>
      <c r="BN161" s="116"/>
      <c r="BO161" s="116"/>
      <c r="BP161" s="116"/>
      <c r="BQ161" s="116"/>
      <c r="BR161" s="116"/>
      <c r="BS161" s="179">
        <v>5350</v>
      </c>
      <c r="BT161" s="116">
        <v>5350</v>
      </c>
      <c r="BU161" s="116">
        <v>5350</v>
      </c>
      <c r="BV161" s="116">
        <v>5350</v>
      </c>
      <c r="BW161" s="174">
        <f ca="1">SUM(J161:BV161)</f>
        <v>80791.333333333343</v>
      </c>
    </row>
    <row r="162" spans="1:75" s="107" customFormat="1">
      <c r="A162" s="219">
        <v>142</v>
      </c>
      <c r="B162" s="150" t="s">
        <v>298</v>
      </c>
      <c r="C162" s="108" t="s">
        <v>218</v>
      </c>
      <c r="D162" s="108" t="s">
        <v>218</v>
      </c>
      <c r="E162" s="108" t="s">
        <v>218</v>
      </c>
      <c r="F162" s="108" t="s">
        <v>45</v>
      </c>
      <c r="G162" s="106" t="s">
        <v>41</v>
      </c>
      <c r="H162" s="106"/>
      <c r="I162" s="106" t="s">
        <v>23</v>
      </c>
      <c r="J162" s="155">
        <v>46055</v>
      </c>
      <c r="K162" s="124"/>
      <c r="L162" s="124">
        <f t="shared" ca="1" si="12"/>
        <v>3</v>
      </c>
      <c r="M162" s="169">
        <f>'MEI - NOVA'!BU69</f>
        <v>0</v>
      </c>
      <c r="N162" s="109">
        <f>'MEI - NOVA'!BW69</f>
        <v>4000</v>
      </c>
      <c r="O162" s="109">
        <f t="shared" ca="1" si="14"/>
        <v>1333.3333333333333</v>
      </c>
      <c r="P162" s="169">
        <f>'MEI - NOVA'!BX69</f>
        <v>8000</v>
      </c>
      <c r="Q162"/>
      <c r="R162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  <c r="AJ162" s="116"/>
      <c r="AK162" s="116"/>
      <c r="AL162" s="116"/>
      <c r="AM162" s="116"/>
      <c r="AN162" s="116"/>
      <c r="AO162" s="116"/>
      <c r="AP162" s="116"/>
      <c r="AQ162" s="116"/>
      <c r="AR162" s="116"/>
      <c r="AS162" s="116"/>
      <c r="AT162" s="116"/>
      <c r="AU162" s="116"/>
      <c r="AV162" s="116"/>
      <c r="AW162" s="116"/>
      <c r="AX162" s="116"/>
      <c r="AY162" s="116"/>
      <c r="AZ162" s="116"/>
      <c r="BA162" s="116"/>
      <c r="BB162" s="116"/>
      <c r="BC162" s="116"/>
      <c r="BD162" s="116"/>
      <c r="BE162" s="116"/>
      <c r="BF162" s="116"/>
      <c r="BG162" s="116"/>
      <c r="BH162" s="116"/>
      <c r="BI162" s="116"/>
      <c r="BJ162" s="116"/>
      <c r="BK162" s="116"/>
      <c r="BL162" s="116"/>
      <c r="BM162" s="116"/>
      <c r="BN162" s="116"/>
      <c r="BO162" s="116"/>
      <c r="BP162" s="116"/>
      <c r="BQ162" s="116"/>
      <c r="BR162" s="116"/>
      <c r="BS162" s="179">
        <v>5350</v>
      </c>
      <c r="BT162" s="116">
        <v>5350</v>
      </c>
      <c r="BU162" s="116">
        <v>5350</v>
      </c>
      <c r="BV162" s="116">
        <v>5350</v>
      </c>
      <c r="BW162" s="174">
        <f ca="1">SUM(J162:BV162)</f>
        <v>80791.333333333343</v>
      </c>
    </row>
    <row r="163" spans="1:75" s="107" customFormat="1">
      <c r="A163" s="219">
        <v>143</v>
      </c>
      <c r="B163" s="150" t="s">
        <v>299</v>
      </c>
      <c r="C163" s="108" t="s">
        <v>121</v>
      </c>
      <c r="D163" s="108" t="s">
        <v>300</v>
      </c>
      <c r="E163" s="108" t="s">
        <v>300</v>
      </c>
      <c r="F163" s="108" t="s">
        <v>45</v>
      </c>
      <c r="G163" s="106" t="s">
        <v>41</v>
      </c>
      <c r="H163" s="106"/>
      <c r="I163" s="106" t="s">
        <v>23</v>
      </c>
      <c r="J163" s="155">
        <v>46055</v>
      </c>
      <c r="K163" s="124"/>
      <c r="L163" s="124">
        <f t="shared" ca="1" si="12"/>
        <v>3</v>
      </c>
      <c r="M163" s="169">
        <f>'MEI - NOVA'!BU70</f>
        <v>2500</v>
      </c>
      <c r="N163" s="109">
        <f>'MEI - NOVA'!BW70</f>
        <v>2500</v>
      </c>
      <c r="O163" s="109">
        <f t="shared" ca="1" si="14"/>
        <v>833.33333333333337</v>
      </c>
      <c r="P163" s="169">
        <f>'MEI - NOVA'!BX70</f>
        <v>7500</v>
      </c>
      <c r="Q163"/>
      <c r="R163"/>
    </row>
    <row r="164" spans="1:75" s="107" customFormat="1">
      <c r="A164" s="219">
        <v>144</v>
      </c>
      <c r="B164" s="150" t="s">
        <v>301</v>
      </c>
      <c r="C164" s="108" t="s">
        <v>89</v>
      </c>
      <c r="D164" s="108" t="s">
        <v>105</v>
      </c>
      <c r="E164" s="108" t="s">
        <v>105</v>
      </c>
      <c r="F164" s="108" t="s">
        <v>45</v>
      </c>
      <c r="G164" s="106" t="s">
        <v>41</v>
      </c>
      <c r="H164" s="106"/>
      <c r="I164" s="106" t="s">
        <v>23</v>
      </c>
      <c r="J164" s="155">
        <v>46049</v>
      </c>
      <c r="K164" s="124"/>
      <c r="L164" s="124">
        <f t="shared" ca="1" si="12"/>
        <v>4</v>
      </c>
      <c r="M164" s="169">
        <f>'MEI - NOVA'!BV71</f>
        <v>6350</v>
      </c>
      <c r="N164" s="109">
        <f>'MEI - NOVA'!BW71</f>
        <v>6350</v>
      </c>
      <c r="O164" s="109">
        <f t="shared" ca="1" si="14"/>
        <v>1587.5</v>
      </c>
      <c r="P164" s="169">
        <f>'MEI - NOVA'!BX71</f>
        <v>12700</v>
      </c>
      <c r="Q164"/>
      <c r="R164"/>
    </row>
    <row r="165" spans="1:75" s="107" customFormat="1">
      <c r="A165" s="219">
        <v>159</v>
      </c>
      <c r="B165" s="150" t="s">
        <v>302</v>
      </c>
      <c r="C165" s="108" t="s">
        <v>113</v>
      </c>
      <c r="D165" s="108" t="s">
        <v>277</v>
      </c>
      <c r="E165" s="108" t="s">
        <v>277</v>
      </c>
      <c r="F165" s="108" t="s">
        <v>45</v>
      </c>
      <c r="G165" s="106" t="s">
        <v>41</v>
      </c>
      <c r="H165" s="108"/>
      <c r="I165" s="106" t="s">
        <v>23</v>
      </c>
      <c r="J165" s="155">
        <v>46071</v>
      </c>
      <c r="K165" s="105"/>
      <c r="L165" s="124">
        <f t="shared" ca="1" si="12"/>
        <v>3</v>
      </c>
      <c r="M165" s="105">
        <f>'MEI - NOVA'!BV76</f>
        <v>1964.28</v>
      </c>
      <c r="N165" s="109">
        <f>'MEI - NOVA'!BW76</f>
        <v>5000</v>
      </c>
      <c r="O165" s="109">
        <f t="shared" ca="1" si="14"/>
        <v>1666.6666666666667</v>
      </c>
      <c r="P165" s="169">
        <f>'MEI - NOVA'!BX76</f>
        <v>6964.28</v>
      </c>
      <c r="Q165" s="116"/>
      <c r="R165" s="116"/>
    </row>
    <row r="166" spans="1:75" s="107" customFormat="1">
      <c r="A166" s="219">
        <v>160</v>
      </c>
      <c r="B166" s="150" t="s">
        <v>303</v>
      </c>
      <c r="C166" s="108" t="s">
        <v>89</v>
      </c>
      <c r="D166" s="108" t="s">
        <v>90</v>
      </c>
      <c r="E166" s="108" t="s">
        <v>90</v>
      </c>
      <c r="F166" s="108" t="s">
        <v>45</v>
      </c>
      <c r="G166" s="106" t="s">
        <v>41</v>
      </c>
      <c r="H166" s="108"/>
      <c r="I166" s="106" t="s">
        <v>23</v>
      </c>
      <c r="J166" s="155">
        <v>46083</v>
      </c>
      <c r="K166" s="105"/>
      <c r="L166" s="124">
        <f t="shared" ca="1" si="12"/>
        <v>2</v>
      </c>
      <c r="M166" s="105">
        <f>'MEI - NOVA'!BV77</f>
        <v>0</v>
      </c>
      <c r="N166" s="109">
        <f>'MEI - NOVA'!BW77</f>
        <v>5000</v>
      </c>
      <c r="O166" s="109">
        <f t="shared" ca="1" si="14"/>
        <v>2500</v>
      </c>
      <c r="P166" s="169">
        <f>'MEI - NOVA'!BX77</f>
        <v>5000</v>
      </c>
      <c r="Q166" s="116"/>
      <c r="R166" s="116"/>
    </row>
    <row r="167" spans="1:75" s="107" customFormat="1">
      <c r="A167" s="219">
        <v>161</v>
      </c>
      <c r="B167" s="150" t="s">
        <v>157</v>
      </c>
      <c r="C167" s="108" t="s">
        <v>89</v>
      </c>
      <c r="D167" s="108" t="s">
        <v>90</v>
      </c>
      <c r="E167" s="108" t="s">
        <v>90</v>
      </c>
      <c r="F167" s="108" t="s">
        <v>45</v>
      </c>
      <c r="G167" s="106" t="s">
        <v>41</v>
      </c>
      <c r="H167" s="108"/>
      <c r="I167" s="106" t="s">
        <v>23</v>
      </c>
      <c r="J167" s="155">
        <v>46083</v>
      </c>
      <c r="K167" s="105"/>
      <c r="L167" s="124">
        <f t="shared" ca="1" si="12"/>
        <v>2</v>
      </c>
      <c r="M167" s="105">
        <f>'MEI - NOVA'!BW78</f>
        <v>4350</v>
      </c>
      <c r="N167" s="109">
        <f>'MEI - NOVA'!BW78</f>
        <v>4350</v>
      </c>
      <c r="O167" s="109">
        <f t="shared" ca="1" si="14"/>
        <v>2175</v>
      </c>
      <c r="P167" s="169">
        <f>'MEI - NOVA'!BX78</f>
        <v>4350</v>
      </c>
      <c r="Q167" s="116"/>
      <c r="R167" s="116"/>
    </row>
    <row r="168" spans="1:75" s="107" customFormat="1">
      <c r="A168" s="219">
        <v>162</v>
      </c>
      <c r="B168" s="150" t="s">
        <v>304</v>
      </c>
      <c r="C168" s="108" t="s">
        <v>113</v>
      </c>
      <c r="D168" s="108" t="s">
        <v>114</v>
      </c>
      <c r="E168" s="108" t="s">
        <v>140</v>
      </c>
      <c r="F168" s="106" t="s">
        <v>45</v>
      </c>
      <c r="G168" s="106" t="s">
        <v>41</v>
      </c>
      <c r="H168" s="106"/>
      <c r="I168" s="106" t="s">
        <v>23</v>
      </c>
      <c r="J168" s="155">
        <v>46007</v>
      </c>
      <c r="K168" s="105"/>
      <c r="L168" s="124">
        <f t="shared" ca="1" si="12"/>
        <v>5</v>
      </c>
      <c r="M168" s="105">
        <f>'MEI - NOVA'!BT79</f>
        <v>2152.2199999999998</v>
      </c>
      <c r="N168" s="109">
        <f>'MEI - NOVA'!BW79</f>
        <v>4035.43</v>
      </c>
      <c r="O168" s="109">
        <f t="shared" ca="1" si="14"/>
        <v>807.08600000000001</v>
      </c>
      <c r="P168" s="169">
        <f>'MEI - NOVA'!BX79</f>
        <v>14258.51</v>
      </c>
      <c r="Q168" s="116"/>
      <c r="R168" s="116"/>
    </row>
    <row r="169" spans="1:75" s="107" customFormat="1">
      <c r="A169" s="219">
        <v>163</v>
      </c>
      <c r="B169" s="150" t="s">
        <v>305</v>
      </c>
      <c r="C169" s="108" t="s">
        <v>89</v>
      </c>
      <c r="D169" s="108" t="s">
        <v>306</v>
      </c>
      <c r="E169" s="108" t="s">
        <v>306</v>
      </c>
      <c r="F169" s="108" t="s">
        <v>45</v>
      </c>
      <c r="G169" s="106" t="s">
        <v>41</v>
      </c>
      <c r="H169" s="108"/>
      <c r="I169" s="106" t="s">
        <v>23</v>
      </c>
      <c r="J169" s="155">
        <v>46006</v>
      </c>
      <c r="K169" s="105"/>
      <c r="L169" s="124">
        <f t="shared" ref="L169" ca="1" si="15">DATEDIF(J169,TODAY(),"m")</f>
        <v>5</v>
      </c>
      <c r="M169" s="105">
        <f>'MEI - NOVA'!BT80</f>
        <v>1250</v>
      </c>
      <c r="N169" s="109">
        <f>'MEI - NOVA'!BW80</f>
        <v>2500</v>
      </c>
      <c r="O169" s="109">
        <f t="shared" ca="1" si="14"/>
        <v>500</v>
      </c>
      <c r="P169" s="169">
        <f>'MEI - NOVA'!BX80</f>
        <v>8750</v>
      </c>
      <c r="Q169" s="116"/>
      <c r="R169" s="116"/>
    </row>
    <row r="170" spans="1:75" s="107" customFormat="1">
      <c r="A170" s="219">
        <v>163</v>
      </c>
      <c r="B170" s="150" t="s">
        <v>307</v>
      </c>
      <c r="C170" s="108" t="s">
        <v>99</v>
      </c>
      <c r="D170" s="108" t="s">
        <v>100</v>
      </c>
      <c r="E170" s="108" t="s">
        <v>100</v>
      </c>
      <c r="F170" s="108" t="s">
        <v>45</v>
      </c>
      <c r="G170" s="106" t="s">
        <v>41</v>
      </c>
      <c r="H170" s="108"/>
      <c r="I170" s="106" t="s">
        <v>23</v>
      </c>
      <c r="J170" s="155">
        <v>46006</v>
      </c>
      <c r="K170" s="105"/>
      <c r="L170" s="124">
        <f t="shared" ref="L170" ca="1" si="16">DATEDIF(J170,TODAY(),"m")</f>
        <v>5</v>
      </c>
      <c r="M170" s="105">
        <f>'MEI - NOVA'!BT81</f>
        <v>1250</v>
      </c>
      <c r="N170" s="109">
        <f>'MEI - NOVA'!BW81</f>
        <v>2500</v>
      </c>
      <c r="O170" s="109">
        <f t="shared" ref="O170" ca="1" si="17">N170/L170</f>
        <v>500</v>
      </c>
      <c r="P170" s="169">
        <f>'MEI - NOVA'!BX81</f>
        <v>8750</v>
      </c>
      <c r="Q170" s="116"/>
      <c r="R170" s="116"/>
    </row>
    <row r="172" spans="1:75">
      <c r="A172" s="219"/>
      <c r="B172" s="37" t="s">
        <v>60</v>
      </c>
      <c r="C172" s="37"/>
      <c r="D172" s="37"/>
      <c r="E172" s="37"/>
      <c r="F172" s="37"/>
      <c r="G172" s="37"/>
      <c r="H172" s="37"/>
      <c r="I172" s="37"/>
      <c r="J172" s="221"/>
      <c r="K172" s="211"/>
      <c r="L172" s="37"/>
      <c r="M172" s="40">
        <f>SUM(M2:M169)</f>
        <v>395112.11999999994</v>
      </c>
      <c r="N172" s="40">
        <f t="shared" ref="N172:P172" si="18">SUM(N2:N169)</f>
        <v>538320.7899999998</v>
      </c>
      <c r="O172" s="40">
        <f t="shared" ca="1" si="18"/>
        <v>427862.35470899509</v>
      </c>
      <c r="P172" s="40">
        <f t="shared" si="18"/>
        <v>5688156.1719999984</v>
      </c>
    </row>
    <row r="176" spans="1:75">
      <c r="I176" t="s">
        <v>22</v>
      </c>
      <c r="J176" t="s">
        <v>41</v>
      </c>
    </row>
    <row r="177" spans="9:10">
      <c r="I177" s="18">
        <v>1050066.28</v>
      </c>
      <c r="J177" s="18">
        <v>2466261.9700000002</v>
      </c>
    </row>
  </sheetData>
  <autoFilter ref="A1:R170" xr:uid="{4B9686F6-EE50-40AD-A9C0-121E398B8D3B}"/>
  <pageMargins left="0.7" right="0.7" top="0.75" bottom="0.75" header="0.3" footer="0.3"/>
  <pageSetup paperSize="9" scale="19" orientation="landscape" r:id="rId1"/>
  <headerFooter differentFirst="1">
    <firstHeader>&amp;L&amp;G&amp;CRelátorios de custos CLTs MEis - Inativos - MBR
Ciclo 03/2026</firstHeader>
    <firstFooter>&amp;R&amp;P</first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8CA0-1F35-4CBC-A6D6-1212048ACD6F}">
  <dimension ref="A1:CA87"/>
  <sheetViews>
    <sheetView topLeftCell="A17" zoomScale="89" zoomScaleNormal="89" workbookViewId="0">
      <pane xSplit="2" topLeftCell="C1" activePane="topRight" state="frozen"/>
      <selection pane="topRight" activeCell="A44" sqref="A44:XFD44"/>
    </sheetView>
  </sheetViews>
  <sheetFormatPr defaultColWidth="8.85546875" defaultRowHeight="14.45"/>
  <cols>
    <col min="1" max="1" width="6.5703125" style="137" customWidth="1"/>
    <col min="2" max="2" width="39.7109375" style="154" customWidth="1"/>
    <col min="3" max="3" width="9" style="154" customWidth="1"/>
    <col min="4" max="4" width="17" style="154" bestFit="1" customWidth="1"/>
    <col min="5" max="6" width="29.140625" style="154" bestFit="1" customWidth="1"/>
    <col min="7" max="7" width="14.5703125" style="154" bestFit="1" customWidth="1"/>
    <col min="8" max="8" width="16.85546875" style="154" bestFit="1" customWidth="1"/>
    <col min="9" max="9" width="15.5703125" style="137" customWidth="1"/>
    <col min="10" max="10" width="12.85546875" style="107" bestFit="1" customWidth="1"/>
    <col min="11" max="12" width="14" style="107" bestFit="1" customWidth="1"/>
    <col min="13" max="25" width="13.28515625" style="107" bestFit="1" customWidth="1"/>
    <col min="26" max="26" width="13.42578125" style="107" bestFit="1" customWidth="1"/>
    <col min="27" max="27" width="13.28515625" style="107" customWidth="1"/>
    <col min="28" max="28" width="14.28515625" style="107" bestFit="1" customWidth="1"/>
    <col min="29" max="37" width="14.28515625" style="107" customWidth="1"/>
    <col min="38" max="38" width="13.5703125" style="107" customWidth="1"/>
    <col min="39" max="47" width="14.28515625" style="107" customWidth="1"/>
    <col min="48" max="48" width="15" style="107" bestFit="1" customWidth="1"/>
    <col min="49" max="52" width="15.5703125" style="107" bestFit="1" customWidth="1"/>
    <col min="53" max="53" width="15" style="107" bestFit="1" customWidth="1"/>
    <col min="54" max="55" width="15.5703125" style="107" bestFit="1" customWidth="1"/>
    <col min="56" max="56" width="15" style="107" bestFit="1" customWidth="1"/>
    <col min="57" max="57" width="15.5703125" style="107" bestFit="1" customWidth="1"/>
    <col min="58" max="58" width="16" style="107" bestFit="1" customWidth="1"/>
    <col min="59" max="60" width="15.5703125" style="107" bestFit="1" customWidth="1"/>
    <col min="61" max="61" width="15" style="107" bestFit="1" customWidth="1"/>
    <col min="62" max="69" width="15" style="107" customWidth="1"/>
    <col min="70" max="70" width="15.5703125" style="107" bestFit="1" customWidth="1"/>
    <col min="71" max="75" width="15.5703125" style="107" customWidth="1"/>
    <col min="76" max="76" width="17" style="107" bestFit="1" customWidth="1"/>
    <col min="77" max="78" width="11.85546875" style="107" bestFit="1" customWidth="1"/>
    <col min="79" max="16384" width="8.85546875" style="107"/>
  </cols>
  <sheetData>
    <row r="1" spans="1:79" s="154" customFormat="1">
      <c r="A1" s="145" t="s">
        <v>308</v>
      </c>
      <c r="B1" s="151" t="s">
        <v>309</v>
      </c>
      <c r="C1" s="151" t="s">
        <v>310</v>
      </c>
      <c r="D1" s="151" t="s">
        <v>311</v>
      </c>
      <c r="E1" s="151" t="s">
        <v>312</v>
      </c>
      <c r="F1" s="151" t="s">
        <v>313</v>
      </c>
      <c r="G1" s="151" t="s">
        <v>314</v>
      </c>
      <c r="H1" s="151" t="s">
        <v>315</v>
      </c>
      <c r="I1" s="151" t="s">
        <v>316</v>
      </c>
      <c r="J1" s="152">
        <v>44105</v>
      </c>
      <c r="K1" s="152">
        <v>44136</v>
      </c>
      <c r="L1" s="152">
        <v>44166</v>
      </c>
      <c r="M1" s="152">
        <v>44197</v>
      </c>
      <c r="N1" s="152">
        <v>44228</v>
      </c>
      <c r="O1" s="152">
        <v>44256</v>
      </c>
      <c r="P1" s="152">
        <v>44287</v>
      </c>
      <c r="Q1" s="152">
        <v>44317</v>
      </c>
      <c r="R1" s="152">
        <v>44348</v>
      </c>
      <c r="S1" s="152">
        <v>44378</v>
      </c>
      <c r="T1" s="152">
        <v>44409</v>
      </c>
      <c r="U1" s="152">
        <v>44440</v>
      </c>
      <c r="V1" s="152">
        <v>44470</v>
      </c>
      <c r="W1" s="152">
        <v>44501</v>
      </c>
      <c r="X1" s="152">
        <v>44531</v>
      </c>
      <c r="Y1" s="152">
        <v>44562</v>
      </c>
      <c r="Z1" s="152">
        <v>44593</v>
      </c>
      <c r="AA1" s="152">
        <v>44621</v>
      </c>
      <c r="AB1" s="152">
        <v>44652</v>
      </c>
      <c r="AC1" s="152">
        <v>44682</v>
      </c>
      <c r="AD1" s="152">
        <v>44713</v>
      </c>
      <c r="AE1" s="152">
        <v>44743</v>
      </c>
      <c r="AF1" s="152">
        <v>44774</v>
      </c>
      <c r="AG1" s="152">
        <v>44805</v>
      </c>
      <c r="AH1" s="152">
        <v>44835</v>
      </c>
      <c r="AI1" s="152">
        <v>44866</v>
      </c>
      <c r="AJ1" s="152">
        <v>44896</v>
      </c>
      <c r="AK1" s="152">
        <v>44927</v>
      </c>
      <c r="AL1" s="152">
        <v>44958</v>
      </c>
      <c r="AM1" s="152">
        <v>44986</v>
      </c>
      <c r="AN1" s="152">
        <v>45017</v>
      </c>
      <c r="AO1" s="152">
        <v>45047</v>
      </c>
      <c r="AP1" s="152">
        <v>45078</v>
      </c>
      <c r="AQ1" s="152">
        <v>45108</v>
      </c>
      <c r="AR1" s="152">
        <v>45139</v>
      </c>
      <c r="AS1" s="152">
        <v>45170</v>
      </c>
      <c r="AT1" s="152">
        <v>45200</v>
      </c>
      <c r="AU1" s="152">
        <v>45231</v>
      </c>
      <c r="AV1" s="152">
        <v>45261</v>
      </c>
      <c r="AW1" s="152">
        <v>45292</v>
      </c>
      <c r="AX1" s="152">
        <v>45323</v>
      </c>
      <c r="AY1" s="152">
        <v>45352</v>
      </c>
      <c r="AZ1" s="152">
        <v>45383</v>
      </c>
      <c r="BA1" s="152">
        <v>45413</v>
      </c>
      <c r="BB1" s="152">
        <v>45444</v>
      </c>
      <c r="BC1" s="152">
        <v>45474</v>
      </c>
      <c r="BD1" s="152">
        <v>45505</v>
      </c>
      <c r="BE1" s="152">
        <v>45536</v>
      </c>
      <c r="BF1" s="152">
        <v>45566</v>
      </c>
      <c r="BG1" s="152">
        <v>45597</v>
      </c>
      <c r="BH1" s="152">
        <v>45627</v>
      </c>
      <c r="BI1" s="152">
        <v>45658</v>
      </c>
      <c r="BJ1" s="152">
        <v>45689</v>
      </c>
      <c r="BK1" s="152">
        <v>45717</v>
      </c>
      <c r="BL1" s="152">
        <v>45748</v>
      </c>
      <c r="BM1" s="152">
        <v>45778</v>
      </c>
      <c r="BN1" s="152">
        <v>45809</v>
      </c>
      <c r="BO1" s="152">
        <v>45839</v>
      </c>
      <c r="BP1" s="152">
        <v>45870</v>
      </c>
      <c r="BQ1" s="152">
        <v>45901</v>
      </c>
      <c r="BR1" s="152">
        <v>45931</v>
      </c>
      <c r="BS1" s="152">
        <v>45962</v>
      </c>
      <c r="BT1" s="152">
        <v>45992</v>
      </c>
      <c r="BU1" s="152">
        <v>46023</v>
      </c>
      <c r="BV1" s="152">
        <v>46054</v>
      </c>
      <c r="BW1" s="152">
        <v>46082</v>
      </c>
      <c r="BX1" s="152"/>
      <c r="BY1" s="153"/>
      <c r="BZ1" s="153"/>
      <c r="CA1" s="153"/>
    </row>
    <row r="2" spans="1:79">
      <c r="A2" s="166">
        <v>1</v>
      </c>
      <c r="B2" s="150" t="s">
        <v>317</v>
      </c>
      <c r="C2" s="108" t="s">
        <v>318</v>
      </c>
      <c r="D2" s="108"/>
      <c r="E2" s="108"/>
      <c r="F2" s="108"/>
      <c r="G2" s="155">
        <v>45281</v>
      </c>
      <c r="H2" s="155">
        <v>45536</v>
      </c>
      <c r="I2" s="135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05">
        <v>1508.06</v>
      </c>
      <c r="AW2" s="105">
        <v>4250</v>
      </c>
      <c r="AX2" s="105">
        <v>4250</v>
      </c>
      <c r="AY2" s="105">
        <v>4250</v>
      </c>
      <c r="AZ2" s="105">
        <v>4250</v>
      </c>
      <c r="BA2" s="105">
        <v>3825</v>
      </c>
      <c r="BB2" s="105">
        <f>4250+46.67+136.8</f>
        <v>4433.47</v>
      </c>
      <c r="BC2" s="105">
        <f>6416+100+45.6</f>
        <v>6561.6</v>
      </c>
      <c r="BD2" s="105">
        <v>2250</v>
      </c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34">
        <f>SUM(J2:BU2)</f>
        <v>35578.129999999997</v>
      </c>
      <c r="BY2" s="119"/>
      <c r="BZ2" s="119"/>
      <c r="CA2" s="119"/>
    </row>
    <row r="3" spans="1:79">
      <c r="A3" s="166">
        <v>2</v>
      </c>
      <c r="B3" s="150" t="s">
        <v>319</v>
      </c>
      <c r="C3" s="108" t="s">
        <v>320</v>
      </c>
      <c r="D3" s="108" t="s">
        <v>89</v>
      </c>
      <c r="E3" s="108" t="s">
        <v>132</v>
      </c>
      <c r="F3" s="108" t="s">
        <v>133</v>
      </c>
      <c r="G3" s="155">
        <f>'CONSOLIDADO ATIVO INATIVO NOVO'!J65</f>
        <v>45719</v>
      </c>
      <c r="H3" s="108"/>
      <c r="I3" s="135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05"/>
      <c r="AW3" s="105"/>
      <c r="AX3" s="105"/>
      <c r="AY3" s="105"/>
      <c r="AZ3" s="105">
        <v>3066.68</v>
      </c>
      <c r="BA3" s="105">
        <v>4000</v>
      </c>
      <c r="BB3" s="105">
        <v>4000</v>
      </c>
      <c r="BC3" s="105">
        <v>4000</v>
      </c>
      <c r="BD3" s="105">
        <v>4000</v>
      </c>
      <c r="BE3" s="105">
        <v>4000</v>
      </c>
      <c r="BF3" s="105">
        <v>4000</v>
      </c>
      <c r="BG3" s="105">
        <v>4533.33</v>
      </c>
      <c r="BH3" s="105">
        <v>2383.3200000000002</v>
      </c>
      <c r="BI3" s="105">
        <v>2700</v>
      </c>
      <c r="BJ3" s="105">
        <v>2500</v>
      </c>
      <c r="BK3" s="105">
        <v>2500</v>
      </c>
      <c r="BL3" s="105">
        <v>2500</v>
      </c>
      <c r="BM3" s="105">
        <v>2500</v>
      </c>
      <c r="BN3" s="105">
        <v>2500</v>
      </c>
      <c r="BO3" s="105">
        <v>2500</v>
      </c>
      <c r="BP3" s="105">
        <v>2520</v>
      </c>
      <c r="BQ3" s="105">
        <v>2500</v>
      </c>
      <c r="BR3" s="105">
        <v>0</v>
      </c>
      <c r="BS3" s="105">
        <v>3134</v>
      </c>
      <c r="BT3" s="105">
        <v>0</v>
      </c>
      <c r="BU3" s="105"/>
      <c r="BV3" s="105"/>
      <c r="BW3" s="105"/>
      <c r="BX3" s="134">
        <f>SUM(J3:BU3)</f>
        <v>59837.33</v>
      </c>
      <c r="BY3" s="119"/>
      <c r="BZ3" s="119"/>
      <c r="CA3" s="119"/>
    </row>
    <row r="4" spans="1:79">
      <c r="A4" s="166">
        <v>3</v>
      </c>
      <c r="B4" s="150" t="s">
        <v>321</v>
      </c>
      <c r="C4" s="108" t="s">
        <v>318</v>
      </c>
      <c r="D4" s="108" t="s">
        <v>89</v>
      </c>
      <c r="E4" s="108" t="s">
        <v>90</v>
      </c>
      <c r="F4" s="108" t="s">
        <v>91</v>
      </c>
      <c r="G4" s="155">
        <f>'CONSOLIDADO ATIVO INATIVO NOVO'!J66</f>
        <v>45726</v>
      </c>
      <c r="H4" s="155">
        <v>45687</v>
      </c>
      <c r="I4" s="135"/>
      <c r="J4" s="106"/>
      <c r="K4" s="105">
        <v>5000</v>
      </c>
      <c r="L4" s="105">
        <v>5000</v>
      </c>
      <c r="M4" s="105">
        <v>5000</v>
      </c>
      <c r="N4" s="105">
        <v>5000</v>
      </c>
      <c r="O4" s="105">
        <v>5000</v>
      </c>
      <c r="P4" s="105">
        <v>5000</v>
      </c>
      <c r="Q4" s="105">
        <v>5000</v>
      </c>
      <c r="R4" s="105">
        <f>5000+838.72</f>
        <v>5838.72</v>
      </c>
      <c r="S4" s="105">
        <v>5000</v>
      </c>
      <c r="T4" s="105">
        <v>5000</v>
      </c>
      <c r="U4" s="105">
        <v>5000</v>
      </c>
      <c r="V4" s="105">
        <v>5000</v>
      </c>
      <c r="W4" s="105">
        <v>5000</v>
      </c>
      <c r="X4" s="105">
        <v>5000</v>
      </c>
      <c r="Y4" s="105">
        <v>5000</v>
      </c>
      <c r="Z4" s="105">
        <v>5000</v>
      </c>
      <c r="AA4" s="105">
        <v>5000</v>
      </c>
      <c r="AB4" s="105">
        <f>5000+280</f>
        <v>5280</v>
      </c>
      <c r="AC4" s="105">
        <v>5000</v>
      </c>
      <c r="AD4" s="105">
        <v>4966.96</v>
      </c>
      <c r="AE4" s="105">
        <v>4961.45</v>
      </c>
      <c r="AF4" s="105"/>
      <c r="AG4" s="105">
        <v>4961.45</v>
      </c>
      <c r="AH4" s="105">
        <v>4961.45</v>
      </c>
      <c r="AI4" s="105">
        <v>5000</v>
      </c>
      <c r="AJ4" s="105">
        <v>5000</v>
      </c>
      <c r="AK4" s="105">
        <v>5000</v>
      </c>
      <c r="AL4" s="105">
        <v>5000</v>
      </c>
      <c r="AM4" s="105">
        <v>5000</v>
      </c>
      <c r="AN4" s="105">
        <v>5000</v>
      </c>
      <c r="AO4" s="105">
        <v>5000</v>
      </c>
      <c r="AP4" s="105">
        <v>5000</v>
      </c>
      <c r="AQ4" s="105">
        <v>5000</v>
      </c>
      <c r="AR4" s="105">
        <v>5000</v>
      </c>
      <c r="AS4" s="105">
        <v>5000</v>
      </c>
      <c r="AT4" s="105">
        <v>5000</v>
      </c>
      <c r="AU4" s="105">
        <f>144.6+5000</f>
        <v>5144.6000000000004</v>
      </c>
      <c r="AV4" s="105">
        <v>5241</v>
      </c>
      <c r="AW4" s="105">
        <v>5241</v>
      </c>
      <c r="AX4" s="105">
        <f>5241+579.27</f>
        <v>5820.27</v>
      </c>
      <c r="AY4" s="105">
        <v>5241</v>
      </c>
      <c r="AZ4" s="105">
        <f>5241+633.3+557.13</f>
        <v>6431.43</v>
      </c>
      <c r="BA4" s="105">
        <f>4605.85+635.14+633.3</f>
        <v>5874.2900000000009</v>
      </c>
      <c r="BB4" s="105">
        <f>5241+435.6+633.3</f>
        <v>6309.9000000000005</v>
      </c>
      <c r="BC4" s="105">
        <f>5241+100+91.2+23.33+843.9</f>
        <v>6299.4299999999994</v>
      </c>
      <c r="BD4" s="105">
        <f>4081.75+635.14+91.2+100</f>
        <v>4908.09</v>
      </c>
      <c r="BE4" s="105">
        <f>4081.75+635.14+91.2+100</f>
        <v>4908.09</v>
      </c>
      <c r="BF4" s="105">
        <v>9808.2000000000007</v>
      </c>
      <c r="BG4" s="105">
        <v>7609.75</v>
      </c>
      <c r="BH4" s="105">
        <v>9407.5499999999993</v>
      </c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34">
        <f>SUM(J4:BU4)</f>
        <v>264214.63</v>
      </c>
    </row>
    <row r="5" spans="1:79">
      <c r="A5" s="166">
        <v>4</v>
      </c>
      <c r="B5" s="150" t="s">
        <v>232</v>
      </c>
      <c r="C5" s="108" t="s">
        <v>318</v>
      </c>
      <c r="D5" s="108" t="s">
        <v>89</v>
      </c>
      <c r="E5" s="108" t="s">
        <v>90</v>
      </c>
      <c r="F5" s="108" t="s">
        <v>90</v>
      </c>
      <c r="G5" s="155">
        <v>45870</v>
      </c>
      <c r="H5" s="155"/>
      <c r="I5" s="135"/>
      <c r="J5" s="106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105">
        <v>2225</v>
      </c>
      <c r="BQ5" s="105">
        <v>4250</v>
      </c>
      <c r="BR5" s="105">
        <v>4750</v>
      </c>
      <c r="BS5" s="105"/>
      <c r="BT5" s="105"/>
      <c r="BU5" s="105"/>
      <c r="BV5" s="105"/>
      <c r="BW5" s="105"/>
      <c r="BX5" s="134">
        <f>SUM(J5:BU5)</f>
        <v>11225</v>
      </c>
    </row>
    <row r="6" spans="1:79">
      <c r="A6" s="166">
        <v>5</v>
      </c>
      <c r="B6" s="150" t="s">
        <v>213</v>
      </c>
      <c r="C6" s="108" t="s">
        <v>322</v>
      </c>
      <c r="D6" s="108" t="s">
        <v>121</v>
      </c>
      <c r="E6" s="108" t="s">
        <v>122</v>
      </c>
      <c r="F6" s="108" t="s">
        <v>122</v>
      </c>
      <c r="G6" s="155">
        <v>45796</v>
      </c>
      <c r="H6" s="155"/>
      <c r="I6" s="135"/>
      <c r="J6" s="106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>
        <v>1300</v>
      </c>
      <c r="BN6" s="105">
        <v>3000</v>
      </c>
      <c r="BO6" s="105">
        <v>3000</v>
      </c>
      <c r="BP6" s="105">
        <v>4000</v>
      </c>
      <c r="BQ6" s="105">
        <v>4600</v>
      </c>
      <c r="BR6" s="105">
        <v>3700</v>
      </c>
      <c r="BS6" s="109">
        <v>4000</v>
      </c>
      <c r="BT6" s="109">
        <v>4000</v>
      </c>
      <c r="BU6" s="109">
        <v>4000</v>
      </c>
      <c r="BV6" s="109">
        <v>4000</v>
      </c>
      <c r="BW6" s="109">
        <v>4000</v>
      </c>
      <c r="BX6" s="134">
        <f>SUM(J6:BW6)</f>
        <v>39600</v>
      </c>
    </row>
    <row r="7" spans="1:79">
      <c r="A7" s="166">
        <v>6</v>
      </c>
      <c r="B7" s="150" t="s">
        <v>163</v>
      </c>
      <c r="C7" s="108" t="s">
        <v>318</v>
      </c>
      <c r="D7" s="108" t="s">
        <v>89</v>
      </c>
      <c r="E7" s="108" t="s">
        <v>90</v>
      </c>
      <c r="F7" s="108" t="s">
        <v>90</v>
      </c>
      <c r="G7" s="155">
        <f>'CONSOLIDADO ATIVO INATIVO NOVO'!J69</f>
        <v>45383</v>
      </c>
      <c r="H7" s="108"/>
      <c r="I7" s="135"/>
      <c r="J7" s="106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>
        <f>3999.16+100</f>
        <v>4099.16</v>
      </c>
      <c r="BG7" s="105">
        <f>1679.16+100</f>
        <v>1779.16</v>
      </c>
      <c r="BH7" s="105">
        <v>3661</v>
      </c>
      <c r="BI7" s="105">
        <v>3576.5</v>
      </c>
      <c r="BJ7" s="105">
        <v>3970.27</v>
      </c>
      <c r="BK7" s="105">
        <v>4250</v>
      </c>
      <c r="BL7" s="105">
        <v>5350</v>
      </c>
      <c r="BM7" s="105">
        <v>5350</v>
      </c>
      <c r="BN7" s="105">
        <v>5350</v>
      </c>
      <c r="BO7" s="105">
        <v>1260</v>
      </c>
      <c r="BP7" s="105">
        <v>0</v>
      </c>
      <c r="BQ7" s="105"/>
      <c r="BR7" s="105"/>
      <c r="BS7" s="105"/>
      <c r="BT7" s="105"/>
      <c r="BU7" s="105"/>
      <c r="BV7" s="105"/>
      <c r="BW7" s="105"/>
      <c r="BX7" s="134">
        <f t="shared" ref="BX7:BX12" si="0">SUM(J7:BU7)</f>
        <v>38646.089999999997</v>
      </c>
    </row>
    <row r="8" spans="1:79">
      <c r="A8" s="166">
        <v>7</v>
      </c>
      <c r="B8" s="150" t="s">
        <v>97</v>
      </c>
      <c r="C8" s="108" t="s">
        <v>318</v>
      </c>
      <c r="D8" s="108" t="s">
        <v>89</v>
      </c>
      <c r="E8" s="108" t="s">
        <v>90</v>
      </c>
      <c r="F8" s="108" t="s">
        <v>91</v>
      </c>
      <c r="G8" s="155">
        <v>44138</v>
      </c>
      <c r="H8" s="155">
        <v>45609</v>
      </c>
      <c r="I8" s="135"/>
      <c r="J8" s="106"/>
      <c r="K8" s="105">
        <v>3500</v>
      </c>
      <c r="L8" s="105">
        <v>3500</v>
      </c>
      <c r="M8" s="105">
        <v>3500</v>
      </c>
      <c r="N8" s="105">
        <v>3500</v>
      </c>
      <c r="O8" s="105">
        <v>3500</v>
      </c>
      <c r="P8" s="105">
        <v>3500</v>
      </c>
      <c r="Q8" s="105">
        <v>3500</v>
      </c>
      <c r="R8" s="105">
        <f>3500+1419.34</f>
        <v>4919.34</v>
      </c>
      <c r="S8" s="105">
        <v>3500</v>
      </c>
      <c r="T8" s="105">
        <v>3500</v>
      </c>
      <c r="U8" s="105">
        <v>3500</v>
      </c>
      <c r="V8" s="105">
        <v>3500</v>
      </c>
      <c r="W8" s="105">
        <v>4275</v>
      </c>
      <c r="X8" s="105">
        <v>4275</v>
      </c>
      <c r="Y8" s="105">
        <v>4275</v>
      </c>
      <c r="Z8" s="105">
        <v>4275</v>
      </c>
      <c r="AA8" s="105">
        <v>4275</v>
      </c>
      <c r="AB8" s="105">
        <v>4275</v>
      </c>
      <c r="AC8" s="105">
        <v>4275</v>
      </c>
      <c r="AD8" s="105">
        <v>4275</v>
      </c>
      <c r="AE8" s="105">
        <v>4148.95</v>
      </c>
      <c r="AF8" s="105">
        <v>5275</v>
      </c>
      <c r="AG8" s="105">
        <f>1000+4155.1</f>
        <v>5155.1000000000004</v>
      </c>
      <c r="AH8" s="105">
        <f>1000+4148.95</f>
        <v>5148.95</v>
      </c>
      <c r="AI8" s="105">
        <v>4275</v>
      </c>
      <c r="AJ8" s="105">
        <v>5275</v>
      </c>
      <c r="AK8" s="105">
        <v>5275</v>
      </c>
      <c r="AL8" s="105">
        <v>5275</v>
      </c>
      <c r="AM8" s="105">
        <v>5275</v>
      </c>
      <c r="AN8" s="105">
        <v>5275</v>
      </c>
      <c r="AO8" s="105">
        <v>5275</v>
      </c>
      <c r="AP8" s="105">
        <v>5275</v>
      </c>
      <c r="AQ8" s="105">
        <v>5275</v>
      </c>
      <c r="AR8" s="105">
        <v>5275</v>
      </c>
      <c r="AS8" s="105">
        <v>5275</v>
      </c>
      <c r="AT8" s="105">
        <v>5275</v>
      </c>
      <c r="AU8" s="105">
        <f>123.63+5275</f>
        <v>5398.63</v>
      </c>
      <c r="AV8" s="105">
        <f>5746.19+123.63</f>
        <v>5869.82</v>
      </c>
      <c r="AW8" s="105">
        <f>3954.34+750+265.13+526.72</f>
        <v>5496.1900000000005</v>
      </c>
      <c r="AX8" s="105">
        <v>5746.19</v>
      </c>
      <c r="AY8" s="105">
        <v>5746.19</v>
      </c>
      <c r="AZ8" s="105">
        <v>5746.19</v>
      </c>
      <c r="BA8" s="105">
        <v>4746.1899999999996</v>
      </c>
      <c r="BB8" s="105">
        <f>5481.06+265.13+23.33</f>
        <v>5769.52</v>
      </c>
      <c r="BC8" s="105">
        <f>5746.19+100+551.4</f>
        <v>6397.5899999999992</v>
      </c>
      <c r="BD8" s="105">
        <f>4032.95+265.13+100+1000</f>
        <v>5398.08</v>
      </c>
      <c r="BE8" s="105">
        <v>5398.08</v>
      </c>
      <c r="BF8" s="105">
        <v>4132.95</v>
      </c>
      <c r="BG8" s="105">
        <v>1747.61</v>
      </c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34">
        <f t="shared" si="0"/>
        <v>227240.56999999998</v>
      </c>
    </row>
    <row r="9" spans="1:79">
      <c r="A9" s="166">
        <v>8</v>
      </c>
      <c r="B9" s="150" t="s">
        <v>243</v>
      </c>
      <c r="C9" s="108" t="s">
        <v>318</v>
      </c>
      <c r="D9" s="108" t="s">
        <v>189</v>
      </c>
      <c r="E9" s="108" t="s">
        <v>244</v>
      </c>
      <c r="F9" s="108" t="s">
        <v>323</v>
      </c>
      <c r="G9" s="155">
        <v>45367</v>
      </c>
      <c r="H9" s="155">
        <v>45446</v>
      </c>
      <c r="I9" s="135"/>
      <c r="J9" s="106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>
        <v>1806.45</v>
      </c>
      <c r="AZ9" s="105">
        <v>3000</v>
      </c>
      <c r="BA9" s="105">
        <v>3000</v>
      </c>
      <c r="BB9" s="105">
        <v>3000</v>
      </c>
      <c r="BC9" s="105">
        <v>193.54</v>
      </c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34">
        <f t="shared" si="0"/>
        <v>10999.990000000002</v>
      </c>
    </row>
    <row r="10" spans="1:79">
      <c r="A10" s="166">
        <v>9</v>
      </c>
      <c r="B10" s="150" t="s">
        <v>220</v>
      </c>
      <c r="C10" s="108" t="s">
        <v>318</v>
      </c>
      <c r="D10" s="108" t="s">
        <v>189</v>
      </c>
      <c r="E10" s="108" t="s">
        <v>190</v>
      </c>
      <c r="F10" s="108" t="s">
        <v>190</v>
      </c>
      <c r="G10" s="155">
        <f>'CONSOLIDADO ATIVO INATIVO NOVO'!J72</f>
        <v>45729</v>
      </c>
      <c r="H10" s="155">
        <v>45757</v>
      </c>
      <c r="I10" s="135"/>
      <c r="J10" s="106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>
        <v>3406.88</v>
      </c>
      <c r="BI10" s="105">
        <v>3700</v>
      </c>
      <c r="BJ10" s="105">
        <v>2500</v>
      </c>
      <c r="BK10" s="105">
        <v>2500</v>
      </c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34">
        <f t="shared" si="0"/>
        <v>12106.880000000001</v>
      </c>
    </row>
    <row r="11" spans="1:79">
      <c r="A11" s="166">
        <v>10</v>
      </c>
      <c r="B11" s="150" t="s">
        <v>224</v>
      </c>
      <c r="C11" s="108" t="s">
        <v>318</v>
      </c>
      <c r="D11" s="108" t="s">
        <v>113</v>
      </c>
      <c r="E11" s="108" t="s">
        <v>324</v>
      </c>
      <c r="F11" s="108" t="s">
        <v>324</v>
      </c>
      <c r="G11" s="155">
        <f>'CONSOLIDADO ATIVO INATIVO NOVO'!J73</f>
        <v>45750</v>
      </c>
      <c r="H11" s="155">
        <v>45691</v>
      </c>
      <c r="I11" s="135"/>
      <c r="J11" s="106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>
        <v>2400</v>
      </c>
      <c r="BG11" s="105">
        <v>3000</v>
      </c>
      <c r="BH11" s="105">
        <v>3000</v>
      </c>
      <c r="BI11" s="105">
        <v>1500</v>
      </c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34">
        <f t="shared" si="0"/>
        <v>9900</v>
      </c>
    </row>
    <row r="12" spans="1:79">
      <c r="A12" s="166">
        <v>11</v>
      </c>
      <c r="B12" s="150" t="s">
        <v>257</v>
      </c>
      <c r="C12" s="108" t="s">
        <v>318</v>
      </c>
      <c r="D12" s="108" t="s">
        <v>189</v>
      </c>
      <c r="E12" s="108" t="s">
        <v>122</v>
      </c>
      <c r="F12" s="108" t="s">
        <v>122</v>
      </c>
      <c r="G12" s="155">
        <v>45399</v>
      </c>
      <c r="H12" s="155">
        <v>45369</v>
      </c>
      <c r="I12" s="135"/>
      <c r="J12" s="106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>
        <v>3532.26</v>
      </c>
      <c r="BA12" s="105">
        <v>2500</v>
      </c>
      <c r="BB12" s="105">
        <v>416.66</v>
      </c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  <c r="BO12" s="105"/>
      <c r="BP12" s="105"/>
      <c r="BQ12" s="105"/>
      <c r="BR12" s="105"/>
      <c r="BS12" s="105"/>
      <c r="BT12" s="105"/>
      <c r="BU12" s="105"/>
      <c r="BV12" s="105"/>
      <c r="BW12" s="105"/>
      <c r="BX12" s="134">
        <f t="shared" si="0"/>
        <v>6448.92</v>
      </c>
    </row>
    <row r="13" spans="1:79">
      <c r="A13" s="166">
        <v>12</v>
      </c>
      <c r="B13" s="150" t="s">
        <v>135</v>
      </c>
      <c r="C13" s="108" t="s">
        <v>322</v>
      </c>
      <c r="D13" s="108" t="s">
        <v>136</v>
      </c>
      <c r="E13" s="108" t="s">
        <v>325</v>
      </c>
      <c r="F13" s="108" t="s">
        <v>326</v>
      </c>
      <c r="G13" s="155">
        <f>'CONSOLIDADO ATIVO INATIVO NOVO'!J75</f>
        <v>45751</v>
      </c>
      <c r="H13" s="108"/>
      <c r="I13" s="135"/>
      <c r="J13" s="106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>
        <v>4868.49</v>
      </c>
      <c r="BD13" s="105">
        <v>3769.89</v>
      </c>
      <c r="BE13" s="105">
        <f>3500+798.13</f>
        <v>4298.13</v>
      </c>
      <c r="BF13" s="105">
        <f>3500+25.7+1474.3</f>
        <v>5000</v>
      </c>
      <c r="BG13" s="105">
        <v>7000</v>
      </c>
      <c r="BH13" s="105">
        <v>5000</v>
      </c>
      <c r="BI13" s="105">
        <v>5000</v>
      </c>
      <c r="BJ13" s="105">
        <v>5000</v>
      </c>
      <c r="BK13" s="105">
        <v>5000</v>
      </c>
      <c r="BL13" s="105">
        <v>5000</v>
      </c>
      <c r="BM13" s="105">
        <v>5000</v>
      </c>
      <c r="BN13" s="105">
        <v>5000</v>
      </c>
      <c r="BO13" s="105">
        <v>5000</v>
      </c>
      <c r="BP13" s="105">
        <v>6706.9</v>
      </c>
      <c r="BQ13" s="105">
        <v>7919.23</v>
      </c>
      <c r="BR13" s="105">
        <v>5757.6</v>
      </c>
      <c r="BS13" s="105">
        <v>5706.73</v>
      </c>
      <c r="BT13" s="105">
        <f>5000+2576.62</f>
        <v>7576.62</v>
      </c>
      <c r="BU13" s="105">
        <f>5000+2611.71</f>
        <v>7611.71</v>
      </c>
      <c r="BV13" s="105">
        <f>5000+330.58</f>
        <v>5330.58</v>
      </c>
      <c r="BW13" s="105">
        <f>5000+3015.41</f>
        <v>8015.41</v>
      </c>
      <c r="BX13" s="134">
        <f>SUM(J13:BW13)</f>
        <v>119561.29</v>
      </c>
    </row>
    <row r="14" spans="1:79">
      <c r="A14" s="166">
        <v>13</v>
      </c>
      <c r="B14" s="150" t="s">
        <v>178</v>
      </c>
      <c r="C14" s="108" t="s">
        <v>318</v>
      </c>
      <c r="D14" s="108" t="s">
        <v>89</v>
      </c>
      <c r="E14" s="108" t="s">
        <v>90</v>
      </c>
      <c r="F14" s="108" t="s">
        <v>90</v>
      </c>
      <c r="G14" s="155">
        <v>45302</v>
      </c>
      <c r="H14" s="155">
        <v>45572</v>
      </c>
      <c r="I14" s="135"/>
      <c r="J14" s="106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>
        <v>2879.03</v>
      </c>
      <c r="AX14" s="105">
        <v>4250</v>
      </c>
      <c r="AY14" s="105">
        <v>4250</v>
      </c>
      <c r="AZ14" s="105">
        <v>4250</v>
      </c>
      <c r="BA14" s="105">
        <v>4250</v>
      </c>
      <c r="BB14" s="105">
        <f>4250+46.67+136.8</f>
        <v>4433.47</v>
      </c>
      <c r="BC14" s="105">
        <f>4250+100+45.6</f>
        <v>4395.6000000000004</v>
      </c>
      <c r="BD14" s="105">
        <f>4250+100+45.6</f>
        <v>4395.6000000000004</v>
      </c>
      <c r="BE14" s="105">
        <f>4250+100</f>
        <v>4350</v>
      </c>
      <c r="BF14" s="105">
        <v>2083.5700000000002</v>
      </c>
      <c r="BG14" s="105"/>
      <c r="BH14" s="105"/>
      <c r="BI14" s="105"/>
      <c r="BJ14" s="105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34">
        <f>SUM(J14:BU14)</f>
        <v>39537.269999999997</v>
      </c>
    </row>
    <row r="15" spans="1:79" s="128" customFormat="1">
      <c r="A15" s="166">
        <v>14</v>
      </c>
      <c r="B15" s="156" t="s">
        <v>327</v>
      </c>
      <c r="C15" s="157" t="s">
        <v>318</v>
      </c>
      <c r="D15" s="108" t="s">
        <v>121</v>
      </c>
      <c r="E15" s="108" t="s">
        <v>122</v>
      </c>
      <c r="F15" s="108" t="s">
        <v>122</v>
      </c>
      <c r="G15" s="155">
        <v>44774</v>
      </c>
      <c r="H15" s="155">
        <v>45461</v>
      </c>
      <c r="I15" s="136"/>
      <c r="J15" s="127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>
        <v>1000</v>
      </c>
      <c r="AG15" s="111">
        <v>1000</v>
      </c>
      <c r="AH15" s="111">
        <v>1000</v>
      </c>
      <c r="AI15" s="111">
        <v>1000</v>
      </c>
      <c r="AJ15" s="111">
        <v>1000</v>
      </c>
      <c r="AK15" s="111">
        <v>1000</v>
      </c>
      <c r="AL15" s="111">
        <v>1000</v>
      </c>
      <c r="AM15" s="111">
        <v>1000</v>
      </c>
      <c r="AN15" s="111">
        <v>1000</v>
      </c>
      <c r="AO15" s="111">
        <v>1000</v>
      </c>
      <c r="AP15" s="111">
        <v>1000</v>
      </c>
      <c r="AQ15" s="111">
        <v>1000</v>
      </c>
      <c r="AR15" s="111">
        <v>1000</v>
      </c>
      <c r="AS15" s="111">
        <v>1000</v>
      </c>
      <c r="AT15" s="111">
        <v>1000</v>
      </c>
      <c r="AU15" s="111">
        <v>1000</v>
      </c>
      <c r="AV15" s="111">
        <v>1000</v>
      </c>
      <c r="AW15" s="111">
        <v>1000</v>
      </c>
      <c r="AX15" s="111">
        <v>4000</v>
      </c>
      <c r="AY15" s="111">
        <v>4000</v>
      </c>
      <c r="AZ15" s="111">
        <v>6500</v>
      </c>
      <c r="BA15" s="111">
        <v>4000</v>
      </c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U15" s="111"/>
      <c r="BV15" s="111"/>
      <c r="BW15" s="111"/>
      <c r="BX15" s="134">
        <f>SUM(J15:BU15)</f>
        <v>36500</v>
      </c>
    </row>
    <row r="16" spans="1:79">
      <c r="A16" s="166">
        <v>15</v>
      </c>
      <c r="B16" s="150" t="s">
        <v>328</v>
      </c>
      <c r="C16" s="108" t="s">
        <v>318</v>
      </c>
      <c r="D16" s="108" t="s">
        <v>121</v>
      </c>
      <c r="E16" s="108" t="s">
        <v>126</v>
      </c>
      <c r="F16" s="108" t="s">
        <v>192</v>
      </c>
      <c r="G16" s="155">
        <v>45383</v>
      </c>
      <c r="H16" s="155">
        <v>45626</v>
      </c>
      <c r="I16" s="135"/>
      <c r="J16" s="106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>
        <v>3500</v>
      </c>
      <c r="AW16" s="105">
        <v>3500</v>
      </c>
      <c r="AX16" s="105">
        <v>3500</v>
      </c>
      <c r="AY16" s="105">
        <v>3500</v>
      </c>
      <c r="AZ16" s="105">
        <v>3500</v>
      </c>
      <c r="BA16" s="105">
        <v>3500</v>
      </c>
      <c r="BB16" s="105">
        <v>3500</v>
      </c>
      <c r="BC16" s="105">
        <v>7000</v>
      </c>
      <c r="BD16" s="105">
        <v>4000</v>
      </c>
      <c r="BE16" s="105">
        <v>4000</v>
      </c>
      <c r="BF16" s="105">
        <v>4000</v>
      </c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34">
        <f>SUM(J16:BU16)</f>
        <v>43500</v>
      </c>
    </row>
    <row r="17" spans="1:76">
      <c r="A17" s="166">
        <v>16</v>
      </c>
      <c r="B17" s="150" t="s">
        <v>329</v>
      </c>
      <c r="C17" s="108" t="s">
        <v>322</v>
      </c>
      <c r="D17" s="108" t="s">
        <v>89</v>
      </c>
      <c r="E17" s="108" t="s">
        <v>124</v>
      </c>
      <c r="F17" s="108" t="s">
        <v>124</v>
      </c>
      <c r="G17" s="155">
        <v>45894</v>
      </c>
      <c r="H17" s="155"/>
      <c r="I17" s="135"/>
      <c r="J17" s="106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>
        <v>500</v>
      </c>
      <c r="BQ17" s="105">
        <v>5000</v>
      </c>
      <c r="BR17" s="105">
        <v>5000</v>
      </c>
      <c r="BS17" s="105">
        <v>5000</v>
      </c>
      <c r="BT17" s="105">
        <v>5000</v>
      </c>
      <c r="BU17" s="105">
        <v>5000</v>
      </c>
      <c r="BV17" s="105">
        <v>5900</v>
      </c>
      <c r="BW17" s="105">
        <v>5900</v>
      </c>
      <c r="BX17" s="134">
        <f>SUM(J17:BW17)</f>
        <v>37300</v>
      </c>
    </row>
    <row r="18" spans="1:76">
      <c r="A18" s="166">
        <v>17</v>
      </c>
      <c r="B18" s="150" t="s">
        <v>161</v>
      </c>
      <c r="C18" s="108" t="s">
        <v>322</v>
      </c>
      <c r="D18" s="108" t="s">
        <v>89</v>
      </c>
      <c r="E18" s="108" t="s">
        <v>162</v>
      </c>
      <c r="F18" s="108" t="s">
        <v>162</v>
      </c>
      <c r="G18" s="155">
        <f>'CONSOLIDADO ATIVO INATIVO NOVO'!J79</f>
        <v>45264</v>
      </c>
      <c r="H18" s="108"/>
      <c r="I18" s="135"/>
      <c r="J18" s="106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>
        <v>2000</v>
      </c>
      <c r="BI18" s="105">
        <v>3000</v>
      </c>
      <c r="BJ18" s="105">
        <v>3000</v>
      </c>
      <c r="BK18" s="105">
        <v>3000</v>
      </c>
      <c r="BL18" s="105">
        <v>3000</v>
      </c>
      <c r="BM18" s="105">
        <v>3000</v>
      </c>
      <c r="BN18" s="105">
        <v>3000</v>
      </c>
      <c r="BO18" s="105">
        <v>3000</v>
      </c>
      <c r="BP18" s="105">
        <v>3000</v>
      </c>
      <c r="BQ18" s="105">
        <v>3000</v>
      </c>
      <c r="BR18" s="105">
        <v>3000</v>
      </c>
      <c r="BS18" s="105">
        <v>3500</v>
      </c>
      <c r="BT18" s="105">
        <v>3500</v>
      </c>
      <c r="BU18" s="105">
        <v>3500</v>
      </c>
      <c r="BV18" s="105">
        <v>3500</v>
      </c>
      <c r="BW18" s="105">
        <v>3500</v>
      </c>
      <c r="BX18" s="134">
        <f>SUM(J18:BW18)</f>
        <v>49500</v>
      </c>
    </row>
    <row r="19" spans="1:76">
      <c r="A19" s="166">
        <v>18</v>
      </c>
      <c r="B19" s="150" t="s">
        <v>88</v>
      </c>
      <c r="C19" s="108" t="s">
        <v>318</v>
      </c>
      <c r="D19" s="108" t="s">
        <v>89</v>
      </c>
      <c r="E19" s="108" t="s">
        <v>90</v>
      </c>
      <c r="F19" s="108" t="s">
        <v>91</v>
      </c>
      <c r="G19" s="155">
        <f>'CONSOLIDADO ATIVO INATIVO NOVO'!J81</f>
        <v>45785</v>
      </c>
      <c r="H19" s="108"/>
      <c r="I19" s="135"/>
      <c r="J19" s="106"/>
      <c r="K19" s="105"/>
      <c r="L19" s="105"/>
      <c r="M19" s="105"/>
      <c r="N19" s="105"/>
      <c r="O19" s="105">
        <v>1290.32</v>
      </c>
      <c r="P19" s="105">
        <v>2500</v>
      </c>
      <c r="Q19" s="105">
        <v>2500</v>
      </c>
      <c r="R19" s="105">
        <f>2500+101.02</f>
        <v>2601.02</v>
      </c>
      <c r="S19" s="105">
        <v>2500</v>
      </c>
      <c r="T19" s="105">
        <v>2500</v>
      </c>
      <c r="U19" s="105">
        <v>2500</v>
      </c>
      <c r="V19" s="105">
        <v>2500</v>
      </c>
      <c r="W19" s="105">
        <v>3218.75</v>
      </c>
      <c r="X19" s="105">
        <v>3218.75</v>
      </c>
      <c r="Y19" s="105">
        <v>3218.75</v>
      </c>
      <c r="Z19" s="105">
        <v>3218.75</v>
      </c>
      <c r="AA19" s="105">
        <v>3218.75</v>
      </c>
      <c r="AB19" s="105">
        <v>3218.75</v>
      </c>
      <c r="AC19" s="105">
        <v>3218.75</v>
      </c>
      <c r="AD19" s="105">
        <v>3218.75</v>
      </c>
      <c r="AE19" s="105">
        <v>3218.75</v>
      </c>
      <c r="AF19" s="105">
        <v>3218.75</v>
      </c>
      <c r="AG19" s="105">
        <v>4098.8500000000004</v>
      </c>
      <c r="AH19" s="105">
        <v>4218.75</v>
      </c>
      <c r="AI19" s="105">
        <v>4275</v>
      </c>
      <c r="AJ19" s="105">
        <v>4275</v>
      </c>
      <c r="AK19" s="105">
        <v>4275</v>
      </c>
      <c r="AL19" s="105">
        <v>4275</v>
      </c>
      <c r="AM19" s="105">
        <v>4275</v>
      </c>
      <c r="AN19" s="105">
        <v>4275</v>
      </c>
      <c r="AO19" s="105">
        <v>4275</v>
      </c>
      <c r="AP19" s="105">
        <v>4275</v>
      </c>
      <c r="AQ19" s="105">
        <v>4275</v>
      </c>
      <c r="AR19" s="105">
        <v>4275</v>
      </c>
      <c r="AS19" s="105">
        <v>4275</v>
      </c>
      <c r="AT19" s="105">
        <v>4275</v>
      </c>
      <c r="AU19" s="105">
        <f>123.63+4275</f>
        <v>4398.63</v>
      </c>
      <c r="AV19" s="105">
        <v>5481.06</v>
      </c>
      <c r="AW19" s="105">
        <f>5481.06+123.63</f>
        <v>5604.6900000000005</v>
      </c>
      <c r="AX19" s="105">
        <v>5481.06</v>
      </c>
      <c r="AY19" s="105">
        <v>5481.06</v>
      </c>
      <c r="AZ19" s="105">
        <v>5481.06</v>
      </c>
      <c r="BA19" s="105">
        <f>5231.06+167.3</f>
        <v>5398.3600000000006</v>
      </c>
      <c r="BB19" s="105">
        <f>5481.06+695.39+908.4</f>
        <v>7084.85</v>
      </c>
      <c r="BC19" s="105">
        <f>5981.06+120</f>
        <v>6101.06</v>
      </c>
      <c r="BD19" s="105">
        <v>4981.0600000000004</v>
      </c>
      <c r="BE19" s="105">
        <v>5132.95</v>
      </c>
      <c r="BF19" s="105">
        <v>6662.11</v>
      </c>
      <c r="BG19" s="105">
        <v>5420.6</v>
      </c>
      <c r="BH19" s="105">
        <v>6485.6</v>
      </c>
      <c r="BI19" s="105">
        <v>6485.6</v>
      </c>
      <c r="BJ19" s="105">
        <v>4292.6000000000004</v>
      </c>
      <c r="BK19" s="105">
        <v>5447.05</v>
      </c>
      <c r="BL19" s="105">
        <v>7373.6</v>
      </c>
      <c r="BM19" s="105">
        <v>7373.6</v>
      </c>
      <c r="BN19" s="105">
        <v>7416.35</v>
      </c>
      <c r="BO19" s="105">
        <v>2407.1</v>
      </c>
      <c r="BP19" s="105">
        <v>0</v>
      </c>
      <c r="BQ19" s="105"/>
      <c r="BR19" s="105"/>
      <c r="BS19" s="105"/>
      <c r="BT19" s="105"/>
      <c r="BU19" s="105"/>
      <c r="BV19" s="105"/>
      <c r="BW19" s="105"/>
      <c r="BX19" s="134">
        <f>SUM(J19:BU19)</f>
        <v>230686.49000000002</v>
      </c>
    </row>
    <row r="20" spans="1:76">
      <c r="A20" s="166">
        <v>19</v>
      </c>
      <c r="B20" s="150" t="s">
        <v>330</v>
      </c>
      <c r="C20" s="108" t="s">
        <v>318</v>
      </c>
      <c r="D20" s="108" t="s">
        <v>89</v>
      </c>
      <c r="E20" s="108" t="s">
        <v>111</v>
      </c>
      <c r="F20" s="108" t="s">
        <v>111</v>
      </c>
      <c r="G20" s="155">
        <v>44185</v>
      </c>
      <c r="H20" s="155">
        <v>45061</v>
      </c>
      <c r="I20" s="135"/>
      <c r="J20" s="105">
        <f>1935.48</f>
        <v>1935.48</v>
      </c>
      <c r="K20" s="105">
        <f>5000+134.02</f>
        <v>5134.0200000000004</v>
      </c>
      <c r="L20" s="105">
        <f>5000+288.01</f>
        <v>5288.01</v>
      </c>
      <c r="M20" s="105">
        <f>5000+399.91</f>
        <v>5399.91</v>
      </c>
      <c r="N20" s="105">
        <f>5000+403.4</f>
        <v>5403.4</v>
      </c>
      <c r="O20" s="105">
        <f>5000+310.83</f>
        <v>5310.83</v>
      </c>
      <c r="P20" s="105">
        <f>5000+201.02</f>
        <v>5201.0200000000004</v>
      </c>
      <c r="Q20" s="105">
        <f>5000+425.59</f>
        <v>5425.59</v>
      </c>
      <c r="R20" s="105">
        <f>5000+1436.02+603.39</f>
        <v>7039.4100000000008</v>
      </c>
      <c r="S20" s="105">
        <f>5000+436.1</f>
        <v>5436.1</v>
      </c>
      <c r="T20" s="105">
        <f>7000+409.37</f>
        <v>7409.37</v>
      </c>
      <c r="U20" s="105">
        <f>7000+944.35</f>
        <v>7944.35</v>
      </c>
      <c r="V20" s="105">
        <f>7000+546.87</f>
        <v>7546.87</v>
      </c>
      <c r="W20" s="105">
        <f>7000+720.15</f>
        <v>7720.15</v>
      </c>
      <c r="X20" s="105">
        <f>7000+538.91</f>
        <v>7538.91</v>
      </c>
      <c r="Y20" s="105">
        <f>7000+627.79</f>
        <v>7627.79</v>
      </c>
      <c r="Z20" s="105">
        <f>7000+677.05</f>
        <v>7677.05</v>
      </c>
      <c r="AA20" s="105">
        <f>7000+469.27</f>
        <v>7469.27</v>
      </c>
      <c r="AB20" s="105">
        <f>7000+875.7</f>
        <v>7875.7</v>
      </c>
      <c r="AC20" s="105">
        <f>7000+2252.97+898.07</f>
        <v>10151.039999999999</v>
      </c>
      <c r="AD20" s="105">
        <f>7000+391.24</f>
        <v>7391.24</v>
      </c>
      <c r="AE20" s="105">
        <v>7400</v>
      </c>
      <c r="AF20" s="105">
        <v>7400</v>
      </c>
      <c r="AG20" s="105">
        <v>7400</v>
      </c>
      <c r="AH20" s="105">
        <v>7400</v>
      </c>
      <c r="AI20" s="105">
        <v>7400</v>
      </c>
      <c r="AJ20" s="105">
        <v>7400</v>
      </c>
      <c r="AK20" s="105">
        <v>7400</v>
      </c>
      <c r="AL20" s="105">
        <v>7400</v>
      </c>
      <c r="AM20" s="105">
        <f>7400-394.94</f>
        <v>7005.06</v>
      </c>
      <c r="AN20" s="105">
        <v>7400</v>
      </c>
      <c r="AO20" s="105">
        <v>7400</v>
      </c>
      <c r="AP20" s="105">
        <v>0</v>
      </c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34">
        <f>SUM(J20:BU20)</f>
        <v>218930.56999999998</v>
      </c>
    </row>
    <row r="21" spans="1:76">
      <c r="A21" s="166">
        <v>20</v>
      </c>
      <c r="B21" s="150" t="s">
        <v>208</v>
      </c>
      <c r="C21" s="108" t="s">
        <v>318</v>
      </c>
      <c r="D21" s="108" t="s">
        <v>89</v>
      </c>
      <c r="E21" s="108" t="s">
        <v>90</v>
      </c>
      <c r="F21" s="108" t="s">
        <v>90</v>
      </c>
      <c r="G21" s="155">
        <v>45748</v>
      </c>
      <c r="H21" s="155"/>
      <c r="I21" s="13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>
        <v>4350</v>
      </c>
      <c r="BM21" s="105">
        <v>4350</v>
      </c>
      <c r="BN21" s="105">
        <v>4350</v>
      </c>
      <c r="BO21" s="105">
        <v>1790</v>
      </c>
      <c r="BP21" s="105">
        <v>4250</v>
      </c>
      <c r="BQ21" s="105"/>
      <c r="BR21" s="105"/>
      <c r="BS21" s="105"/>
      <c r="BT21" s="105"/>
      <c r="BU21" s="105"/>
      <c r="BV21" s="105"/>
      <c r="BW21" s="105"/>
      <c r="BX21" s="134">
        <f>SUM(J21:BU21)</f>
        <v>19090</v>
      </c>
    </row>
    <row r="22" spans="1:76">
      <c r="A22" s="166">
        <v>21</v>
      </c>
      <c r="B22" s="158" t="s">
        <v>331</v>
      </c>
      <c r="C22" s="108" t="s">
        <v>318</v>
      </c>
      <c r="D22" s="108" t="s">
        <v>89</v>
      </c>
      <c r="E22" s="108" t="s">
        <v>90</v>
      </c>
      <c r="F22" s="108" t="s">
        <v>90</v>
      </c>
      <c r="G22" s="155">
        <v>45264</v>
      </c>
      <c r="H22" s="155">
        <v>45454</v>
      </c>
      <c r="I22" s="135"/>
      <c r="J22" s="106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>
        <v>3838.71</v>
      </c>
      <c r="AW22" s="105">
        <v>4250</v>
      </c>
      <c r="AX22" s="105">
        <v>4250</v>
      </c>
      <c r="AY22" s="105">
        <v>4250</v>
      </c>
      <c r="AZ22" s="105">
        <v>4250</v>
      </c>
      <c r="BA22" s="105">
        <v>3825</v>
      </c>
      <c r="BB22" s="105">
        <f>506.36+2125</f>
        <v>2631.36</v>
      </c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34">
        <f>SUM(J22:BU22)</f>
        <v>27295.07</v>
      </c>
    </row>
    <row r="23" spans="1:76">
      <c r="A23" s="166">
        <v>22</v>
      </c>
      <c r="B23" s="150" t="s">
        <v>112</v>
      </c>
      <c r="C23" s="108" t="s">
        <v>318</v>
      </c>
      <c r="D23" s="108" t="s">
        <v>113</v>
      </c>
      <c r="E23" s="108" t="s">
        <v>114</v>
      </c>
      <c r="F23" s="108" t="s">
        <v>114</v>
      </c>
      <c r="G23" s="155">
        <v>44516</v>
      </c>
      <c r="H23" s="155">
        <v>45342</v>
      </c>
      <c r="I23" s="135"/>
      <c r="J23" s="106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>
        <v>1144.33</v>
      </c>
      <c r="W23" s="105">
        <v>1300</v>
      </c>
      <c r="X23" s="105">
        <f>273+1300</f>
        <v>1573</v>
      </c>
      <c r="Y23" s="105">
        <f>1300+273</f>
        <v>1573</v>
      </c>
      <c r="Z23" s="105">
        <f>1300+270</f>
        <v>1570</v>
      </c>
      <c r="AA23" s="105">
        <f>1300+270</f>
        <v>1570</v>
      </c>
      <c r="AB23" s="105">
        <f>1300+270</f>
        <v>1570</v>
      </c>
      <c r="AC23" s="105">
        <v>1570</v>
      </c>
      <c r="AD23" s="105">
        <v>1570</v>
      </c>
      <c r="AE23" s="105">
        <v>1570</v>
      </c>
      <c r="AF23" s="105">
        <v>1570</v>
      </c>
      <c r="AG23" s="105">
        <f t="shared" ref="AG23:AS23" si="1">500+1570</f>
        <v>2070</v>
      </c>
      <c r="AH23" s="105">
        <f t="shared" si="1"/>
        <v>2070</v>
      </c>
      <c r="AI23" s="105">
        <f t="shared" si="1"/>
        <v>2070</v>
      </c>
      <c r="AJ23" s="105">
        <f t="shared" si="1"/>
        <v>2070</v>
      </c>
      <c r="AK23" s="105">
        <f t="shared" si="1"/>
        <v>2070</v>
      </c>
      <c r="AL23" s="105">
        <f t="shared" si="1"/>
        <v>2070</v>
      </c>
      <c r="AM23" s="105">
        <f t="shared" si="1"/>
        <v>2070</v>
      </c>
      <c r="AN23" s="105">
        <f t="shared" si="1"/>
        <v>2070</v>
      </c>
      <c r="AO23" s="105">
        <f t="shared" si="1"/>
        <v>2070</v>
      </c>
      <c r="AP23" s="105">
        <f t="shared" si="1"/>
        <v>2070</v>
      </c>
      <c r="AQ23" s="105">
        <f t="shared" si="1"/>
        <v>2070</v>
      </c>
      <c r="AR23" s="105">
        <f t="shared" si="1"/>
        <v>2070</v>
      </c>
      <c r="AS23" s="105">
        <f t="shared" si="1"/>
        <v>2070</v>
      </c>
      <c r="AT23" s="105">
        <v>2770</v>
      </c>
      <c r="AU23" s="105">
        <v>3270</v>
      </c>
      <c r="AV23" s="105">
        <v>2500</v>
      </c>
      <c r="AW23" s="105">
        <v>2500</v>
      </c>
      <c r="AX23" s="105">
        <v>2025.89</v>
      </c>
      <c r="AY23" s="105">
        <v>0</v>
      </c>
      <c r="AZ23" s="105">
        <v>0</v>
      </c>
      <c r="BA23" s="105">
        <v>0</v>
      </c>
      <c r="BB23" s="105">
        <v>0</v>
      </c>
      <c r="BC23" s="105">
        <v>0</v>
      </c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34">
        <f>SUM(J23:BU23)</f>
        <v>56556.22</v>
      </c>
    </row>
    <row r="24" spans="1:76" ht="14.25" customHeight="1">
      <c r="A24" s="166">
        <v>23</v>
      </c>
      <c r="B24" s="150" t="s">
        <v>332</v>
      </c>
      <c r="C24" s="108" t="s">
        <v>322</v>
      </c>
      <c r="D24" s="108" t="s">
        <v>89</v>
      </c>
      <c r="E24" s="108" t="s">
        <v>90</v>
      </c>
      <c r="F24" s="108" t="s">
        <v>90</v>
      </c>
      <c r="G24" s="155">
        <f>'CONSOLIDADO ATIVO INATIVO NOVO'!J85</f>
        <v>45505</v>
      </c>
      <c r="H24" s="108"/>
      <c r="I24" s="135"/>
      <c r="J24" s="106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>
        <v>586.21</v>
      </c>
      <c r="AY24" s="105">
        <v>4250</v>
      </c>
      <c r="AZ24" s="105">
        <v>4250</v>
      </c>
      <c r="BA24" s="105">
        <v>3825</v>
      </c>
      <c r="BB24" s="105">
        <f>4250+46.67</f>
        <v>4296.67</v>
      </c>
      <c r="BC24" s="105">
        <f>4250+2009.54+582.59+100</f>
        <v>6942.13</v>
      </c>
      <c r="BD24" s="105">
        <f>3825+100</f>
        <v>3925</v>
      </c>
      <c r="BE24" s="105">
        <v>4350</v>
      </c>
      <c r="BF24" s="105">
        <v>3925</v>
      </c>
      <c r="BG24" s="105">
        <v>4350</v>
      </c>
      <c r="BH24" s="105">
        <v>4350</v>
      </c>
      <c r="BI24" s="105">
        <v>4350</v>
      </c>
      <c r="BJ24" s="105">
        <v>4350</v>
      </c>
      <c r="BK24" s="105">
        <v>2015</v>
      </c>
      <c r="BL24" s="105">
        <v>6350</v>
      </c>
      <c r="BM24" s="105">
        <v>7350</v>
      </c>
      <c r="BN24" s="105">
        <v>7350</v>
      </c>
      <c r="BO24" s="105">
        <v>2780</v>
      </c>
      <c r="BP24" s="105">
        <v>6096</v>
      </c>
      <c r="BQ24" s="105">
        <v>6350</v>
      </c>
      <c r="BR24" s="105">
        <v>6350</v>
      </c>
      <c r="BS24" s="105">
        <v>6350</v>
      </c>
      <c r="BT24" s="105">
        <v>6350</v>
      </c>
      <c r="BU24" s="105">
        <v>6350</v>
      </c>
      <c r="BV24" s="105">
        <v>6350</v>
      </c>
      <c r="BW24" s="105">
        <v>6350</v>
      </c>
      <c r="BX24" s="134">
        <f>SUM(J24:BW24)</f>
        <v>130141.01</v>
      </c>
    </row>
    <row r="25" spans="1:76">
      <c r="A25" s="166">
        <v>24</v>
      </c>
      <c r="B25" s="150" t="s">
        <v>333</v>
      </c>
      <c r="C25" s="108" t="s">
        <v>318</v>
      </c>
      <c r="D25" s="108" t="s">
        <v>113</v>
      </c>
      <c r="E25" s="108" t="s">
        <v>114</v>
      </c>
      <c r="F25" s="108" t="s">
        <v>114</v>
      </c>
      <c r="G25" s="155">
        <v>45348</v>
      </c>
      <c r="H25" s="155">
        <v>45506</v>
      </c>
      <c r="I25" s="135"/>
      <c r="J25" s="106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>
        <v>413.79</v>
      </c>
      <c r="AY25" s="105">
        <v>3000</v>
      </c>
      <c r="AZ25" s="105">
        <v>3000</v>
      </c>
      <c r="BA25" s="105">
        <v>3000</v>
      </c>
      <c r="BB25" s="105">
        <v>3000</v>
      </c>
      <c r="BC25" s="105">
        <v>3193.55</v>
      </c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34">
        <f>SUM(J25:BU25)</f>
        <v>15607.34</v>
      </c>
    </row>
    <row r="26" spans="1:76">
      <c r="A26" s="166">
        <v>25</v>
      </c>
      <c r="B26" s="150" t="s">
        <v>226</v>
      </c>
      <c r="C26" s="108" t="s">
        <v>318</v>
      </c>
      <c r="D26" s="108" t="s">
        <v>121</v>
      </c>
      <c r="E26" s="108" t="s">
        <v>123</v>
      </c>
      <c r="F26" s="108" t="s">
        <v>123</v>
      </c>
      <c r="G26" s="155">
        <v>45484</v>
      </c>
      <c r="H26" s="155">
        <v>45576</v>
      </c>
      <c r="I26" s="135"/>
      <c r="J26" s="106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>
        <v>3387.1</v>
      </c>
      <c r="BD26" s="105">
        <v>5000</v>
      </c>
      <c r="BE26" s="105">
        <v>5000</v>
      </c>
      <c r="BF26" s="105">
        <v>1833.33</v>
      </c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34">
        <f>SUM(J26:BU26)</f>
        <v>15220.43</v>
      </c>
    </row>
    <row r="27" spans="1:76">
      <c r="A27" s="166">
        <v>26</v>
      </c>
      <c r="B27" s="150" t="s">
        <v>164</v>
      </c>
      <c r="C27" s="108" t="s">
        <v>322</v>
      </c>
      <c r="D27" s="108" t="s">
        <v>136</v>
      </c>
      <c r="E27" s="108" t="s">
        <v>165</v>
      </c>
      <c r="F27" s="108" t="s">
        <v>165</v>
      </c>
      <c r="G27" s="155">
        <v>45688</v>
      </c>
      <c r="H27" s="155"/>
      <c r="I27" s="135"/>
      <c r="J27" s="106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>
        <v>2583.33</v>
      </c>
      <c r="BK27" s="105">
        <v>2500</v>
      </c>
      <c r="BL27" s="105">
        <v>2500</v>
      </c>
      <c r="BM27" s="105">
        <v>3173.21</v>
      </c>
      <c r="BN27" s="105">
        <v>3182.94</v>
      </c>
      <c r="BO27" s="105">
        <v>3182.94</v>
      </c>
      <c r="BP27" s="105">
        <v>3975.37</v>
      </c>
      <c r="BQ27" s="105">
        <v>4668.12</v>
      </c>
      <c r="BR27" s="105">
        <v>4500</v>
      </c>
      <c r="BS27" s="105">
        <v>3431.02</v>
      </c>
      <c r="BT27" s="105">
        <f>2125+1416.94</f>
        <v>3541.94</v>
      </c>
      <c r="BU27" s="105">
        <f>3000+2238.61</f>
        <v>5238.6100000000006</v>
      </c>
      <c r="BV27" s="105">
        <f>3500+283.36</f>
        <v>3783.36</v>
      </c>
      <c r="BW27" s="105">
        <f>3500+2584.64</f>
        <v>6084.6399999999994</v>
      </c>
      <c r="BX27" s="134">
        <f>SUM(J27:BW27)</f>
        <v>52345.48</v>
      </c>
    </row>
    <row r="28" spans="1:76">
      <c r="A28" s="166">
        <v>27</v>
      </c>
      <c r="B28" s="150" t="s">
        <v>139</v>
      </c>
      <c r="C28" s="108" t="s">
        <v>322</v>
      </c>
      <c r="D28" s="108" t="s">
        <v>113</v>
      </c>
      <c r="E28" s="108" t="s">
        <v>114</v>
      </c>
      <c r="F28" s="108" t="s">
        <v>140</v>
      </c>
      <c r="G28" s="155">
        <f>'CONSOLIDADO ATIVO INATIVO NOVO'!J89</f>
        <v>45810</v>
      </c>
      <c r="H28" s="108"/>
      <c r="I28" s="135"/>
      <c r="J28" s="106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>
        <v>2322.58</v>
      </c>
      <c r="BD28" s="105">
        <v>3000</v>
      </c>
      <c r="BE28" s="105">
        <v>3000</v>
      </c>
      <c r="BF28" s="105">
        <v>4000</v>
      </c>
      <c r="BG28" s="105">
        <v>4000</v>
      </c>
      <c r="BH28" s="105">
        <v>6000</v>
      </c>
      <c r="BI28" s="105">
        <v>4000</v>
      </c>
      <c r="BJ28" s="105">
        <v>4000</v>
      </c>
      <c r="BK28" s="105">
        <v>4000</v>
      </c>
      <c r="BL28" s="105">
        <v>4000</v>
      </c>
      <c r="BM28" s="105">
        <v>4000</v>
      </c>
      <c r="BN28" s="105">
        <v>4000</v>
      </c>
      <c r="BO28" s="105">
        <v>4000</v>
      </c>
      <c r="BP28" s="105">
        <v>4000</v>
      </c>
      <c r="BQ28" s="105">
        <v>4000</v>
      </c>
      <c r="BR28" s="105">
        <v>5000</v>
      </c>
      <c r="BS28" s="105">
        <v>5000</v>
      </c>
      <c r="BT28" s="105">
        <v>5000</v>
      </c>
      <c r="BU28" s="105">
        <v>5000</v>
      </c>
      <c r="BV28" s="105">
        <v>5000</v>
      </c>
      <c r="BW28" s="105">
        <v>5000</v>
      </c>
      <c r="BX28" s="134">
        <f>SUM(J28:BW28)</f>
        <v>88322.58</v>
      </c>
    </row>
    <row r="29" spans="1:76">
      <c r="A29" s="166">
        <v>28</v>
      </c>
      <c r="B29" s="150" t="s">
        <v>184</v>
      </c>
      <c r="C29" s="108" t="s">
        <v>318</v>
      </c>
      <c r="D29" s="108" t="s">
        <v>113</v>
      </c>
      <c r="E29" s="108" t="s">
        <v>140</v>
      </c>
      <c r="F29" s="108" t="s">
        <v>140</v>
      </c>
      <c r="G29" s="155">
        <v>45719</v>
      </c>
      <c r="H29" s="108"/>
      <c r="I29" s="135"/>
      <c r="J29" s="106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>
        <v>3850</v>
      </c>
      <c r="BL29" s="105">
        <v>4500</v>
      </c>
      <c r="BM29" s="105">
        <v>4500</v>
      </c>
      <c r="BN29" s="105">
        <v>4500</v>
      </c>
      <c r="BO29" s="105">
        <v>4500</v>
      </c>
      <c r="BP29" s="105">
        <v>4500</v>
      </c>
      <c r="BQ29" s="105"/>
      <c r="BR29" s="105"/>
      <c r="BS29" s="105"/>
      <c r="BT29" s="105"/>
      <c r="BU29" s="105"/>
      <c r="BV29" s="105"/>
      <c r="BW29" s="105"/>
      <c r="BX29" s="134">
        <f>SUM(J29:BU29)</f>
        <v>26350</v>
      </c>
    </row>
    <row r="30" spans="1:76">
      <c r="A30" s="166">
        <v>29</v>
      </c>
      <c r="B30" s="150" t="s">
        <v>166</v>
      </c>
      <c r="C30" s="108" t="s">
        <v>322</v>
      </c>
      <c r="D30" s="108" t="s">
        <v>121</v>
      </c>
      <c r="E30" s="108" t="s">
        <v>167</v>
      </c>
      <c r="F30" s="108" t="s">
        <v>167</v>
      </c>
      <c r="G30" s="155">
        <v>45677</v>
      </c>
      <c r="H30" s="108"/>
      <c r="I30" s="135"/>
      <c r="J30" s="106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>
        <v>1000</v>
      </c>
      <c r="BJ30" s="105">
        <v>3000</v>
      </c>
      <c r="BK30" s="105">
        <v>3000</v>
      </c>
      <c r="BL30" s="105">
        <v>3000</v>
      </c>
      <c r="BM30" s="105">
        <v>3000</v>
      </c>
      <c r="BN30" s="105">
        <v>3000</v>
      </c>
      <c r="BO30" s="105">
        <v>3000</v>
      </c>
      <c r="BP30" s="105">
        <v>4000</v>
      </c>
      <c r="BQ30" s="105">
        <v>4000</v>
      </c>
      <c r="BR30" s="105">
        <v>4000</v>
      </c>
      <c r="BS30" s="105">
        <v>4000</v>
      </c>
      <c r="BT30" s="105">
        <v>4000</v>
      </c>
      <c r="BU30" s="105">
        <v>4000</v>
      </c>
      <c r="BV30" s="105">
        <v>4000</v>
      </c>
      <c r="BW30" s="105">
        <v>4000</v>
      </c>
      <c r="BX30" s="134">
        <f>SUM(J30:BW30)</f>
        <v>51000</v>
      </c>
    </row>
    <row r="31" spans="1:76">
      <c r="A31" s="166">
        <v>30</v>
      </c>
      <c r="B31" s="150" t="s">
        <v>31</v>
      </c>
      <c r="C31" s="108" t="s">
        <v>318</v>
      </c>
      <c r="D31" s="108" t="s">
        <v>89</v>
      </c>
      <c r="E31" s="108" t="s">
        <v>162</v>
      </c>
      <c r="F31" s="108" t="s">
        <v>162</v>
      </c>
      <c r="G31" s="155">
        <v>45743</v>
      </c>
      <c r="H31" s="108"/>
      <c r="I31" s="135"/>
      <c r="J31" s="106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>
        <v>2500</v>
      </c>
      <c r="BM31" s="105">
        <v>2500</v>
      </c>
      <c r="BN31" s="105">
        <v>2500</v>
      </c>
      <c r="BO31" s="105"/>
      <c r="BP31" s="105"/>
      <c r="BQ31" s="105"/>
      <c r="BR31" s="105"/>
      <c r="BS31" s="105"/>
      <c r="BT31" s="105"/>
      <c r="BU31" s="105"/>
      <c r="BV31" s="105"/>
      <c r="BW31" s="105"/>
      <c r="BX31" s="134">
        <f>SUM(J31:BU31)</f>
        <v>7500</v>
      </c>
    </row>
    <row r="32" spans="1:76">
      <c r="A32" s="166">
        <v>31</v>
      </c>
      <c r="B32" s="150" t="s">
        <v>259</v>
      </c>
      <c r="C32" s="108" t="s">
        <v>318</v>
      </c>
      <c r="D32" s="108" t="s">
        <v>99</v>
      </c>
      <c r="E32" s="108" t="s">
        <v>100</v>
      </c>
      <c r="F32" s="108" t="s">
        <v>100</v>
      </c>
      <c r="G32" s="155">
        <v>45414</v>
      </c>
      <c r="H32" s="155">
        <v>45454</v>
      </c>
      <c r="I32" s="135"/>
      <c r="J32" s="106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>
        <v>5350</v>
      </c>
      <c r="BA32" s="105">
        <f>7000+277.85</f>
        <v>7277.85</v>
      </c>
      <c r="BB32" s="105">
        <f>600+300+2500</f>
        <v>3400</v>
      </c>
      <c r="BC32" s="105">
        <v>2500</v>
      </c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34">
        <f>SUM(J32:BU32)</f>
        <v>18527.849999999999</v>
      </c>
    </row>
    <row r="33" spans="1:77">
      <c r="A33" s="166">
        <v>32</v>
      </c>
      <c r="B33" s="150" t="s">
        <v>188</v>
      </c>
      <c r="C33" s="108" t="s">
        <v>318</v>
      </c>
      <c r="D33" s="108" t="s">
        <v>189</v>
      </c>
      <c r="E33" s="108" t="s">
        <v>190</v>
      </c>
      <c r="F33" s="108" t="s">
        <v>190</v>
      </c>
      <c r="G33" s="155">
        <v>45397</v>
      </c>
      <c r="H33" s="155">
        <v>45652</v>
      </c>
      <c r="I33" s="135"/>
      <c r="J33" s="106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>
        <v>1253.33</v>
      </c>
      <c r="BA33" s="105">
        <v>2470</v>
      </c>
      <c r="BB33" s="105">
        <v>2470</v>
      </c>
      <c r="BC33" s="105">
        <v>2470</v>
      </c>
      <c r="BD33" s="105">
        <v>2470</v>
      </c>
      <c r="BE33" s="105">
        <v>2470</v>
      </c>
      <c r="BF33" s="105">
        <v>2470</v>
      </c>
      <c r="BG33" s="105">
        <v>2470</v>
      </c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34">
        <f>SUM(J33:BU33)</f>
        <v>18543.330000000002</v>
      </c>
      <c r="BY33" s="118"/>
    </row>
    <row r="34" spans="1:77">
      <c r="A34" s="166">
        <v>33</v>
      </c>
      <c r="B34" s="150" t="s">
        <v>227</v>
      </c>
      <c r="C34" s="108" t="s">
        <v>318</v>
      </c>
      <c r="D34" s="108" t="s">
        <v>89</v>
      </c>
      <c r="E34" s="108" t="s">
        <v>228</v>
      </c>
      <c r="F34" s="108" t="s">
        <v>228</v>
      </c>
      <c r="G34" s="155">
        <v>45566</v>
      </c>
      <c r="H34" s="155"/>
      <c r="I34" s="135"/>
      <c r="J34" s="106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>
        <v>2500</v>
      </c>
      <c r="BG34" s="105">
        <v>2500</v>
      </c>
      <c r="BH34" s="105">
        <v>2500</v>
      </c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34">
        <f>SUM(J34:BU34)</f>
        <v>7500</v>
      </c>
      <c r="BY34" s="118"/>
    </row>
    <row r="35" spans="1:77">
      <c r="A35" s="166">
        <v>34</v>
      </c>
      <c r="B35" s="150" t="s">
        <v>334</v>
      </c>
      <c r="C35" s="108" t="s">
        <v>318</v>
      </c>
      <c r="D35" s="108" t="s">
        <v>89</v>
      </c>
      <c r="E35" s="108" t="s">
        <v>90</v>
      </c>
      <c r="F35" s="108" t="s">
        <v>90</v>
      </c>
      <c r="G35" s="155">
        <v>44138</v>
      </c>
      <c r="H35" s="155">
        <v>44602</v>
      </c>
      <c r="I35" s="135"/>
      <c r="J35" s="109">
        <f>188.6+39.2</f>
        <v>227.8</v>
      </c>
      <c r="K35" s="105">
        <v>4157.67</v>
      </c>
      <c r="L35" s="105">
        <v>4157.67</v>
      </c>
      <c r="M35" s="105">
        <v>4157.67</v>
      </c>
      <c r="N35" s="105">
        <v>3000</v>
      </c>
      <c r="O35" s="105">
        <v>3000</v>
      </c>
      <c r="P35" s="105">
        <v>3000</v>
      </c>
      <c r="Q35" s="105">
        <v>3000</v>
      </c>
      <c r="R35" s="105">
        <f>3000+838.72</f>
        <v>3838.7200000000003</v>
      </c>
      <c r="S35" s="105">
        <v>3000</v>
      </c>
      <c r="T35" s="105">
        <v>3000</v>
      </c>
      <c r="U35" s="105">
        <v>3000</v>
      </c>
      <c r="V35" s="105">
        <v>3000</v>
      </c>
      <c r="W35" s="105">
        <f>4275+1630.25</f>
        <v>5905.25</v>
      </c>
      <c r="X35" s="105">
        <v>4275</v>
      </c>
      <c r="Y35" s="105">
        <v>4275</v>
      </c>
      <c r="Z35" s="105"/>
      <c r="AA35" s="105"/>
      <c r="AB35" s="105"/>
      <c r="AC35" s="105"/>
      <c r="AD35" s="105">
        <v>0</v>
      </c>
      <c r="AE35" s="105">
        <v>0</v>
      </c>
      <c r="AF35" s="105"/>
      <c r="AG35" s="105"/>
      <c r="AH35" s="105"/>
      <c r="AI35" s="105"/>
      <c r="AJ35" s="105"/>
      <c r="AK35" s="105"/>
      <c r="AL35" s="105"/>
      <c r="AM35" s="105">
        <v>0</v>
      </c>
      <c r="AN35" s="105">
        <v>0</v>
      </c>
      <c r="AO35" s="105">
        <v>0</v>
      </c>
      <c r="AP35" s="105">
        <v>0</v>
      </c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34">
        <f>SUM(J35:BU35)</f>
        <v>54994.78</v>
      </c>
    </row>
    <row r="36" spans="1:77">
      <c r="A36" s="166">
        <v>35</v>
      </c>
      <c r="B36" s="150" t="s">
        <v>197</v>
      </c>
      <c r="C36" s="108" t="s">
        <v>320</v>
      </c>
      <c r="D36" s="108" t="s">
        <v>189</v>
      </c>
      <c r="E36" s="108" t="s">
        <v>190</v>
      </c>
      <c r="F36" s="108" t="s">
        <v>190</v>
      </c>
      <c r="G36" s="155">
        <v>45750</v>
      </c>
      <c r="H36" s="155"/>
      <c r="I36" s="135"/>
      <c r="J36" s="109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>
        <v>2763.07</v>
      </c>
      <c r="BM36" s="105">
        <v>2500</v>
      </c>
      <c r="BN36" s="105">
        <v>2500</v>
      </c>
      <c r="BO36" s="105">
        <v>2500</v>
      </c>
      <c r="BP36" s="105">
        <v>2500</v>
      </c>
      <c r="BQ36" s="105">
        <v>2500</v>
      </c>
      <c r="BR36" s="105">
        <v>2500</v>
      </c>
      <c r="BS36" s="105">
        <v>2500</v>
      </c>
      <c r="BT36" s="105">
        <v>2500</v>
      </c>
      <c r="BU36" s="105">
        <v>0</v>
      </c>
      <c r="BV36" s="105"/>
      <c r="BW36" s="105"/>
      <c r="BX36" s="134">
        <f>SUM(J36:BV36)</f>
        <v>22763.07</v>
      </c>
    </row>
    <row r="37" spans="1:77">
      <c r="A37" s="166">
        <v>36</v>
      </c>
      <c r="B37" s="150" t="s">
        <v>170</v>
      </c>
      <c r="C37" s="108" t="s">
        <v>318</v>
      </c>
      <c r="D37" s="108" t="s">
        <v>99</v>
      </c>
      <c r="E37" s="108" t="s">
        <v>171</v>
      </c>
      <c r="F37" s="108" t="s">
        <v>171</v>
      </c>
      <c r="G37" s="155">
        <f>'CONSOLIDADO ATIVO INATIVO NOVO'!J96</f>
        <v>45743</v>
      </c>
      <c r="H37" s="108"/>
      <c r="I37" s="135"/>
      <c r="J37" s="112"/>
      <c r="K37" s="112"/>
      <c r="L37" s="112"/>
      <c r="M37" s="112"/>
      <c r="N37" s="112"/>
      <c r="O37" s="129"/>
      <c r="P37" s="112"/>
      <c r="Q37" s="122"/>
      <c r="R37" s="112"/>
      <c r="S37" s="109"/>
      <c r="T37" s="109"/>
      <c r="U37" s="109"/>
      <c r="V37" s="109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05">
        <v>2800</v>
      </c>
      <c r="BF37" s="105">
        <v>3000</v>
      </c>
      <c r="BG37" s="105">
        <v>3000</v>
      </c>
      <c r="BH37" s="105">
        <v>3000</v>
      </c>
      <c r="BI37" s="105">
        <v>3000</v>
      </c>
      <c r="BJ37" s="105">
        <v>3000</v>
      </c>
      <c r="BK37" s="105">
        <v>3000</v>
      </c>
      <c r="BL37" s="105">
        <v>3000</v>
      </c>
      <c r="BM37" s="105">
        <v>3500</v>
      </c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34">
        <f>SUM(J37:BU37)</f>
        <v>27300</v>
      </c>
    </row>
    <row r="38" spans="1:77">
      <c r="A38" s="166">
        <v>37</v>
      </c>
      <c r="B38" s="150" t="s">
        <v>335</v>
      </c>
      <c r="C38" s="108" t="s">
        <v>318</v>
      </c>
      <c r="D38" s="108" t="s">
        <v>89</v>
      </c>
      <c r="E38" s="108" t="s">
        <v>90</v>
      </c>
      <c r="F38" s="108" t="s">
        <v>91</v>
      </c>
      <c r="G38" s="155">
        <v>44046</v>
      </c>
      <c r="H38" s="155">
        <v>45506</v>
      </c>
      <c r="I38" s="135"/>
      <c r="J38" s="109"/>
      <c r="K38" s="105"/>
      <c r="L38" s="105"/>
      <c r="M38" s="105">
        <v>3000</v>
      </c>
      <c r="N38" s="105">
        <v>3000</v>
      </c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>
        <v>3000</v>
      </c>
      <c r="AW38" s="105">
        <v>3000</v>
      </c>
      <c r="AX38" s="105">
        <v>3000</v>
      </c>
      <c r="AY38" s="105">
        <v>3000</v>
      </c>
      <c r="AZ38" s="105">
        <v>3000</v>
      </c>
      <c r="BA38" s="105">
        <v>3000</v>
      </c>
      <c r="BB38" s="105">
        <v>3000</v>
      </c>
      <c r="BC38" s="105">
        <v>3000</v>
      </c>
      <c r="BD38" s="105">
        <v>3000</v>
      </c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34">
        <f>SUM(J38:BU38)</f>
        <v>33000</v>
      </c>
    </row>
    <row r="39" spans="1:77">
      <c r="A39" s="166">
        <v>38</v>
      </c>
      <c r="B39" s="150" t="s">
        <v>214</v>
      </c>
      <c r="C39" s="108" t="s">
        <v>320</v>
      </c>
      <c r="D39" s="108" t="s">
        <v>99</v>
      </c>
      <c r="E39" s="108" t="s">
        <v>100</v>
      </c>
      <c r="F39" s="108" t="s">
        <v>100</v>
      </c>
      <c r="G39" s="155">
        <v>45810</v>
      </c>
      <c r="H39" s="155"/>
      <c r="I39" s="135"/>
      <c r="J39" s="109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>
        <v>2416.66</v>
      </c>
      <c r="BO39" s="105">
        <v>2500</v>
      </c>
      <c r="BP39" s="105">
        <v>2500</v>
      </c>
      <c r="BQ39" s="105">
        <v>2500</v>
      </c>
      <c r="BR39" s="105">
        <v>2500</v>
      </c>
      <c r="BS39" s="105">
        <v>2500</v>
      </c>
      <c r="BT39" s="105">
        <v>2500</v>
      </c>
      <c r="BU39" s="105">
        <v>2500</v>
      </c>
      <c r="BV39" s="105"/>
      <c r="BW39" s="105"/>
      <c r="BX39" s="134">
        <f>SUM(J39:BV39)</f>
        <v>19916.66</v>
      </c>
    </row>
    <row r="40" spans="1:77" ht="13.9" customHeight="1">
      <c r="A40" s="166">
        <v>39</v>
      </c>
      <c r="B40" s="150" t="s">
        <v>151</v>
      </c>
      <c r="C40" s="108" t="s">
        <v>322</v>
      </c>
      <c r="D40" s="108" t="s">
        <v>218</v>
      </c>
      <c r="E40" s="108" t="s">
        <v>234</v>
      </c>
      <c r="F40" s="108" t="s">
        <v>234</v>
      </c>
      <c r="G40" s="155">
        <v>45547</v>
      </c>
      <c r="H40" s="108"/>
      <c r="I40" s="135"/>
      <c r="J40" s="112"/>
      <c r="K40" s="112"/>
      <c r="L40" s="112"/>
      <c r="M40" s="112"/>
      <c r="N40" s="112"/>
      <c r="O40" s="129"/>
      <c r="P40" s="112"/>
      <c r="Q40" s="122"/>
      <c r="R40" s="124"/>
      <c r="S40" s="109"/>
      <c r="T40" s="109"/>
      <c r="U40" s="109"/>
      <c r="V40" s="109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05">
        <v>1800</v>
      </c>
      <c r="BF40" s="105">
        <v>3000</v>
      </c>
      <c r="BG40" s="105">
        <v>3500</v>
      </c>
      <c r="BH40" s="105">
        <v>4500</v>
      </c>
      <c r="BI40" s="105">
        <v>4500</v>
      </c>
      <c r="BJ40" s="105">
        <v>4500</v>
      </c>
      <c r="BK40" s="105">
        <v>4500</v>
      </c>
      <c r="BL40" s="105">
        <v>4500</v>
      </c>
      <c r="BM40" s="105">
        <v>5103.25</v>
      </c>
      <c r="BN40" s="105">
        <v>4500</v>
      </c>
      <c r="BO40" s="105">
        <v>4500</v>
      </c>
      <c r="BP40" s="105">
        <v>6202.54</v>
      </c>
      <c r="BQ40" s="105">
        <v>7619.23</v>
      </c>
      <c r="BR40" s="105">
        <f>4500+757.6</f>
        <v>5257.6</v>
      </c>
      <c r="BS40" s="105">
        <v>5706.73</v>
      </c>
      <c r="BT40" s="105">
        <f>4200+2576.62</f>
        <v>6776.62</v>
      </c>
      <c r="BU40" s="105">
        <f>5000+2611.71</f>
        <v>7611.71</v>
      </c>
      <c r="BV40" s="105">
        <f>5000+330.58</f>
        <v>5330.58</v>
      </c>
      <c r="BW40" s="105">
        <f>5000+3015.41</f>
        <v>8015.41</v>
      </c>
      <c r="BX40" s="134">
        <f>SUM(J40:BW40)</f>
        <v>97423.670000000013</v>
      </c>
    </row>
    <row r="41" spans="1:77">
      <c r="A41" s="166">
        <v>40</v>
      </c>
      <c r="B41" s="150" t="s">
        <v>233</v>
      </c>
      <c r="C41" s="108" t="s">
        <v>320</v>
      </c>
      <c r="D41" s="108" t="s">
        <v>218</v>
      </c>
      <c r="E41" s="108" t="s">
        <v>234</v>
      </c>
      <c r="F41" s="108" t="s">
        <v>234</v>
      </c>
      <c r="G41" s="155">
        <v>45863</v>
      </c>
      <c r="H41" s="108"/>
      <c r="I41" s="135"/>
      <c r="J41" s="112"/>
      <c r="K41" s="112"/>
      <c r="L41" s="112"/>
      <c r="M41" s="112"/>
      <c r="N41" s="112"/>
      <c r="O41" s="129"/>
      <c r="P41" s="112"/>
      <c r="Q41" s="122"/>
      <c r="R41" s="124"/>
      <c r="S41" s="109"/>
      <c r="T41" s="109"/>
      <c r="U41" s="109"/>
      <c r="V41" s="109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>
        <v>1200</v>
      </c>
      <c r="BP41" s="105">
        <v>4487.6899999999996</v>
      </c>
      <c r="BQ41" s="105">
        <v>4834.4799999999996</v>
      </c>
      <c r="BR41" s="105">
        <v>4757.6000000000004</v>
      </c>
      <c r="BS41" s="105">
        <v>4674.75</v>
      </c>
      <c r="BT41" s="105">
        <f>9600+613</f>
        <v>10213</v>
      </c>
      <c r="BU41" s="105">
        <v>0</v>
      </c>
      <c r="BV41" s="105"/>
      <c r="BW41" s="105"/>
      <c r="BX41" s="134">
        <f>SUM(J41:BV41)</f>
        <v>30167.519999999997</v>
      </c>
    </row>
    <row r="42" spans="1:77">
      <c r="A42" s="166">
        <v>41</v>
      </c>
      <c r="B42" s="150" t="s">
        <v>50</v>
      </c>
      <c r="C42" s="108" t="s">
        <v>318</v>
      </c>
      <c r="D42" s="108" t="s">
        <v>136</v>
      </c>
      <c r="E42" s="108" t="s">
        <v>336</v>
      </c>
      <c r="F42" s="108" t="s">
        <v>336</v>
      </c>
      <c r="G42" s="155">
        <v>44907</v>
      </c>
      <c r="H42" s="108"/>
      <c r="I42" s="135"/>
      <c r="J42" s="109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>
        <v>3096.77</v>
      </c>
      <c r="AK42" s="105">
        <v>4250</v>
      </c>
      <c r="AL42" s="105">
        <v>4250</v>
      </c>
      <c r="AM42" s="105">
        <v>4250</v>
      </c>
      <c r="AN42" s="105">
        <v>4250</v>
      </c>
      <c r="AO42" s="105">
        <v>4250</v>
      </c>
      <c r="AP42" s="105">
        <v>4250</v>
      </c>
      <c r="AQ42" s="105">
        <v>4250</v>
      </c>
      <c r="AR42" s="105">
        <v>4250</v>
      </c>
      <c r="AS42" s="105">
        <v>4250</v>
      </c>
      <c r="AT42" s="105">
        <v>4250</v>
      </c>
      <c r="AU42" s="105">
        <v>4250</v>
      </c>
      <c r="AV42" s="105">
        <v>4454.8500000000004</v>
      </c>
      <c r="AW42" s="105">
        <v>4454.8500000000004</v>
      </c>
      <c r="AX42" s="105">
        <v>4454.8500000000004</v>
      </c>
      <c r="AY42" s="105">
        <v>4454.84</v>
      </c>
      <c r="AZ42" s="105">
        <v>4454.8500000000004</v>
      </c>
      <c r="BA42" s="105">
        <v>4454.8500000000004</v>
      </c>
      <c r="BB42" s="105">
        <v>4454.8500000000004</v>
      </c>
      <c r="BC42" s="105">
        <f>4454.85+100</f>
        <v>4554.8500000000004</v>
      </c>
      <c r="BD42" s="105">
        <v>4109.3599999999997</v>
      </c>
      <c r="BE42" s="105">
        <v>4545.8500000000004</v>
      </c>
      <c r="BF42" s="105">
        <v>4109.37</v>
      </c>
      <c r="BG42" s="105">
        <v>3594.5</v>
      </c>
      <c r="BH42" s="105">
        <v>6068</v>
      </c>
      <c r="BI42" s="105">
        <v>4936</v>
      </c>
      <c r="BJ42" s="105">
        <v>5412</v>
      </c>
      <c r="BK42" s="105">
        <v>4612.25</v>
      </c>
      <c r="BL42" s="105">
        <v>5380</v>
      </c>
      <c r="BM42" s="105">
        <v>6100</v>
      </c>
      <c r="BN42" s="105">
        <v>6100</v>
      </c>
      <c r="BO42" s="105">
        <v>2335.5</v>
      </c>
      <c r="BP42" s="105"/>
      <c r="BQ42" s="105"/>
      <c r="BR42" s="105"/>
      <c r="BS42" s="105"/>
      <c r="BT42" s="105"/>
      <c r="BU42" s="105"/>
      <c r="BV42" s="105"/>
      <c r="BW42" s="105"/>
      <c r="BX42" s="134">
        <f>SUM(J42:BU42)</f>
        <v>142888.39000000001</v>
      </c>
    </row>
    <row r="43" spans="1:77">
      <c r="A43" s="166">
        <v>42</v>
      </c>
      <c r="B43" s="150" t="s">
        <v>215</v>
      </c>
      <c r="C43" s="108" t="s">
        <v>322</v>
      </c>
      <c r="D43" s="108" t="s">
        <v>121</v>
      </c>
      <c r="E43" s="108" t="s">
        <v>212</v>
      </c>
      <c r="F43" s="108" t="s">
        <v>212</v>
      </c>
      <c r="G43" s="155">
        <v>45796</v>
      </c>
      <c r="H43" s="108"/>
      <c r="I43" s="135"/>
      <c r="J43" s="109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>
        <v>1950</v>
      </c>
      <c r="BN43" s="105">
        <v>4500</v>
      </c>
      <c r="BO43" s="105">
        <v>4500</v>
      </c>
      <c r="BP43" s="105">
        <v>4500</v>
      </c>
      <c r="BQ43" s="105">
        <v>4500</v>
      </c>
      <c r="BR43" s="105">
        <v>4500</v>
      </c>
      <c r="BS43" s="105">
        <v>5500</v>
      </c>
      <c r="BT43" s="105">
        <v>5500</v>
      </c>
      <c r="BU43" s="105">
        <v>5500</v>
      </c>
      <c r="BV43" s="105">
        <v>5500</v>
      </c>
      <c r="BW43" s="105">
        <v>5500</v>
      </c>
      <c r="BX43" s="134">
        <f>SUM(J43:BW43)</f>
        <v>51950</v>
      </c>
    </row>
    <row r="44" spans="1:77">
      <c r="A44" s="166">
        <v>43</v>
      </c>
      <c r="B44" s="150" t="s">
        <v>337</v>
      </c>
      <c r="C44" s="108" t="s">
        <v>318</v>
      </c>
      <c r="D44" s="108" t="s">
        <v>95</v>
      </c>
      <c r="E44" s="108" t="s">
        <v>96</v>
      </c>
      <c r="F44" s="108" t="s">
        <v>96</v>
      </c>
      <c r="G44" s="155">
        <v>44256</v>
      </c>
      <c r="H44" s="108"/>
      <c r="I44" s="135"/>
      <c r="J44" s="109"/>
      <c r="K44" s="105"/>
      <c r="L44" s="105">
        <v>1500</v>
      </c>
      <c r="M44" s="105">
        <v>700</v>
      </c>
      <c r="N44" s="105">
        <v>700</v>
      </c>
      <c r="O44" s="105">
        <v>1000</v>
      </c>
      <c r="P44" s="105">
        <v>1000</v>
      </c>
      <c r="Q44" s="105">
        <v>1600</v>
      </c>
      <c r="R44" s="105">
        <v>1000</v>
      </c>
      <c r="S44" s="105">
        <v>1300</v>
      </c>
      <c r="T44" s="105">
        <v>1000</v>
      </c>
      <c r="U44" s="105">
        <v>1000</v>
      </c>
      <c r="V44" s="105">
        <v>1000</v>
      </c>
      <c r="W44" s="105">
        <v>1000</v>
      </c>
      <c r="X44" s="105">
        <v>1000</v>
      </c>
      <c r="Y44" s="105">
        <v>1000</v>
      </c>
      <c r="Z44" s="105">
        <v>1000</v>
      </c>
      <c r="AA44" s="105">
        <v>1000</v>
      </c>
      <c r="AB44" s="105">
        <v>1000</v>
      </c>
      <c r="AC44" s="105">
        <v>1000</v>
      </c>
      <c r="AD44" s="105">
        <v>1000</v>
      </c>
      <c r="AE44" s="105">
        <v>1000</v>
      </c>
      <c r="AF44" s="105">
        <v>1000</v>
      </c>
      <c r="AG44" s="105">
        <v>1000</v>
      </c>
      <c r="AH44" s="105">
        <v>1000</v>
      </c>
      <c r="AI44" s="105">
        <v>1000</v>
      </c>
      <c r="AJ44" s="105">
        <v>1000</v>
      </c>
      <c r="AK44" s="105">
        <v>1000</v>
      </c>
      <c r="AL44" s="105">
        <v>1000</v>
      </c>
      <c r="AM44" s="105">
        <v>1000</v>
      </c>
      <c r="AN44" s="105">
        <v>1000</v>
      </c>
      <c r="AO44" s="105">
        <v>1000</v>
      </c>
      <c r="AP44" s="105">
        <v>1000</v>
      </c>
      <c r="AQ44" s="105">
        <v>1000</v>
      </c>
      <c r="AR44" s="105">
        <v>1000</v>
      </c>
      <c r="AS44" s="105">
        <v>1000</v>
      </c>
      <c r="AT44" s="105">
        <v>1000</v>
      </c>
      <c r="AU44" s="105">
        <v>1000</v>
      </c>
      <c r="AV44" s="105">
        <v>1000</v>
      </c>
      <c r="AW44" s="105">
        <v>1000</v>
      </c>
      <c r="AX44" s="105">
        <v>1000</v>
      </c>
      <c r="AY44" s="105">
        <v>1000</v>
      </c>
      <c r="AZ44" s="105">
        <v>1000</v>
      </c>
      <c r="BA44" s="105">
        <v>1000</v>
      </c>
      <c r="BB44" s="105">
        <v>1000</v>
      </c>
      <c r="BC44" s="105">
        <v>1000</v>
      </c>
      <c r="BD44" s="105">
        <v>1000</v>
      </c>
      <c r="BE44" s="105">
        <v>1000</v>
      </c>
      <c r="BF44" s="105">
        <v>1000</v>
      </c>
      <c r="BG44" s="105">
        <v>1000</v>
      </c>
      <c r="BH44" s="105">
        <v>1000</v>
      </c>
      <c r="BI44" s="105">
        <v>1000</v>
      </c>
      <c r="BJ44" s="105">
        <v>1000</v>
      </c>
      <c r="BK44" s="105">
        <v>1000</v>
      </c>
      <c r="BL44" s="105">
        <v>1000</v>
      </c>
      <c r="BM44" s="105"/>
      <c r="BN44" s="105"/>
      <c r="BO44" s="105"/>
      <c r="BP44" s="105"/>
      <c r="BQ44" s="105"/>
      <c r="BR44" s="105"/>
      <c r="BS44" s="105"/>
      <c r="BT44" s="105"/>
      <c r="BU44" s="105"/>
      <c r="BV44" s="105"/>
      <c r="BW44" s="105"/>
      <c r="BX44" s="134">
        <f>SUM(J44:BU44)</f>
        <v>53800</v>
      </c>
    </row>
    <row r="45" spans="1:77">
      <c r="A45" s="166">
        <v>44</v>
      </c>
      <c r="B45" s="150" t="s">
        <v>211</v>
      </c>
      <c r="C45" s="108" t="s">
        <v>318</v>
      </c>
      <c r="D45" s="108" t="s">
        <v>121</v>
      </c>
      <c r="E45" s="108" t="s">
        <v>212</v>
      </c>
      <c r="F45" s="108" t="s">
        <v>212</v>
      </c>
      <c r="G45" s="155">
        <v>45625</v>
      </c>
      <c r="H45" s="155">
        <v>38480</v>
      </c>
      <c r="I45" s="135"/>
      <c r="J45" s="109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>
        <v>200</v>
      </c>
      <c r="BH45" s="105">
        <v>3000</v>
      </c>
      <c r="BI45" s="105">
        <v>4000</v>
      </c>
      <c r="BJ45" s="105">
        <v>4000</v>
      </c>
      <c r="BK45" s="105">
        <v>4000</v>
      </c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34">
        <f>SUM(J45:BU45)</f>
        <v>15200</v>
      </c>
    </row>
    <row r="46" spans="1:77">
      <c r="A46" s="166">
        <v>45</v>
      </c>
      <c r="B46" s="150" t="s">
        <v>338</v>
      </c>
      <c r="C46" s="133" t="s">
        <v>318</v>
      </c>
      <c r="D46" s="108" t="s">
        <v>99</v>
      </c>
      <c r="E46" s="108" t="s">
        <v>100</v>
      </c>
      <c r="F46" s="108" t="s">
        <v>101</v>
      </c>
      <c r="G46" s="155">
        <v>45059</v>
      </c>
      <c r="H46" s="133"/>
      <c r="I46" s="138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>
        <f>80+777.15</f>
        <v>857.15</v>
      </c>
      <c r="AM46" s="105">
        <v>1500</v>
      </c>
      <c r="AN46" s="105">
        <v>1500</v>
      </c>
      <c r="AO46" s="105">
        <v>1706.45</v>
      </c>
      <c r="AP46" s="105">
        <v>2000</v>
      </c>
      <c r="AQ46" s="105">
        <v>2000</v>
      </c>
      <c r="AR46" s="105">
        <v>2000</v>
      </c>
      <c r="AS46" s="105">
        <v>2000</v>
      </c>
      <c r="AT46" s="105">
        <v>2000</v>
      </c>
      <c r="AU46" s="105">
        <v>2000</v>
      </c>
      <c r="AV46" s="105">
        <v>2000</v>
      </c>
      <c r="AW46" s="105">
        <v>2000</v>
      </c>
      <c r="AX46" s="105">
        <v>2000</v>
      </c>
      <c r="AY46" s="105">
        <v>2000</v>
      </c>
      <c r="AZ46" s="105">
        <f>2000+1000</f>
        <v>3000</v>
      </c>
      <c r="BA46" s="105">
        <v>2500</v>
      </c>
      <c r="BB46" s="105">
        <v>2500</v>
      </c>
      <c r="BC46" s="105">
        <f>2500+2500</f>
        <v>5000</v>
      </c>
      <c r="BD46" s="105">
        <v>3000</v>
      </c>
      <c r="BE46" s="105">
        <v>3500</v>
      </c>
      <c r="BF46" s="105">
        <v>3500</v>
      </c>
      <c r="BG46" s="105">
        <f>4000+2000</f>
        <v>6000</v>
      </c>
      <c r="BH46" s="105">
        <v>4000</v>
      </c>
      <c r="BI46" s="105">
        <v>4000</v>
      </c>
      <c r="BJ46" s="105">
        <v>4000</v>
      </c>
      <c r="BK46" s="105">
        <v>4000</v>
      </c>
      <c r="BL46" s="105">
        <v>4000</v>
      </c>
      <c r="BM46" s="105">
        <v>4500</v>
      </c>
      <c r="BN46" s="105">
        <v>4500</v>
      </c>
      <c r="BO46" s="172">
        <v>4500</v>
      </c>
      <c r="BP46" s="105">
        <v>4500</v>
      </c>
      <c r="BQ46" s="105">
        <v>4500</v>
      </c>
      <c r="BR46" s="105">
        <v>4500</v>
      </c>
      <c r="BS46" s="105"/>
      <c r="BT46" s="105"/>
      <c r="BU46" s="105"/>
      <c r="BV46" s="105"/>
      <c r="BW46" s="105"/>
      <c r="BX46" s="134">
        <f>SUM(J46:BU46)</f>
        <v>101563.6</v>
      </c>
    </row>
    <row r="47" spans="1:77">
      <c r="A47" s="166">
        <v>46</v>
      </c>
      <c r="B47" s="150" t="s">
        <v>168</v>
      </c>
      <c r="C47" s="133" t="s">
        <v>322</v>
      </c>
      <c r="D47" s="108" t="s">
        <v>89</v>
      </c>
      <c r="E47" s="108" t="s">
        <v>90</v>
      </c>
      <c r="F47" s="108" t="s">
        <v>90</v>
      </c>
      <c r="G47" s="155">
        <v>45691</v>
      </c>
      <c r="H47" s="133"/>
      <c r="I47" s="138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>
        <v>4421</v>
      </c>
      <c r="BK47" s="105">
        <v>4649</v>
      </c>
      <c r="BL47" s="105">
        <v>4350</v>
      </c>
      <c r="BM47" s="105">
        <v>4350</v>
      </c>
      <c r="BN47" s="105">
        <v>4350</v>
      </c>
      <c r="BO47" s="105">
        <v>4350</v>
      </c>
      <c r="BP47" s="105">
        <v>4350</v>
      </c>
      <c r="BQ47" s="105">
        <v>4350</v>
      </c>
      <c r="BR47" s="105">
        <v>4350</v>
      </c>
      <c r="BS47" s="105">
        <v>4182.42</v>
      </c>
      <c r="BT47" s="105">
        <v>3625.38</v>
      </c>
      <c r="BU47" s="105">
        <v>3143</v>
      </c>
      <c r="BV47" s="105">
        <v>5347.88</v>
      </c>
      <c r="BW47" s="105">
        <f>2550+1133.33+100</f>
        <v>3783.33</v>
      </c>
      <c r="BX47" s="134">
        <f>SUM(J47:BW47)</f>
        <v>59602.009999999995</v>
      </c>
    </row>
    <row r="48" spans="1:77">
      <c r="A48" s="166">
        <v>47</v>
      </c>
      <c r="B48" s="150" t="s">
        <v>58</v>
      </c>
      <c r="C48" s="108" t="s">
        <v>318</v>
      </c>
      <c r="D48" s="108" t="s">
        <v>339</v>
      </c>
      <c r="E48" s="108" t="s">
        <v>134</v>
      </c>
      <c r="F48" s="108" t="s">
        <v>134</v>
      </c>
      <c r="G48" s="108"/>
      <c r="H48" s="108"/>
      <c r="I48" s="135"/>
      <c r="J48" s="109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>
        <f>130*3</f>
        <v>390</v>
      </c>
      <c r="AJ48" s="105">
        <f>130+130</f>
        <v>260</v>
      </c>
      <c r="AK48" s="105">
        <f>150+150</f>
        <v>300</v>
      </c>
      <c r="AL48" s="105">
        <v>150</v>
      </c>
      <c r="AM48" s="105">
        <v>300</v>
      </c>
      <c r="AN48" s="105">
        <v>300</v>
      </c>
      <c r="AO48" s="105">
        <v>300</v>
      </c>
      <c r="AP48" s="105">
        <v>300</v>
      </c>
      <c r="AQ48" s="105">
        <v>300</v>
      </c>
      <c r="AR48" s="105">
        <v>300</v>
      </c>
      <c r="AS48" s="105">
        <v>300</v>
      </c>
      <c r="AT48" s="105">
        <v>300</v>
      </c>
      <c r="AU48" s="105">
        <v>300</v>
      </c>
      <c r="AV48" s="105">
        <v>300</v>
      </c>
      <c r="AW48" s="105">
        <v>300</v>
      </c>
      <c r="AX48" s="105">
        <v>300</v>
      </c>
      <c r="AY48" s="105">
        <v>300</v>
      </c>
      <c r="AZ48" s="105">
        <v>300</v>
      </c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34">
        <f>SUM(J48:BU48)</f>
        <v>5300</v>
      </c>
    </row>
    <row r="49" spans="1:78" s="202" customFormat="1">
      <c r="A49" s="205">
        <v>48</v>
      </c>
      <c r="B49" s="204" t="s">
        <v>54</v>
      </c>
      <c r="C49" s="204" t="s">
        <v>322</v>
      </c>
      <c r="D49" s="204" t="s">
        <v>89</v>
      </c>
      <c r="E49" s="204" t="s">
        <v>108</v>
      </c>
      <c r="F49" s="204" t="s">
        <v>108</v>
      </c>
      <c r="G49" s="206">
        <v>45078</v>
      </c>
      <c r="H49" s="204"/>
      <c r="I49" s="207"/>
      <c r="J49" s="203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>
        <v>277.19</v>
      </c>
      <c r="AF49" s="81"/>
      <c r="AG49" s="81"/>
      <c r="AH49" s="81">
        <v>5004.12</v>
      </c>
      <c r="AI49" s="81">
        <v>6603.42</v>
      </c>
      <c r="AJ49" s="81">
        <v>1000</v>
      </c>
      <c r="AK49" s="81">
        <v>1000</v>
      </c>
      <c r="AL49" s="81">
        <v>1000</v>
      </c>
      <c r="AM49" s="81">
        <v>1000</v>
      </c>
      <c r="AN49" s="81">
        <v>1000</v>
      </c>
      <c r="AO49" s="81">
        <v>1000</v>
      </c>
      <c r="AP49" s="81">
        <v>2000</v>
      </c>
      <c r="AQ49" s="81">
        <v>2000</v>
      </c>
      <c r="AR49" s="81">
        <v>2000</v>
      </c>
      <c r="AS49" s="81">
        <v>2000</v>
      </c>
      <c r="AT49" s="81">
        <v>2000</v>
      </c>
      <c r="AU49" s="81">
        <v>2000</v>
      </c>
      <c r="AV49" s="81">
        <v>2000</v>
      </c>
      <c r="AW49" s="81">
        <v>2000</v>
      </c>
      <c r="AX49" s="81">
        <v>2000</v>
      </c>
      <c r="AY49" s="81">
        <v>1000</v>
      </c>
      <c r="AZ49" s="81">
        <v>1000</v>
      </c>
      <c r="BA49" s="81">
        <v>4000</v>
      </c>
      <c r="BB49" s="81">
        <v>1808</v>
      </c>
      <c r="BC49" s="81">
        <v>1952</v>
      </c>
      <c r="BD49" s="81">
        <v>1952</v>
      </c>
      <c r="BE49" s="81">
        <v>2002</v>
      </c>
      <c r="BF49" s="81">
        <v>1952</v>
      </c>
      <c r="BG49" s="81">
        <v>1952</v>
      </c>
      <c r="BH49" s="81">
        <v>1952</v>
      </c>
      <c r="BI49" s="81">
        <v>1952</v>
      </c>
      <c r="BJ49" s="81">
        <v>1338</v>
      </c>
      <c r="BK49" s="203">
        <v>1500</v>
      </c>
      <c r="BL49" s="203">
        <v>1631.78</v>
      </c>
      <c r="BM49" s="203">
        <v>1509.5</v>
      </c>
      <c r="BN49" s="203">
        <v>2048.86</v>
      </c>
      <c r="BO49" s="203">
        <v>2048.86</v>
      </c>
      <c r="BP49" s="209">
        <v>2464</v>
      </c>
      <c r="BQ49" s="209">
        <v>2631.41</v>
      </c>
      <c r="BR49" s="209">
        <v>2465.5</v>
      </c>
      <c r="BS49" s="81">
        <v>2857.5</v>
      </c>
      <c r="BT49" s="81">
        <v>2799.36</v>
      </c>
      <c r="BU49" s="81">
        <v>2780</v>
      </c>
      <c r="BV49" s="81">
        <v>2780</v>
      </c>
      <c r="BW49" s="81"/>
      <c r="BX49" s="208">
        <f>SUM(J49:BW49)</f>
        <v>86261.5</v>
      </c>
    </row>
    <row r="50" spans="1:78">
      <c r="A50" s="166">
        <v>49</v>
      </c>
      <c r="B50" s="150" t="s">
        <v>198</v>
      </c>
      <c r="C50" s="108" t="s">
        <v>322</v>
      </c>
      <c r="D50" s="108" t="s">
        <v>99</v>
      </c>
      <c r="E50" s="108" t="s">
        <v>100</v>
      </c>
      <c r="F50" s="108" t="s">
        <v>340</v>
      </c>
      <c r="G50" s="155">
        <v>45740</v>
      </c>
      <c r="H50" s="108"/>
      <c r="I50" s="135"/>
      <c r="J50" s="109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>
        <v>2000</v>
      </c>
      <c r="BM50" s="105">
        <v>2500</v>
      </c>
      <c r="BN50" s="105">
        <v>2500</v>
      </c>
      <c r="BO50" s="105">
        <v>2500</v>
      </c>
      <c r="BP50" s="105">
        <v>2500</v>
      </c>
      <c r="BQ50" s="105">
        <v>2500</v>
      </c>
      <c r="BR50" s="105">
        <v>2500</v>
      </c>
      <c r="BS50" s="105">
        <v>4000</v>
      </c>
      <c r="BT50" s="105">
        <v>4000</v>
      </c>
      <c r="BU50" s="105">
        <v>4000</v>
      </c>
      <c r="BV50" s="105">
        <v>4000</v>
      </c>
      <c r="BW50" s="105">
        <v>4000</v>
      </c>
      <c r="BX50" s="134">
        <f>SUM(J50:BW50)</f>
        <v>37000</v>
      </c>
    </row>
    <row r="51" spans="1:78">
      <c r="A51" s="166">
        <v>50</v>
      </c>
      <c r="B51" s="150" t="s">
        <v>56</v>
      </c>
      <c r="C51" s="108" t="s">
        <v>322</v>
      </c>
      <c r="D51" s="108" t="s">
        <v>89</v>
      </c>
      <c r="E51" s="108" t="s">
        <v>90</v>
      </c>
      <c r="F51" s="108" t="s">
        <v>90</v>
      </c>
      <c r="G51" s="155">
        <v>45028</v>
      </c>
      <c r="H51" s="108"/>
      <c r="I51" s="135"/>
      <c r="J51" s="109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>
        <f>2707.5+760.98</f>
        <v>3468.48</v>
      </c>
      <c r="AO51" s="105">
        <v>4275</v>
      </c>
      <c r="AP51" s="105">
        <v>4275</v>
      </c>
      <c r="AQ51" s="105">
        <v>4275</v>
      </c>
      <c r="AR51" s="105">
        <v>4275</v>
      </c>
      <c r="AS51" s="105">
        <v>4275</v>
      </c>
      <c r="AT51" s="105">
        <v>4275</v>
      </c>
      <c r="AU51" s="105">
        <f>43.35+4275</f>
        <v>4318.3500000000004</v>
      </c>
      <c r="AV51" s="105">
        <v>4347.25</v>
      </c>
      <c r="AW51" s="105">
        <v>4347.25</v>
      </c>
      <c r="AX51" s="105">
        <f>3875.53+819.88+471.72</f>
        <v>5167.13</v>
      </c>
      <c r="AY51" s="105">
        <v>4347.25</v>
      </c>
      <c r="AZ51" s="105">
        <v>4347.25</v>
      </c>
      <c r="BA51" s="105">
        <v>4347.25</v>
      </c>
      <c r="BB51" s="105">
        <v>5638.78</v>
      </c>
      <c r="BC51" s="105">
        <f>4347.25+1000+100+769.5</f>
        <v>6216.75</v>
      </c>
      <c r="BD51" s="105">
        <v>5286.93</v>
      </c>
      <c r="BE51" s="105">
        <f>4347.25+1000</f>
        <v>5347.25</v>
      </c>
      <c r="BF51" s="105">
        <v>5154.13</v>
      </c>
      <c r="BG51" s="105">
        <v>3188.7</v>
      </c>
      <c r="BH51" s="105">
        <v>4679.3</v>
      </c>
      <c r="BI51" s="105">
        <v>2335</v>
      </c>
      <c r="BJ51" s="105">
        <v>2525</v>
      </c>
      <c r="BK51" s="105">
        <v>2285</v>
      </c>
      <c r="BL51" s="105">
        <v>4416</v>
      </c>
      <c r="BM51" s="105">
        <v>6436</v>
      </c>
      <c r="BN51" s="105">
        <v>6436</v>
      </c>
      <c r="BO51" s="105">
        <v>1792</v>
      </c>
      <c r="BP51" s="105">
        <v>6250</v>
      </c>
      <c r="BQ51" s="105">
        <v>6765.2</v>
      </c>
      <c r="BR51" s="105">
        <v>3113</v>
      </c>
      <c r="BS51" s="105">
        <v>5450</v>
      </c>
      <c r="BT51" s="105">
        <v>5700</v>
      </c>
      <c r="BU51" s="105">
        <v>5773.88</v>
      </c>
      <c r="BV51" s="105">
        <v>6071.13</v>
      </c>
      <c r="BW51" s="105">
        <v>3407.5</v>
      </c>
      <c r="BX51" s="134">
        <f>SUM(J51:BW51)</f>
        <v>164607.76000000004</v>
      </c>
    </row>
    <row r="52" spans="1:78">
      <c r="A52" s="166">
        <v>51</v>
      </c>
      <c r="B52" s="150" t="s">
        <v>229</v>
      </c>
      <c r="C52" s="108" t="s">
        <v>318</v>
      </c>
      <c r="D52" s="108" t="s">
        <v>89</v>
      </c>
      <c r="E52" s="108" t="s">
        <v>90</v>
      </c>
      <c r="F52" s="108" t="s">
        <v>90</v>
      </c>
      <c r="G52" s="155">
        <v>45566</v>
      </c>
      <c r="H52" s="108"/>
      <c r="I52" s="135"/>
      <c r="J52" s="109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>
        <v>4250</v>
      </c>
      <c r="BG52" s="105">
        <v>3250.51</v>
      </c>
      <c r="BH52" s="105">
        <v>0</v>
      </c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34">
        <f>SUM(J52:BU52)</f>
        <v>7500.51</v>
      </c>
    </row>
    <row r="53" spans="1:78">
      <c r="A53" s="166">
        <v>52</v>
      </c>
      <c r="B53" s="150" t="s">
        <v>141</v>
      </c>
      <c r="C53" s="108" t="s">
        <v>320</v>
      </c>
      <c r="D53" s="108" t="s">
        <v>89</v>
      </c>
      <c r="E53" s="108" t="s">
        <v>111</v>
      </c>
      <c r="F53" s="108" t="s">
        <v>124</v>
      </c>
      <c r="G53" s="155">
        <v>45456</v>
      </c>
      <c r="H53" s="108"/>
      <c r="I53" s="135"/>
      <c r="J53" s="109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>
        <v>3300</v>
      </c>
      <c r="BC53" s="105">
        <v>5500</v>
      </c>
      <c r="BD53" s="105">
        <v>5500</v>
      </c>
      <c r="BE53" s="105">
        <v>5500</v>
      </c>
      <c r="BF53" s="105">
        <v>5500</v>
      </c>
      <c r="BG53" s="105">
        <v>7500</v>
      </c>
      <c r="BH53" s="105">
        <v>5500</v>
      </c>
      <c r="BI53" s="105">
        <v>5500</v>
      </c>
      <c r="BJ53" s="105">
        <v>5500</v>
      </c>
      <c r="BK53" s="105">
        <v>5500</v>
      </c>
      <c r="BL53" s="105">
        <v>5500</v>
      </c>
      <c r="BM53" s="105">
        <v>5500</v>
      </c>
      <c r="BN53" s="105">
        <v>5500</v>
      </c>
      <c r="BO53" s="105">
        <v>5500</v>
      </c>
      <c r="BP53" s="105">
        <v>5500</v>
      </c>
      <c r="BQ53" s="105">
        <v>5500</v>
      </c>
      <c r="BR53" s="105">
        <v>5500</v>
      </c>
      <c r="BS53" s="105">
        <v>5500</v>
      </c>
      <c r="BT53" s="105">
        <v>5500</v>
      </c>
      <c r="BU53" s="105">
        <v>5500</v>
      </c>
      <c r="BV53" s="105"/>
      <c r="BW53" s="105"/>
      <c r="BX53" s="134">
        <f>SUM(J53:BV53)</f>
        <v>109800</v>
      </c>
    </row>
    <row r="54" spans="1:78">
      <c r="A54" s="166">
        <v>53</v>
      </c>
      <c r="B54" s="150" t="s">
        <v>57</v>
      </c>
      <c r="C54" s="108" t="s">
        <v>318</v>
      </c>
      <c r="D54" s="108" t="s">
        <v>89</v>
      </c>
      <c r="E54" s="108" t="s">
        <v>124</v>
      </c>
      <c r="F54" s="108" t="s">
        <v>124</v>
      </c>
      <c r="G54" s="155">
        <v>44851</v>
      </c>
      <c r="H54" s="155">
        <v>45547</v>
      </c>
      <c r="I54" s="135"/>
      <c r="J54" s="109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>
        <f>483.87+1572.58</f>
        <v>2056.4499999999998</v>
      </c>
      <c r="AI54" s="105">
        <f>3250+1000</f>
        <v>4250</v>
      </c>
      <c r="AJ54" s="105">
        <v>4250</v>
      </c>
      <c r="AK54" s="105">
        <v>5750</v>
      </c>
      <c r="AL54" s="105">
        <v>6000</v>
      </c>
      <c r="AM54" s="105">
        <f>6000</f>
        <v>6000</v>
      </c>
      <c r="AN54" s="105">
        <v>6000</v>
      </c>
      <c r="AO54" s="105">
        <v>6000</v>
      </c>
      <c r="AP54" s="105">
        <v>6000</v>
      </c>
      <c r="AQ54" s="105">
        <v>6000</v>
      </c>
      <c r="AR54" s="105">
        <v>7000</v>
      </c>
      <c r="AS54" s="105">
        <v>7000</v>
      </c>
      <c r="AT54" s="105">
        <v>7000</v>
      </c>
      <c r="AU54" s="105">
        <v>7000</v>
      </c>
      <c r="AV54" s="105">
        <v>7000</v>
      </c>
      <c r="AW54" s="105">
        <v>7000</v>
      </c>
      <c r="AX54" s="105">
        <v>7000</v>
      </c>
      <c r="AY54" s="105">
        <v>7000</v>
      </c>
      <c r="AZ54" s="105">
        <v>7000</v>
      </c>
      <c r="BA54" s="105">
        <v>7000</v>
      </c>
      <c r="BB54" s="105">
        <v>7000</v>
      </c>
      <c r="BC54" s="105">
        <v>9543.41</v>
      </c>
      <c r="BD54" s="105">
        <v>8012.08</v>
      </c>
      <c r="BE54" s="105">
        <v>11044.08</v>
      </c>
      <c r="BF54" s="105">
        <v>5712</v>
      </c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34">
        <f t="shared" ref="BX54:BX60" si="2">SUM(J54:BU54)</f>
        <v>163618.01999999996</v>
      </c>
      <c r="BY54" s="126"/>
    </row>
    <row r="55" spans="1:78">
      <c r="A55" s="166">
        <v>54</v>
      </c>
      <c r="B55" s="150" t="s">
        <v>217</v>
      </c>
      <c r="C55" s="108" t="s">
        <v>318</v>
      </c>
      <c r="D55" s="108" t="s">
        <v>218</v>
      </c>
      <c r="E55" s="108" t="s">
        <v>218</v>
      </c>
      <c r="F55" s="108" t="s">
        <v>218</v>
      </c>
      <c r="G55" s="108"/>
      <c r="H55" s="108"/>
      <c r="I55" s="135"/>
      <c r="J55" s="109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>
        <v>2000</v>
      </c>
      <c r="AJ55" s="105">
        <v>2000</v>
      </c>
      <c r="AK55" s="105">
        <v>2000</v>
      </c>
      <c r="AL55" s="105">
        <v>3160.61</v>
      </c>
      <c r="AM55" s="105">
        <v>2000</v>
      </c>
      <c r="AN55" s="105">
        <v>0</v>
      </c>
      <c r="AO55" s="105">
        <v>0</v>
      </c>
      <c r="AP55" s="105">
        <v>0</v>
      </c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34">
        <f t="shared" si="2"/>
        <v>11160.61</v>
      </c>
    </row>
    <row r="56" spans="1:78">
      <c r="A56" s="166">
        <v>55</v>
      </c>
      <c r="B56" s="150" t="s">
        <v>221</v>
      </c>
      <c r="C56" s="108" t="s">
        <v>318</v>
      </c>
      <c r="D56" s="159" t="s">
        <v>89</v>
      </c>
      <c r="E56" s="108" t="s">
        <v>124</v>
      </c>
      <c r="F56" s="108" t="s">
        <v>124</v>
      </c>
      <c r="G56" s="155">
        <v>45597</v>
      </c>
      <c r="H56" s="168">
        <v>45730</v>
      </c>
      <c r="I56" s="135"/>
      <c r="J56" s="109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>
        <v>5000</v>
      </c>
      <c r="BH56" s="105">
        <v>5000</v>
      </c>
      <c r="BI56" s="105">
        <v>5000</v>
      </c>
      <c r="BJ56" s="105">
        <v>5000</v>
      </c>
      <c r="BK56" s="105">
        <v>2333.33</v>
      </c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34">
        <f t="shared" si="2"/>
        <v>22333.33</v>
      </c>
    </row>
    <row r="57" spans="1:78">
      <c r="A57" s="166">
        <v>56</v>
      </c>
      <c r="B57" s="150" t="s">
        <v>230</v>
      </c>
      <c r="C57" s="108" t="s">
        <v>318</v>
      </c>
      <c r="D57" s="159" t="s">
        <v>121</v>
      </c>
      <c r="E57" s="108" t="s">
        <v>231</v>
      </c>
      <c r="F57" s="108" t="s">
        <v>231</v>
      </c>
      <c r="G57" s="155">
        <v>45672</v>
      </c>
      <c r="H57" s="155">
        <v>45767</v>
      </c>
      <c r="I57" s="135"/>
      <c r="J57" s="109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>
        <v>1250</v>
      </c>
      <c r="BJ57" s="105">
        <v>2500</v>
      </c>
      <c r="BK57" s="105">
        <v>2500</v>
      </c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34">
        <f t="shared" si="2"/>
        <v>6250</v>
      </c>
    </row>
    <row r="58" spans="1:78">
      <c r="A58" s="166">
        <v>57</v>
      </c>
      <c r="B58" s="150" t="s">
        <v>341</v>
      </c>
      <c r="C58" s="108" t="s">
        <v>318</v>
      </c>
      <c r="D58" s="108" t="s">
        <v>89</v>
      </c>
      <c r="E58" s="108" t="s">
        <v>90</v>
      </c>
      <c r="F58" s="108" t="s">
        <v>90</v>
      </c>
      <c r="G58" s="155">
        <v>44586</v>
      </c>
      <c r="H58" s="155">
        <v>44986</v>
      </c>
      <c r="I58" s="135"/>
      <c r="J58" s="106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>
        <v>727.1</v>
      </c>
      <c r="Z58" s="105">
        <v>3220</v>
      </c>
      <c r="AA58" s="105">
        <v>3220</v>
      </c>
      <c r="AB58" s="105">
        <v>3220</v>
      </c>
      <c r="AC58" s="105">
        <v>4275</v>
      </c>
      <c r="AD58" s="105">
        <v>4275</v>
      </c>
      <c r="AE58" s="105">
        <v>4275</v>
      </c>
      <c r="AF58" s="105">
        <v>4275</v>
      </c>
      <c r="AG58" s="105">
        <v>4208.05</v>
      </c>
      <c r="AH58" s="105">
        <v>4275</v>
      </c>
      <c r="AI58" s="105">
        <v>4275</v>
      </c>
      <c r="AJ58" s="105">
        <v>4275</v>
      </c>
      <c r="AK58" s="105">
        <v>4275</v>
      </c>
      <c r="AL58" s="105"/>
      <c r="AM58" s="105">
        <v>0</v>
      </c>
      <c r="AN58" s="105">
        <v>0</v>
      </c>
      <c r="AO58" s="105">
        <v>0</v>
      </c>
      <c r="AP58" s="105">
        <v>0</v>
      </c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34">
        <f t="shared" si="2"/>
        <v>48795.149999999994</v>
      </c>
      <c r="BY58" s="118"/>
    </row>
    <row r="59" spans="1:78">
      <c r="A59" s="166">
        <v>58</v>
      </c>
      <c r="B59" s="150" t="s">
        <v>59</v>
      </c>
      <c r="C59" s="108" t="s">
        <v>318</v>
      </c>
      <c r="D59" s="108" t="s">
        <v>89</v>
      </c>
      <c r="E59" s="108" t="s">
        <v>90</v>
      </c>
      <c r="F59" s="108" t="s">
        <v>90</v>
      </c>
      <c r="G59" s="155">
        <v>44851</v>
      </c>
      <c r="H59" s="155">
        <v>45626</v>
      </c>
      <c r="I59" s="135"/>
      <c r="J59" s="106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>
        <f>483.87+1572.58</f>
        <v>2056.4499999999998</v>
      </c>
      <c r="AI59" s="105">
        <f>1000+3250</f>
        <v>4250</v>
      </c>
      <c r="AJ59" s="105">
        <v>4250</v>
      </c>
      <c r="AK59" s="105">
        <v>4250</v>
      </c>
      <c r="AL59" s="105">
        <v>4250</v>
      </c>
      <c r="AM59" s="105">
        <v>4250</v>
      </c>
      <c r="AN59" s="105">
        <v>4250</v>
      </c>
      <c r="AO59" s="105">
        <v>4250</v>
      </c>
      <c r="AP59" s="105">
        <v>4250</v>
      </c>
      <c r="AQ59" s="105">
        <v>4250</v>
      </c>
      <c r="AR59" s="105">
        <v>4250</v>
      </c>
      <c r="AS59" s="105">
        <v>4250</v>
      </c>
      <c r="AT59" s="105">
        <v>4250</v>
      </c>
      <c r="AU59" s="105">
        <v>4250</v>
      </c>
      <c r="AV59" s="105">
        <v>3217</v>
      </c>
      <c r="AW59" s="105">
        <v>4481.0600000000004</v>
      </c>
      <c r="AX59" s="105">
        <v>4481.0600000000004</v>
      </c>
      <c r="AY59" s="105">
        <v>4481.0600000000004</v>
      </c>
      <c r="AZ59" s="105">
        <v>4481.0600000000004</v>
      </c>
      <c r="BA59" s="105">
        <v>4481.0600000000004</v>
      </c>
      <c r="BB59" s="105">
        <f>4481.06+136.8</f>
        <v>4617.8600000000006</v>
      </c>
      <c r="BC59" s="105">
        <v>4797.66</v>
      </c>
      <c r="BD59" s="105">
        <v>4178.55</v>
      </c>
      <c r="BE59" s="105">
        <f>4481.06+100</f>
        <v>4581.0600000000004</v>
      </c>
      <c r="BF59" s="105">
        <v>4078.55</v>
      </c>
      <c r="BG59" s="105">
        <v>4078.55</v>
      </c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34">
        <f t="shared" si="2"/>
        <v>109260.98</v>
      </c>
      <c r="BY59" s="126"/>
      <c r="BZ59" s="120"/>
    </row>
    <row r="60" spans="1:78">
      <c r="A60" s="166">
        <v>59</v>
      </c>
      <c r="B60" s="150" t="s">
        <v>236</v>
      </c>
      <c r="C60" s="108" t="s">
        <v>318</v>
      </c>
      <c r="D60" s="108" t="s">
        <v>89</v>
      </c>
      <c r="E60" s="108" t="s">
        <v>90</v>
      </c>
      <c r="F60" s="108" t="s">
        <v>90</v>
      </c>
      <c r="G60" s="155">
        <v>45870</v>
      </c>
      <c r="H60" s="155"/>
      <c r="I60" s="135"/>
      <c r="J60" s="106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>
        <v>2225</v>
      </c>
      <c r="BQ60" s="105">
        <v>4250</v>
      </c>
      <c r="BR60" s="105">
        <v>4250</v>
      </c>
      <c r="BS60" s="105"/>
      <c r="BT60" s="105"/>
      <c r="BU60" s="105"/>
      <c r="BV60" s="105"/>
      <c r="BW60" s="105"/>
      <c r="BX60" s="134">
        <f t="shared" si="2"/>
        <v>10725</v>
      </c>
      <c r="BY60" s="126"/>
      <c r="BZ60" s="120"/>
    </row>
    <row r="61" spans="1:78">
      <c r="A61" s="166">
        <v>60</v>
      </c>
      <c r="B61" s="150" t="s">
        <v>193</v>
      </c>
      <c r="C61" s="108" t="s">
        <v>322</v>
      </c>
      <c r="D61" s="108" t="s">
        <v>99</v>
      </c>
      <c r="E61" s="108" t="s">
        <v>194</v>
      </c>
      <c r="F61" s="108" t="s">
        <v>194</v>
      </c>
      <c r="G61" s="155">
        <v>45382</v>
      </c>
      <c r="H61" s="155"/>
      <c r="I61" s="135"/>
      <c r="J61" s="106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>
        <v>3616.67</v>
      </c>
      <c r="BM61" s="105">
        <v>3500</v>
      </c>
      <c r="BN61" s="105">
        <v>3500</v>
      </c>
      <c r="BO61" s="105">
        <v>3500</v>
      </c>
      <c r="BP61" s="105">
        <v>3500</v>
      </c>
      <c r="BQ61" s="105">
        <v>3500</v>
      </c>
      <c r="BR61" s="105">
        <v>3500</v>
      </c>
      <c r="BS61" s="105">
        <v>3500</v>
      </c>
      <c r="BT61" s="105">
        <v>3500</v>
      </c>
      <c r="BU61" s="105">
        <v>3500</v>
      </c>
      <c r="BV61" s="105">
        <v>3500</v>
      </c>
      <c r="BW61" s="105">
        <v>3500</v>
      </c>
      <c r="BX61" s="134">
        <f>SUM(J61:BW61)</f>
        <v>42116.67</v>
      </c>
      <c r="BY61" s="126"/>
      <c r="BZ61" s="120"/>
    </row>
    <row r="62" spans="1:78">
      <c r="A62" s="166">
        <v>61</v>
      </c>
      <c r="B62" s="150" t="s">
        <v>342</v>
      </c>
      <c r="C62" s="108" t="s">
        <v>322</v>
      </c>
      <c r="D62" s="108" t="s">
        <v>99</v>
      </c>
      <c r="E62" s="108" t="s">
        <v>100</v>
      </c>
      <c r="F62" s="108" t="s">
        <v>154</v>
      </c>
      <c r="G62" s="155">
        <v>45566</v>
      </c>
      <c r="H62" s="108"/>
      <c r="I62" s="135"/>
      <c r="J62" s="106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>
        <v>2500</v>
      </c>
      <c r="BG62" s="105">
        <v>2500</v>
      </c>
      <c r="BH62" s="105">
        <v>2500</v>
      </c>
      <c r="BI62" s="105">
        <v>4500</v>
      </c>
      <c r="BJ62" s="105">
        <v>4500</v>
      </c>
      <c r="BK62" s="105">
        <v>4500</v>
      </c>
      <c r="BL62" s="105">
        <v>3500</v>
      </c>
      <c r="BM62" s="105">
        <v>3500</v>
      </c>
      <c r="BN62" s="105">
        <v>3500</v>
      </c>
      <c r="BO62" s="105">
        <v>3500</v>
      </c>
      <c r="BP62" s="105">
        <v>3500</v>
      </c>
      <c r="BQ62" s="105">
        <v>3500</v>
      </c>
      <c r="BR62" s="105">
        <v>4500</v>
      </c>
      <c r="BS62" s="105">
        <v>4500</v>
      </c>
      <c r="BT62" s="105">
        <v>4500</v>
      </c>
      <c r="BU62" s="105">
        <v>4500</v>
      </c>
      <c r="BV62" s="105">
        <v>4500</v>
      </c>
      <c r="BW62" s="105">
        <v>4500</v>
      </c>
      <c r="BX62" s="134">
        <f>SUM(J62:BW62)</f>
        <v>69000</v>
      </c>
      <c r="BY62" s="126"/>
      <c r="BZ62" s="120"/>
    </row>
    <row r="63" spans="1:78">
      <c r="A63" s="166">
        <v>62</v>
      </c>
      <c r="B63" s="150" t="s">
        <v>245</v>
      </c>
      <c r="C63" s="108" t="s">
        <v>318</v>
      </c>
      <c r="D63" s="108" t="s">
        <v>89</v>
      </c>
      <c r="E63" s="108" t="s">
        <v>343</v>
      </c>
      <c r="F63" s="108" t="s">
        <v>343</v>
      </c>
      <c r="G63" s="155">
        <v>45901</v>
      </c>
      <c r="H63" s="155">
        <v>45950</v>
      </c>
      <c r="I63" s="135"/>
      <c r="J63" s="106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>
        <v>3000</v>
      </c>
      <c r="BR63" s="105"/>
      <c r="BS63" s="105"/>
      <c r="BT63" s="105"/>
      <c r="BU63" s="105"/>
      <c r="BV63" s="105"/>
      <c r="BW63" s="105"/>
      <c r="BX63" s="134">
        <f>SUM(J63:BU63)</f>
        <v>3000</v>
      </c>
      <c r="BY63" s="126"/>
      <c r="BZ63" s="120"/>
    </row>
    <row r="64" spans="1:78">
      <c r="A64" s="166">
        <v>63</v>
      </c>
      <c r="B64" s="150" t="s">
        <v>273</v>
      </c>
      <c r="C64" s="108" t="s">
        <v>322</v>
      </c>
      <c r="D64" s="108" t="s">
        <v>89</v>
      </c>
      <c r="E64" s="108" t="s">
        <v>90</v>
      </c>
      <c r="F64" s="108" t="s">
        <v>90</v>
      </c>
      <c r="G64" s="155">
        <v>45950</v>
      </c>
      <c r="H64" s="108"/>
      <c r="I64" s="135"/>
      <c r="J64" s="109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>
        <v>2100</v>
      </c>
      <c r="BS64" s="105">
        <v>4903.75</v>
      </c>
      <c r="BT64" s="105">
        <v>5350</v>
      </c>
      <c r="BU64" s="105">
        <v>5142.5</v>
      </c>
      <c r="BV64" s="105">
        <v>5637.5</v>
      </c>
      <c r="BW64" s="105">
        <f>4470.88+750+100</f>
        <v>5320.88</v>
      </c>
      <c r="BX64" s="134">
        <f>SUM(J64:BW64)</f>
        <v>28454.63</v>
      </c>
    </row>
    <row r="65" spans="1:76">
      <c r="A65" s="166">
        <v>64</v>
      </c>
      <c r="B65" s="150" t="s">
        <v>274</v>
      </c>
      <c r="C65" s="108" t="s">
        <v>322</v>
      </c>
      <c r="D65" s="108" t="s">
        <v>89</v>
      </c>
      <c r="E65" s="108" t="s">
        <v>90</v>
      </c>
      <c r="F65" s="108" t="s">
        <v>111</v>
      </c>
      <c r="G65" s="155">
        <v>45940</v>
      </c>
      <c r="H65" s="108"/>
      <c r="I65" s="135"/>
      <c r="J65" s="109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>
        <v>3850</v>
      </c>
      <c r="BS65" s="105">
        <v>5350</v>
      </c>
      <c r="BT65" s="105">
        <v>5714.8</v>
      </c>
      <c r="BU65" s="105">
        <v>4957.5</v>
      </c>
      <c r="BV65" s="105">
        <v>5053.25</v>
      </c>
      <c r="BW65" s="105">
        <f>4500+900+500</f>
        <v>5900</v>
      </c>
      <c r="BX65" s="134">
        <f>SUM(J65:BW65)</f>
        <v>30825.55</v>
      </c>
    </row>
    <row r="66" spans="1:76">
      <c r="A66" s="166">
        <v>65</v>
      </c>
      <c r="B66" s="150" t="s">
        <v>275</v>
      </c>
      <c r="C66" s="108" t="s">
        <v>322</v>
      </c>
      <c r="D66" s="108" t="s">
        <v>89</v>
      </c>
      <c r="E66" s="108" t="s">
        <v>90</v>
      </c>
      <c r="F66" s="108" t="s">
        <v>90</v>
      </c>
      <c r="G66" s="155">
        <v>45957</v>
      </c>
      <c r="H66" s="108"/>
      <c r="I66" s="135"/>
      <c r="J66" s="109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105">
        <v>602</v>
      </c>
      <c r="BS66" s="105">
        <v>4489.75</v>
      </c>
      <c r="BT66" s="105">
        <v>5350</v>
      </c>
      <c r="BU66" s="105">
        <v>3449</v>
      </c>
      <c r="BV66" s="105">
        <v>5068.13</v>
      </c>
      <c r="BW66" s="105">
        <f>3888.75+750+100</f>
        <v>4738.75</v>
      </c>
      <c r="BX66" s="134">
        <f>SUM(J66:BW66)</f>
        <v>23697.63</v>
      </c>
    </row>
    <row r="67" spans="1:76">
      <c r="A67" s="166">
        <v>66</v>
      </c>
      <c r="B67" s="150" t="s">
        <v>276</v>
      </c>
      <c r="C67" s="108" t="s">
        <v>320</v>
      </c>
      <c r="D67" s="108" t="s">
        <v>89</v>
      </c>
      <c r="E67" s="108" t="s">
        <v>277</v>
      </c>
      <c r="F67" s="108" t="s">
        <v>277</v>
      </c>
      <c r="G67" s="155">
        <v>45943</v>
      </c>
      <c r="H67" s="108"/>
      <c r="I67" s="135"/>
      <c r="J67" s="109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>
        <v>5000</v>
      </c>
      <c r="BS67" s="105"/>
      <c r="BT67" s="105"/>
      <c r="BU67" s="105"/>
      <c r="BV67" s="105"/>
      <c r="BW67" s="105"/>
      <c r="BX67" s="134">
        <f>SUM(J67:BU67)</f>
        <v>5000</v>
      </c>
    </row>
    <row r="68" spans="1:76">
      <c r="A68" s="166">
        <v>67</v>
      </c>
      <c r="B68" s="150" t="s">
        <v>297</v>
      </c>
      <c r="C68" s="108" t="s">
        <v>322</v>
      </c>
      <c r="D68" s="108" t="s">
        <v>218</v>
      </c>
      <c r="E68" s="108" t="s">
        <v>218</v>
      </c>
      <c r="F68" s="108" t="s">
        <v>218</v>
      </c>
      <c r="G68" s="155">
        <v>46055</v>
      </c>
      <c r="H68" s="108"/>
      <c r="I68" s="135"/>
      <c r="J68" s="109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>
        <v>4000</v>
      </c>
      <c r="BW68" s="105">
        <v>4000</v>
      </c>
      <c r="BX68" s="134">
        <f t="shared" ref="BX68:BX75" si="3">SUM(J68:BW68)</f>
        <v>8000</v>
      </c>
    </row>
    <row r="69" spans="1:76">
      <c r="A69" s="166">
        <v>68</v>
      </c>
      <c r="B69" s="150" t="s">
        <v>298</v>
      </c>
      <c r="C69" s="108" t="s">
        <v>322</v>
      </c>
      <c r="D69" s="108" t="s">
        <v>218</v>
      </c>
      <c r="E69" s="108" t="s">
        <v>218</v>
      </c>
      <c r="F69" s="108" t="s">
        <v>218</v>
      </c>
      <c r="G69" s="155">
        <v>46055</v>
      </c>
      <c r="H69" s="108"/>
      <c r="I69" s="135"/>
      <c r="J69" s="109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>
        <v>4000</v>
      </c>
      <c r="BW69" s="105">
        <v>4000</v>
      </c>
      <c r="BX69" s="134">
        <f t="shared" si="3"/>
        <v>8000</v>
      </c>
    </row>
    <row r="70" spans="1:76">
      <c r="A70" s="166">
        <v>69</v>
      </c>
      <c r="B70" s="150" t="s">
        <v>299</v>
      </c>
      <c r="C70" s="108" t="s">
        <v>322</v>
      </c>
      <c r="D70" s="108" t="s">
        <v>121</v>
      </c>
      <c r="E70" s="108" t="s">
        <v>300</v>
      </c>
      <c r="F70" s="108" t="s">
        <v>300</v>
      </c>
      <c r="G70" s="155">
        <v>46055</v>
      </c>
      <c r="H70" s="108"/>
      <c r="I70" s="135"/>
      <c r="J70" s="109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  <c r="BT70" s="105"/>
      <c r="BU70" s="105">
        <v>2500</v>
      </c>
      <c r="BV70" s="105">
        <v>2500</v>
      </c>
      <c r="BW70" s="105">
        <v>2500</v>
      </c>
      <c r="BX70" s="134">
        <f t="shared" si="3"/>
        <v>7500</v>
      </c>
    </row>
    <row r="71" spans="1:76">
      <c r="A71" s="166">
        <v>70</v>
      </c>
      <c r="B71" s="150" t="s">
        <v>301</v>
      </c>
      <c r="C71" s="108" t="s">
        <v>322</v>
      </c>
      <c r="D71" s="108" t="s">
        <v>89</v>
      </c>
      <c r="E71" s="108" t="s">
        <v>105</v>
      </c>
      <c r="F71" s="108" t="s">
        <v>105</v>
      </c>
      <c r="G71" s="155">
        <v>46049</v>
      </c>
      <c r="H71" s="108"/>
      <c r="I71" s="135"/>
      <c r="J71" s="109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>
        <v>6350</v>
      </c>
      <c r="BW71" s="105">
        <v>6350</v>
      </c>
      <c r="BX71" s="134">
        <f t="shared" si="3"/>
        <v>12700</v>
      </c>
    </row>
    <row r="72" spans="1:76">
      <c r="A72" s="166">
        <v>71</v>
      </c>
      <c r="B72" s="150" t="s">
        <v>282</v>
      </c>
      <c r="C72" s="108" t="s">
        <v>322</v>
      </c>
      <c r="D72" s="108" t="s">
        <v>89</v>
      </c>
      <c r="E72" s="108" t="s">
        <v>90</v>
      </c>
      <c r="F72" s="108" t="s">
        <v>90</v>
      </c>
      <c r="G72" s="155">
        <v>45964</v>
      </c>
      <c r="H72" s="108"/>
      <c r="I72" s="135"/>
      <c r="J72" s="109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>
        <v>5350</v>
      </c>
      <c r="BU72" s="105">
        <v>5350</v>
      </c>
      <c r="BV72" s="105">
        <v>5350</v>
      </c>
      <c r="BW72" s="105">
        <v>5350</v>
      </c>
      <c r="BX72" s="134">
        <f t="shared" si="3"/>
        <v>21400</v>
      </c>
    </row>
    <row r="73" spans="1:76">
      <c r="A73" s="166">
        <v>72</v>
      </c>
      <c r="B73" s="150" t="s">
        <v>283</v>
      </c>
      <c r="C73" s="108" t="s">
        <v>322</v>
      </c>
      <c r="D73" s="108" t="s">
        <v>89</v>
      </c>
      <c r="E73" s="108" t="s">
        <v>90</v>
      </c>
      <c r="F73" s="108" t="s">
        <v>90</v>
      </c>
      <c r="G73" s="155">
        <v>45931</v>
      </c>
      <c r="H73" s="108"/>
      <c r="I73" s="135"/>
      <c r="J73" s="109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>
        <v>5350</v>
      </c>
      <c r="BV73" s="105">
        <v>5000.13</v>
      </c>
      <c r="BW73" s="105">
        <f>4228.75+100+750</f>
        <v>5078.75</v>
      </c>
      <c r="BX73" s="134">
        <f t="shared" si="3"/>
        <v>15428.880000000001</v>
      </c>
    </row>
    <row r="74" spans="1:76">
      <c r="A74" s="166">
        <v>73</v>
      </c>
      <c r="B74" s="150" t="s">
        <v>284</v>
      </c>
      <c r="C74" s="108" t="s">
        <v>322</v>
      </c>
      <c r="D74" s="108" t="s">
        <v>99</v>
      </c>
      <c r="E74" s="108" t="s">
        <v>194</v>
      </c>
      <c r="F74" s="108" t="s">
        <v>194</v>
      </c>
      <c r="G74" s="155">
        <v>45901</v>
      </c>
      <c r="H74" s="108"/>
      <c r="I74" s="135"/>
      <c r="J74" s="109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105">
        <v>2500</v>
      </c>
      <c r="BS74" s="105">
        <v>2500</v>
      </c>
      <c r="BT74" s="105">
        <v>2500</v>
      </c>
      <c r="BU74" s="105">
        <v>2750</v>
      </c>
      <c r="BV74" s="105">
        <v>2500</v>
      </c>
      <c r="BW74" s="105">
        <v>3000</v>
      </c>
      <c r="BX74" s="134">
        <f t="shared" si="3"/>
        <v>15750</v>
      </c>
    </row>
    <row r="75" spans="1:76">
      <c r="A75" s="166">
        <v>74</v>
      </c>
      <c r="B75" s="150" t="s">
        <v>285</v>
      </c>
      <c r="C75" s="108" t="s">
        <v>322</v>
      </c>
      <c r="D75" s="108" t="s">
        <v>89</v>
      </c>
      <c r="E75" s="108" t="s">
        <v>90</v>
      </c>
      <c r="F75" s="108" t="s">
        <v>90</v>
      </c>
      <c r="G75" s="155">
        <v>45938</v>
      </c>
      <c r="H75" s="108"/>
      <c r="I75" s="135"/>
      <c r="J75" s="109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>
        <v>5350</v>
      </c>
      <c r="BT75" s="105">
        <v>5350</v>
      </c>
      <c r="BU75" s="105">
        <v>5350</v>
      </c>
      <c r="BV75" s="105">
        <v>5350</v>
      </c>
      <c r="BW75" s="105">
        <f>4201.13+100+460.8+750</f>
        <v>5511.93</v>
      </c>
      <c r="BX75" s="134">
        <f t="shared" si="3"/>
        <v>26911.93</v>
      </c>
    </row>
    <row r="76" spans="1:76">
      <c r="A76" s="166">
        <v>75</v>
      </c>
      <c r="B76" s="150" t="s">
        <v>302</v>
      </c>
      <c r="C76" s="108" t="s">
        <v>322</v>
      </c>
      <c r="D76" s="108" t="s">
        <v>89</v>
      </c>
      <c r="E76" s="108" t="s">
        <v>90</v>
      </c>
      <c r="F76" s="108" t="s">
        <v>90</v>
      </c>
      <c r="G76" s="155">
        <v>46071</v>
      </c>
      <c r="H76" s="108"/>
      <c r="I76" s="135"/>
      <c r="J76" s="109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>
        <v>1964.28</v>
      </c>
      <c r="BW76" s="105">
        <v>5000</v>
      </c>
      <c r="BX76" s="134">
        <f t="shared" ref="BX76:BX78" si="4">SUM(J76:BW76)</f>
        <v>6964.28</v>
      </c>
    </row>
    <row r="77" spans="1:76">
      <c r="A77" s="166">
        <v>76</v>
      </c>
      <c r="B77" s="150" t="s">
        <v>303</v>
      </c>
      <c r="C77" s="108" t="s">
        <v>322</v>
      </c>
      <c r="D77" s="108" t="s">
        <v>89</v>
      </c>
      <c r="E77" s="108" t="s">
        <v>90</v>
      </c>
      <c r="F77" s="108" t="s">
        <v>90</v>
      </c>
      <c r="G77" s="155">
        <v>46083</v>
      </c>
      <c r="H77" s="108"/>
      <c r="I77" s="135"/>
      <c r="J77" s="109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>
        <v>5000</v>
      </c>
      <c r="BX77" s="134">
        <f t="shared" si="4"/>
        <v>5000</v>
      </c>
    </row>
    <row r="78" spans="1:76">
      <c r="A78" s="166">
        <v>77</v>
      </c>
      <c r="B78" s="150" t="s">
        <v>344</v>
      </c>
      <c r="C78" s="108" t="s">
        <v>322</v>
      </c>
      <c r="D78" s="108" t="s">
        <v>89</v>
      </c>
      <c r="E78" s="108" t="s">
        <v>90</v>
      </c>
      <c r="F78" s="108" t="s">
        <v>90</v>
      </c>
      <c r="G78" s="155">
        <v>46083</v>
      </c>
      <c r="H78" s="108"/>
      <c r="I78" s="135"/>
      <c r="J78" s="109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>
        <f>4250+100</f>
        <v>4350</v>
      </c>
      <c r="BX78" s="134">
        <f t="shared" si="4"/>
        <v>4350</v>
      </c>
    </row>
    <row r="79" spans="1:76">
      <c r="A79" s="166">
        <v>78</v>
      </c>
      <c r="B79" s="150" t="s">
        <v>304</v>
      </c>
      <c r="C79" s="108" t="s">
        <v>322</v>
      </c>
      <c r="D79" s="108" t="s">
        <v>113</v>
      </c>
      <c r="E79" s="108" t="s">
        <v>114</v>
      </c>
      <c r="F79" s="108" t="s">
        <v>114</v>
      </c>
      <c r="G79" s="155">
        <v>46007</v>
      </c>
      <c r="H79" s="108"/>
      <c r="I79" s="135"/>
      <c r="J79" s="109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>
        <v>2152.2199999999998</v>
      </c>
      <c r="BU79" s="105">
        <v>4035.43</v>
      </c>
      <c r="BV79" s="105">
        <v>4035.43</v>
      </c>
      <c r="BW79" s="105">
        <v>4035.43</v>
      </c>
      <c r="BX79" s="134">
        <f t="shared" ref="BX79" si="5">SUM(J79:BW79)</f>
        <v>14258.51</v>
      </c>
    </row>
    <row r="80" spans="1:76">
      <c r="A80" s="166">
        <v>78</v>
      </c>
      <c r="B80" s="150" t="s">
        <v>305</v>
      </c>
      <c r="C80" s="108" t="s">
        <v>322</v>
      </c>
      <c r="D80" s="108" t="s">
        <v>89</v>
      </c>
      <c r="E80" s="108" t="s">
        <v>306</v>
      </c>
      <c r="F80" s="108" t="s">
        <v>306</v>
      </c>
      <c r="G80" s="155">
        <v>46006</v>
      </c>
      <c r="H80" s="108"/>
      <c r="I80" s="135"/>
      <c r="J80" s="109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>
        <v>1250</v>
      </c>
      <c r="BU80" s="105">
        <v>2500</v>
      </c>
      <c r="BV80" s="105">
        <v>2500</v>
      </c>
      <c r="BW80" s="105">
        <v>2500</v>
      </c>
      <c r="BX80" s="134">
        <f t="shared" ref="BX80" si="6">SUM(J80:BW80)</f>
        <v>8750</v>
      </c>
    </row>
    <row r="81" spans="1:76">
      <c r="A81" s="166">
        <v>79</v>
      </c>
      <c r="B81" s="150" t="s">
        <v>307</v>
      </c>
      <c r="C81" s="108" t="s">
        <v>322</v>
      </c>
      <c r="D81" s="108" t="s">
        <v>99</v>
      </c>
      <c r="E81" s="108" t="s">
        <v>100</v>
      </c>
      <c r="F81" s="108" t="s">
        <v>100</v>
      </c>
      <c r="G81" s="155">
        <v>46007</v>
      </c>
      <c r="H81" s="108"/>
      <c r="I81" s="135"/>
      <c r="J81" s="109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>
        <v>1250</v>
      </c>
      <c r="BU81" s="105">
        <v>2500</v>
      </c>
      <c r="BV81" s="105">
        <v>2500</v>
      </c>
      <c r="BW81" s="105">
        <v>2500</v>
      </c>
      <c r="BX81" s="134">
        <f t="shared" ref="BX81" si="7">SUM(J81:BW81)</f>
        <v>8750</v>
      </c>
    </row>
    <row r="82" spans="1:76">
      <c r="B82" s="222"/>
      <c r="C82" s="222"/>
      <c r="D82" s="222"/>
      <c r="E82" s="222"/>
      <c r="F82" s="222"/>
      <c r="G82" s="223"/>
      <c r="H82" s="222"/>
      <c r="I82" s="224"/>
      <c r="J82" s="225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74"/>
    </row>
    <row r="83" spans="1:76">
      <c r="B83" s="108" t="s">
        <v>345</v>
      </c>
      <c r="C83" s="108"/>
      <c r="D83" s="108"/>
      <c r="E83" s="108"/>
      <c r="F83" s="122"/>
      <c r="G83" s="108"/>
      <c r="H83" s="108"/>
      <c r="I83" s="135"/>
      <c r="J83" s="105">
        <f t="shared" ref="J83:BE83" si="8">SUM(J2:J59)</f>
        <v>2163.2800000000002</v>
      </c>
      <c r="K83" s="105">
        <f t="shared" si="8"/>
        <v>17791.690000000002</v>
      </c>
      <c r="L83" s="105">
        <f t="shared" si="8"/>
        <v>19445.68</v>
      </c>
      <c r="M83" s="105">
        <f t="shared" si="8"/>
        <v>21757.58</v>
      </c>
      <c r="N83" s="105">
        <f t="shared" si="8"/>
        <v>20603.400000000001</v>
      </c>
      <c r="O83" s="105">
        <f t="shared" si="8"/>
        <v>19101.150000000001</v>
      </c>
      <c r="P83" s="105">
        <f t="shared" si="8"/>
        <v>20201.02</v>
      </c>
      <c r="Q83" s="105">
        <f t="shared" si="8"/>
        <v>21025.59</v>
      </c>
      <c r="R83" s="105">
        <f t="shared" si="8"/>
        <v>25237.210000000003</v>
      </c>
      <c r="S83" s="105">
        <f t="shared" si="8"/>
        <v>20736.099999999999</v>
      </c>
      <c r="T83" s="105">
        <f t="shared" si="8"/>
        <v>22409.37</v>
      </c>
      <c r="U83" s="105">
        <f t="shared" si="8"/>
        <v>22944.35</v>
      </c>
      <c r="V83" s="105">
        <f t="shared" si="8"/>
        <v>23691.199999999997</v>
      </c>
      <c r="W83" s="105">
        <f t="shared" si="8"/>
        <v>28419.15</v>
      </c>
      <c r="X83" s="105">
        <f t="shared" si="8"/>
        <v>26880.66</v>
      </c>
      <c r="Y83" s="105">
        <f t="shared" si="8"/>
        <v>27696.639999999999</v>
      </c>
      <c r="Z83" s="105">
        <f t="shared" si="8"/>
        <v>25960.799999999999</v>
      </c>
      <c r="AA83" s="105">
        <f t="shared" si="8"/>
        <v>25753.02</v>
      </c>
      <c r="AB83" s="105">
        <f t="shared" si="8"/>
        <v>26439.45</v>
      </c>
      <c r="AC83" s="105">
        <f t="shared" si="8"/>
        <v>29489.79</v>
      </c>
      <c r="AD83" s="105">
        <f t="shared" si="8"/>
        <v>26696.949999999997</v>
      </c>
      <c r="AE83" s="105">
        <f t="shared" si="8"/>
        <v>26851.34</v>
      </c>
      <c r="AF83" s="105">
        <f t="shared" si="8"/>
        <v>23738.75</v>
      </c>
      <c r="AG83" s="105">
        <f t="shared" si="8"/>
        <v>29893.45</v>
      </c>
      <c r="AH83" s="105">
        <f t="shared" si="8"/>
        <v>39191.17</v>
      </c>
      <c r="AI83" s="105">
        <f t="shared" si="8"/>
        <v>46788.42</v>
      </c>
      <c r="AJ83" s="105">
        <f t="shared" si="8"/>
        <v>45151.770000000004</v>
      </c>
      <c r="AK83" s="105">
        <f t="shared" si="8"/>
        <v>47845</v>
      </c>
      <c r="AL83" s="105">
        <f t="shared" si="8"/>
        <v>45687.76</v>
      </c>
      <c r="AM83" s="105">
        <f t="shared" si="8"/>
        <v>44925.06</v>
      </c>
      <c r="AN83" s="105">
        <f t="shared" si="8"/>
        <v>46788.480000000003</v>
      </c>
      <c r="AO83" s="105">
        <f t="shared" si="8"/>
        <v>47801.45</v>
      </c>
      <c r="AP83" s="105">
        <f t="shared" si="8"/>
        <v>41695</v>
      </c>
      <c r="AQ83" s="105">
        <f t="shared" si="8"/>
        <v>41695</v>
      </c>
      <c r="AR83" s="105">
        <f t="shared" si="8"/>
        <v>42695</v>
      </c>
      <c r="AS83" s="105">
        <f t="shared" si="8"/>
        <v>42695</v>
      </c>
      <c r="AT83" s="105">
        <f t="shared" si="8"/>
        <v>43395</v>
      </c>
      <c r="AU83" s="105">
        <f t="shared" si="8"/>
        <v>44330.21</v>
      </c>
      <c r="AV83" s="105">
        <f t="shared" si="8"/>
        <v>56257.75</v>
      </c>
      <c r="AW83" s="105">
        <f t="shared" si="8"/>
        <v>63304.07</v>
      </c>
      <c r="AX83" s="105">
        <f t="shared" si="8"/>
        <v>69726.45</v>
      </c>
      <c r="AY83" s="105">
        <f t="shared" si="8"/>
        <v>73357.849999999991</v>
      </c>
      <c r="AZ83" s="105">
        <f t="shared" si="8"/>
        <v>92444.11</v>
      </c>
      <c r="BA83" s="105">
        <f t="shared" si="8"/>
        <v>92274.849999999991</v>
      </c>
      <c r="BB83" s="105">
        <f t="shared" si="8"/>
        <v>88065.39</v>
      </c>
      <c r="BC83" s="105">
        <f t="shared" si="8"/>
        <v>108197.34000000001</v>
      </c>
      <c r="BD83" s="105">
        <f t="shared" si="8"/>
        <v>84136.639999999999</v>
      </c>
      <c r="BE83" s="105">
        <f t="shared" si="8"/>
        <v>89027.49</v>
      </c>
      <c r="BF83" s="105">
        <f>SUM(BF3:BF62)</f>
        <v>100670.37000000001</v>
      </c>
      <c r="BG83" s="105">
        <f>SUM(BG3:BG62)</f>
        <v>89174.709999999992</v>
      </c>
      <c r="BH83" s="105">
        <f>SUM(BH3:BH62)</f>
        <v>89393.650000000009</v>
      </c>
      <c r="BI83" s="105">
        <f>SUM(BI3:BI62)</f>
        <v>77285.100000000006</v>
      </c>
      <c r="BJ83" s="105">
        <f t="shared" ref="BJ83:BX83" si="9">SUM(BJ2:BJ67)</f>
        <v>82892.200000000012</v>
      </c>
      <c r="BK83" s="105">
        <f t="shared" si="9"/>
        <v>82441.63</v>
      </c>
      <c r="BL83" s="105">
        <f t="shared" si="9"/>
        <v>96081.12</v>
      </c>
      <c r="BM83" s="105">
        <f t="shared" si="9"/>
        <v>104345.56</v>
      </c>
      <c r="BN83" s="105">
        <f t="shared" si="9"/>
        <v>107500.81</v>
      </c>
      <c r="BO83" s="105">
        <f t="shared" si="9"/>
        <v>81646.399999999994</v>
      </c>
      <c r="BP83" s="105">
        <f t="shared" si="9"/>
        <v>100752.5</v>
      </c>
      <c r="BQ83" s="105">
        <f t="shared" si="9"/>
        <v>108737.67</v>
      </c>
      <c r="BR83" s="105">
        <f t="shared" si="9"/>
        <v>107803.29999999999</v>
      </c>
      <c r="BS83" s="105">
        <f t="shared" si="9"/>
        <v>105736.65</v>
      </c>
      <c r="BT83" s="105">
        <f t="shared" si="9"/>
        <v>112497.72</v>
      </c>
      <c r="BU83" s="105">
        <f t="shared" si="9"/>
        <v>99057.91</v>
      </c>
      <c r="BV83" s="105">
        <f t="shared" si="9"/>
        <v>90652.41</v>
      </c>
      <c r="BW83" s="105">
        <f t="shared" si="9"/>
        <v>91515.920000000013</v>
      </c>
      <c r="BX83" s="105">
        <f t="shared" si="9"/>
        <v>3720589.51</v>
      </c>
    </row>
    <row r="84" spans="1:76"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117"/>
      <c r="BF84" s="11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117"/>
      <c r="BS84" s="117"/>
      <c r="BT84" s="117"/>
      <c r="BU84" s="117"/>
      <c r="BV84" s="117"/>
      <c r="BW84" s="117"/>
    </row>
    <row r="85" spans="1:76"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</row>
    <row r="86" spans="1:76"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117"/>
      <c r="BF86" s="11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117"/>
      <c r="BS86" s="117"/>
      <c r="BT86" s="117"/>
      <c r="BU86" s="117"/>
      <c r="BV86" s="117"/>
      <c r="BW86" s="117"/>
    </row>
    <row r="87" spans="1:76"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117"/>
      <c r="BT87" s="117"/>
      <c r="BU87" s="117"/>
      <c r="BV87" s="117"/>
      <c r="BW87" s="117"/>
    </row>
  </sheetData>
  <autoFilter ref="B1:CA81" xr:uid="{132F8CA0-1F35-4CBC-A6D6-1212048ACD6F}"/>
  <pageMargins left="0.511811024" right="0.511811024" top="0.78740157499999996" bottom="0.78740157499999996" header="0.31496062000000002" footer="0.31496062000000002"/>
  <pageSetup orientation="portrait" horizontalDpi="360" verticalDpi="36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2F42-D033-456B-BE9D-199E33F14B0E}">
  <dimension ref="A1:CC1206"/>
  <sheetViews>
    <sheetView tabSelected="1" topLeftCell="A821" zoomScaleNormal="100" workbookViewId="0">
      <pane xSplit="2" topLeftCell="AA79" activePane="topRight" state="frozen"/>
      <selection pane="topRight" activeCell="BW1" sqref="BW1"/>
    </sheetView>
  </sheetViews>
  <sheetFormatPr defaultColWidth="9.140625" defaultRowHeight="14.45"/>
  <cols>
    <col min="1" max="1" width="10.140625" style="149" bestFit="1" customWidth="1"/>
    <col min="2" max="2" width="39.28515625" style="149" bestFit="1" customWidth="1"/>
    <col min="3" max="3" width="10.28515625" customWidth="1"/>
    <col min="4" max="4" width="11.7109375" customWidth="1"/>
    <col min="5" max="6" width="14.7109375" style="149" customWidth="1"/>
    <col min="7" max="7" width="12.42578125" bestFit="1" customWidth="1"/>
    <col min="8" max="8" width="14.7109375" bestFit="1" customWidth="1"/>
    <col min="9" max="9" width="26.28515625" bestFit="1" customWidth="1"/>
    <col min="10" max="10" width="11.7109375" bestFit="1" customWidth="1"/>
    <col min="11" max="13" width="12.140625" bestFit="1" customWidth="1"/>
    <col min="14" max="23" width="12" bestFit="1" customWidth="1"/>
    <col min="24" max="24" width="12.85546875" bestFit="1" customWidth="1"/>
    <col min="25" max="25" width="12" bestFit="1" customWidth="1"/>
    <col min="26" max="26" width="12.85546875" bestFit="1" customWidth="1"/>
    <col min="27" max="28" width="12" bestFit="1" customWidth="1"/>
    <col min="29" max="30" width="12.85546875" bestFit="1" customWidth="1"/>
    <col min="31" max="31" width="12" bestFit="1" customWidth="1"/>
    <col min="32" max="32" width="12.85546875" bestFit="1" customWidth="1"/>
    <col min="33" max="33" width="11.85546875" bestFit="1" customWidth="1"/>
    <col min="34" max="40" width="12.85546875" bestFit="1" customWidth="1"/>
    <col min="41" max="41" width="13.85546875" customWidth="1"/>
    <col min="42" max="42" width="14" customWidth="1"/>
    <col min="43" max="43" width="15.42578125" customWidth="1"/>
    <col min="44" max="47" width="12.85546875" bestFit="1" customWidth="1"/>
    <col min="48" max="51" width="13.85546875" customWidth="1"/>
    <col min="52" max="53" width="15.5703125" bestFit="1" customWidth="1"/>
    <col min="54" max="54" width="15.5703125" style="107" bestFit="1" customWidth="1"/>
    <col min="55" max="56" width="15.5703125" bestFit="1" customWidth="1"/>
    <col min="57" max="57" width="14" bestFit="1" customWidth="1"/>
    <col min="58" max="58" width="12.85546875" bestFit="1" customWidth="1"/>
    <col min="59" max="75" width="13.85546875" customWidth="1"/>
    <col min="76" max="76" width="16.140625" style="18" bestFit="1" customWidth="1"/>
    <col min="77" max="77" width="15" bestFit="1" customWidth="1"/>
    <col min="78" max="78" width="12.140625" customWidth="1"/>
    <col min="79" max="79" width="13.28515625" bestFit="1" customWidth="1"/>
    <col min="81" max="81" width="13.28515625" bestFit="1" customWidth="1"/>
    <col min="82" max="82" width="10.5703125" bestFit="1" customWidth="1"/>
  </cols>
  <sheetData>
    <row r="1" spans="1:79" ht="15.6" customHeight="1">
      <c r="A1" s="148" t="s">
        <v>346</v>
      </c>
      <c r="B1" s="148" t="s">
        <v>347</v>
      </c>
      <c r="C1" s="145" t="s">
        <v>310</v>
      </c>
      <c r="D1" s="145" t="s">
        <v>311</v>
      </c>
      <c r="E1" s="148" t="s">
        <v>312</v>
      </c>
      <c r="F1" s="148" t="s">
        <v>348</v>
      </c>
      <c r="G1" s="145" t="s">
        <v>314</v>
      </c>
      <c r="H1" s="145" t="s">
        <v>315</v>
      </c>
      <c r="I1" s="145" t="s">
        <v>349</v>
      </c>
      <c r="J1" s="146">
        <v>44105</v>
      </c>
      <c r="K1" s="146">
        <v>44136</v>
      </c>
      <c r="L1" s="146">
        <v>44166</v>
      </c>
      <c r="M1" s="146">
        <v>44197</v>
      </c>
      <c r="N1" s="146">
        <v>44228</v>
      </c>
      <c r="O1" s="146">
        <v>44256</v>
      </c>
      <c r="P1" s="146">
        <v>44287</v>
      </c>
      <c r="Q1" s="146">
        <v>44317</v>
      </c>
      <c r="R1" s="146">
        <v>44348</v>
      </c>
      <c r="S1" s="146">
        <v>44378</v>
      </c>
      <c r="T1" s="146">
        <v>44409</v>
      </c>
      <c r="U1" s="146">
        <v>44440</v>
      </c>
      <c r="V1" s="146">
        <v>44470</v>
      </c>
      <c r="W1" s="146">
        <v>44501</v>
      </c>
      <c r="X1" s="146">
        <v>44531</v>
      </c>
      <c r="Y1" s="146">
        <v>44562</v>
      </c>
      <c r="Z1" s="146">
        <v>44593</v>
      </c>
      <c r="AA1" s="146">
        <v>44621</v>
      </c>
      <c r="AB1" s="146">
        <v>44652</v>
      </c>
      <c r="AC1" s="146">
        <v>44682</v>
      </c>
      <c r="AD1" s="146">
        <v>44713</v>
      </c>
      <c r="AE1" s="146">
        <v>44743</v>
      </c>
      <c r="AF1" s="146">
        <v>44774</v>
      </c>
      <c r="AG1" s="146">
        <v>44805</v>
      </c>
      <c r="AH1" s="146">
        <v>44835</v>
      </c>
      <c r="AI1" s="146">
        <v>44866</v>
      </c>
      <c r="AJ1" s="146">
        <v>44896</v>
      </c>
      <c r="AK1" s="146">
        <v>44927</v>
      </c>
      <c r="AL1" s="146">
        <v>44958</v>
      </c>
      <c r="AM1" s="146">
        <v>44986</v>
      </c>
      <c r="AN1" s="146">
        <v>45017</v>
      </c>
      <c r="AO1" s="146">
        <v>45047</v>
      </c>
      <c r="AP1" s="146">
        <v>45078</v>
      </c>
      <c r="AQ1" s="146">
        <v>45108</v>
      </c>
      <c r="AR1" s="146">
        <v>45139</v>
      </c>
      <c r="AS1" s="146">
        <v>45170</v>
      </c>
      <c r="AT1" s="146">
        <v>45200</v>
      </c>
      <c r="AU1" s="146">
        <v>45231</v>
      </c>
      <c r="AV1" s="146">
        <v>45261</v>
      </c>
      <c r="AW1" s="146">
        <v>45292</v>
      </c>
      <c r="AX1" s="146">
        <v>45323</v>
      </c>
      <c r="AY1" s="146">
        <v>45352</v>
      </c>
      <c r="AZ1" s="146">
        <v>45383</v>
      </c>
      <c r="BA1" s="146">
        <v>45413</v>
      </c>
      <c r="BB1" s="146">
        <v>45444</v>
      </c>
      <c r="BC1" s="146">
        <v>45474</v>
      </c>
      <c r="BD1" s="146">
        <v>45505</v>
      </c>
      <c r="BE1" s="146">
        <v>45536</v>
      </c>
      <c r="BF1" s="146">
        <v>45566</v>
      </c>
      <c r="BG1" s="146">
        <v>45597</v>
      </c>
      <c r="BH1" s="146">
        <v>45627</v>
      </c>
      <c r="BI1" s="146">
        <v>45658</v>
      </c>
      <c r="BJ1" s="146">
        <v>45689</v>
      </c>
      <c r="BK1" s="146">
        <v>45717</v>
      </c>
      <c r="BL1" s="146">
        <v>45748</v>
      </c>
      <c r="BM1" s="146">
        <v>45778</v>
      </c>
      <c r="BN1" s="146">
        <v>45809</v>
      </c>
      <c r="BO1" s="146">
        <v>45839</v>
      </c>
      <c r="BP1" s="146">
        <v>45870</v>
      </c>
      <c r="BQ1" s="146">
        <v>45901</v>
      </c>
      <c r="BR1" s="146">
        <v>45931</v>
      </c>
      <c r="BS1" s="146">
        <v>45962</v>
      </c>
      <c r="BT1" s="146">
        <v>45992</v>
      </c>
      <c r="BU1" s="146">
        <v>46023</v>
      </c>
      <c r="BV1" s="146">
        <v>46054</v>
      </c>
      <c r="BW1" s="146">
        <v>46082</v>
      </c>
      <c r="BX1" s="147" t="s">
        <v>13</v>
      </c>
      <c r="BY1" s="5"/>
      <c r="BZ1" s="5"/>
      <c r="CA1" s="5"/>
    </row>
    <row r="2" spans="1:79" s="178" customFormat="1">
      <c r="A2" s="234">
        <v>1</v>
      </c>
      <c r="B2" s="227" t="s">
        <v>26</v>
      </c>
      <c r="C2" s="237" t="s">
        <v>23</v>
      </c>
      <c r="D2" s="237" t="s">
        <v>119</v>
      </c>
      <c r="E2" s="237" t="s">
        <v>117</v>
      </c>
      <c r="F2" s="237" t="s">
        <v>117</v>
      </c>
      <c r="G2" s="272">
        <f>'CONSOLIDADO ATIVO INATIVO NOVO'!J7</f>
        <v>44972</v>
      </c>
      <c r="H2" s="272"/>
      <c r="I2" s="175" t="s">
        <v>350</v>
      </c>
      <c r="J2" s="175"/>
      <c r="K2" s="175"/>
      <c r="L2" s="175"/>
      <c r="M2" s="180"/>
      <c r="N2" s="180"/>
      <c r="O2" s="180"/>
      <c r="P2" s="180"/>
      <c r="Q2" s="180"/>
      <c r="R2" s="176"/>
      <c r="S2" s="180"/>
      <c r="T2" s="180"/>
      <c r="U2" s="180"/>
      <c r="V2" s="176"/>
      <c r="W2" s="176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180"/>
      <c r="BA2" s="180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  <c r="BR2" s="180"/>
      <c r="BS2" s="180"/>
      <c r="BT2" s="180"/>
      <c r="BU2" s="180"/>
      <c r="BV2" s="180"/>
      <c r="BW2" s="180"/>
      <c r="BX2" s="176"/>
      <c r="BY2" s="181"/>
      <c r="BZ2" s="181"/>
      <c r="CA2" s="181"/>
    </row>
    <row r="3" spans="1:79" s="178" customFormat="1">
      <c r="A3" s="235"/>
      <c r="B3" s="227"/>
      <c r="C3" s="238"/>
      <c r="D3" s="238"/>
      <c r="E3" s="238"/>
      <c r="F3" s="238"/>
      <c r="G3" s="238"/>
      <c r="H3" s="238"/>
      <c r="I3" s="175" t="s">
        <v>351</v>
      </c>
      <c r="J3" s="175"/>
      <c r="K3" s="175"/>
      <c r="L3" s="175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>
        <v>61.66</v>
      </c>
      <c r="AV3" s="176">
        <v>1849.81</v>
      </c>
      <c r="AW3" s="176">
        <v>1849.81</v>
      </c>
      <c r="AX3" s="176">
        <v>1849.81</v>
      </c>
      <c r="AY3" s="176">
        <v>1849.81</v>
      </c>
      <c r="AZ3" s="176">
        <v>1849.81</v>
      </c>
      <c r="BA3" s="176">
        <v>1849.81</v>
      </c>
      <c r="BB3" s="176">
        <f>1849.81+100</f>
        <v>1949.81</v>
      </c>
      <c r="BC3" s="176">
        <v>1849.81</v>
      </c>
      <c r="BD3" s="176">
        <v>1849.81</v>
      </c>
      <c r="BE3" s="176">
        <v>1849.81</v>
      </c>
      <c r="BF3" s="176">
        <v>1849.81</v>
      </c>
      <c r="BG3" s="176">
        <v>1849.81</v>
      </c>
      <c r="BH3" s="176">
        <v>1849.81</v>
      </c>
      <c r="BI3" s="176">
        <v>1849.81</v>
      </c>
      <c r="BJ3" s="176">
        <v>1849.81</v>
      </c>
      <c r="BK3" s="176">
        <v>1849.81</v>
      </c>
      <c r="BL3" s="176">
        <v>1849.81</v>
      </c>
      <c r="BM3" s="176">
        <v>1849.81</v>
      </c>
      <c r="BN3" s="176">
        <v>1849.81</v>
      </c>
      <c r="BO3" s="176">
        <v>1849.81</v>
      </c>
      <c r="BP3" s="176">
        <v>1849.81</v>
      </c>
      <c r="BQ3" s="176">
        <v>1849.81</v>
      </c>
      <c r="BR3" s="176">
        <v>1849.81</v>
      </c>
      <c r="BS3" s="176">
        <v>3158.4</v>
      </c>
      <c r="BT3" s="176">
        <v>1849.81</v>
      </c>
      <c r="BU3" s="176">
        <v>1849.81</v>
      </c>
      <c r="BV3" s="176">
        <v>1849.81</v>
      </c>
      <c r="BW3" s="176">
        <v>1849.81</v>
      </c>
      <c r="BX3" s="176"/>
      <c r="BY3" s="182"/>
      <c r="CA3" s="181"/>
    </row>
    <row r="4" spans="1:79" s="178" customFormat="1" ht="14.45" customHeight="1">
      <c r="A4" s="235"/>
      <c r="B4" s="227"/>
      <c r="C4" s="238"/>
      <c r="D4" s="238"/>
      <c r="E4" s="238"/>
      <c r="F4" s="238"/>
      <c r="G4" s="238"/>
      <c r="H4" s="238"/>
      <c r="I4" s="175" t="s">
        <v>352</v>
      </c>
      <c r="J4" s="175"/>
      <c r="K4" s="175"/>
      <c r="L4" s="175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3"/>
      <c r="BL4" s="183"/>
      <c r="BM4" s="183"/>
      <c r="BN4" s="183"/>
      <c r="BO4" s="183"/>
      <c r="BP4" s="183"/>
      <c r="BQ4" s="183"/>
      <c r="BR4" s="183"/>
      <c r="BS4" s="183"/>
      <c r="BT4" s="183"/>
      <c r="BU4" s="183"/>
      <c r="BV4" s="183"/>
      <c r="BW4" s="183"/>
      <c r="BX4" s="176"/>
      <c r="BY4" s="182"/>
      <c r="BZ4" s="270"/>
      <c r="CA4" s="270"/>
    </row>
    <row r="5" spans="1:79" s="178" customFormat="1">
      <c r="A5" s="235"/>
      <c r="B5" s="227"/>
      <c r="C5" s="238"/>
      <c r="D5" s="238"/>
      <c r="E5" s="238"/>
      <c r="F5" s="238"/>
      <c r="G5" s="238"/>
      <c r="H5" s="238"/>
      <c r="I5" s="175" t="s">
        <v>353</v>
      </c>
      <c r="J5" s="175"/>
      <c r="K5" s="175"/>
      <c r="L5" s="175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>
        <v>248.87</v>
      </c>
      <c r="AY5" s="176"/>
      <c r="AZ5" s="176"/>
      <c r="BA5" s="176"/>
      <c r="BB5" s="176">
        <f>826.74+165.35</f>
        <v>992.09</v>
      </c>
      <c r="BC5" s="176"/>
      <c r="BD5" s="176"/>
      <c r="BE5" s="176"/>
      <c r="BF5" s="176"/>
      <c r="BG5" s="176"/>
      <c r="BH5" s="176"/>
      <c r="BI5" s="176"/>
      <c r="BJ5" s="176"/>
      <c r="BK5" s="176">
        <f>1518.4+303.68</f>
        <v>1822.0800000000002</v>
      </c>
      <c r="BL5" s="176"/>
      <c r="BM5" s="176"/>
      <c r="BN5" s="176"/>
      <c r="BO5" s="176"/>
      <c r="BP5" s="176"/>
      <c r="BQ5" s="176"/>
      <c r="BR5" s="176"/>
      <c r="BS5" s="176"/>
      <c r="BT5" s="176"/>
      <c r="BU5" s="176"/>
      <c r="BV5" s="176"/>
      <c r="BW5" s="176">
        <f>185.96+929.78</f>
        <v>1115.74</v>
      </c>
      <c r="BX5" s="176"/>
      <c r="BY5" s="182"/>
      <c r="BZ5" s="270"/>
      <c r="CA5" s="270"/>
    </row>
    <row r="6" spans="1:79" s="178" customFormat="1">
      <c r="A6" s="235"/>
      <c r="B6" s="227"/>
      <c r="C6" s="238"/>
      <c r="D6" s="238"/>
      <c r="E6" s="238"/>
      <c r="F6" s="238"/>
      <c r="G6" s="238"/>
      <c r="H6" s="238"/>
      <c r="I6" s="175" t="s">
        <v>354</v>
      </c>
      <c r="J6" s="175"/>
      <c r="K6" s="175"/>
      <c r="L6" s="175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>
        <v>1063.3699999999999</v>
      </c>
      <c r="BG6" s="176"/>
      <c r="BH6" s="176"/>
      <c r="BI6" s="176"/>
      <c r="BJ6" s="176"/>
      <c r="BK6" s="176"/>
      <c r="BL6" s="176"/>
      <c r="BM6" s="176"/>
      <c r="BN6" s="176"/>
      <c r="BO6" s="176"/>
      <c r="BP6" s="176"/>
      <c r="BQ6" s="176"/>
      <c r="BR6" s="176"/>
      <c r="BS6" s="176"/>
      <c r="BT6" s="176"/>
      <c r="BU6" s="176"/>
      <c r="BV6" s="176"/>
      <c r="BW6" s="176"/>
      <c r="BX6" s="176"/>
      <c r="BY6" s="182"/>
      <c r="BZ6" s="270"/>
      <c r="CA6" s="270"/>
    </row>
    <row r="7" spans="1:79" s="178" customFormat="1">
      <c r="A7" s="235"/>
      <c r="B7" s="227"/>
      <c r="C7" s="238"/>
      <c r="D7" s="238"/>
      <c r="E7" s="238"/>
      <c r="F7" s="238"/>
      <c r="G7" s="238"/>
      <c r="H7" s="238"/>
      <c r="I7" s="175" t="s">
        <v>355</v>
      </c>
      <c r="J7" s="175"/>
      <c r="K7" s="175"/>
      <c r="L7" s="175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  <c r="AT7" s="176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6"/>
      <c r="BN7" s="176"/>
      <c r="BO7" s="176"/>
      <c r="BP7" s="176"/>
      <c r="BQ7" s="176"/>
      <c r="BR7" s="176"/>
      <c r="BS7" s="176"/>
      <c r="BT7" s="176"/>
      <c r="BU7" s="176"/>
      <c r="BV7" s="176"/>
      <c r="BW7" s="176"/>
      <c r="BX7" s="176"/>
      <c r="BY7" s="182"/>
      <c r="BZ7" s="270"/>
      <c r="CA7" s="270"/>
    </row>
    <row r="8" spans="1:79" s="178" customFormat="1" ht="14.45" customHeight="1">
      <c r="A8" s="235"/>
      <c r="B8" s="227"/>
      <c r="C8" s="238"/>
      <c r="D8" s="238"/>
      <c r="E8" s="238"/>
      <c r="F8" s="238"/>
      <c r="G8" s="238"/>
      <c r="H8" s="238"/>
      <c r="I8" s="175" t="s">
        <v>356</v>
      </c>
      <c r="J8" s="175"/>
      <c r="K8" s="175"/>
      <c r="L8" s="175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>
        <f>4.8*2</f>
        <v>9.6</v>
      </c>
      <c r="AV8" s="176">
        <v>240</v>
      </c>
      <c r="AW8" s="176">
        <v>249.6</v>
      </c>
      <c r="AX8" s="176">
        <v>240</v>
      </c>
      <c r="AY8" s="176">
        <v>240</v>
      </c>
      <c r="AZ8" s="176">
        <v>249.6</v>
      </c>
      <c r="BA8" s="176">
        <v>249.6</v>
      </c>
      <c r="BB8" s="176">
        <v>240</v>
      </c>
      <c r="BC8" s="176">
        <v>259.2</v>
      </c>
      <c r="BD8" s="176">
        <v>240</v>
      </c>
      <c r="BE8" s="176">
        <v>230.4</v>
      </c>
      <c r="BF8" s="176">
        <v>240</v>
      </c>
      <c r="BG8" s="176">
        <v>240</v>
      </c>
      <c r="BH8" s="176">
        <v>240</v>
      </c>
      <c r="BI8" s="176">
        <v>249.6</v>
      </c>
      <c r="BJ8" s="176">
        <v>230.4</v>
      </c>
      <c r="BK8" s="176">
        <v>249.6</v>
      </c>
      <c r="BL8" s="176">
        <v>252</v>
      </c>
      <c r="BM8" s="176">
        <v>273</v>
      </c>
      <c r="BN8" s="176">
        <v>252</v>
      </c>
      <c r="BO8" s="176">
        <v>273</v>
      </c>
      <c r="BP8" s="176">
        <v>262.5</v>
      </c>
      <c r="BQ8" s="176">
        <v>273</v>
      </c>
      <c r="BR8" s="176">
        <v>283.5</v>
      </c>
      <c r="BS8" s="176">
        <v>241.5</v>
      </c>
      <c r="BT8" s="176">
        <v>241.5</v>
      </c>
      <c r="BU8" s="176">
        <v>273.5</v>
      </c>
      <c r="BV8" s="176">
        <v>252</v>
      </c>
      <c r="BW8" s="191">
        <v>231</v>
      </c>
      <c r="BX8" s="176"/>
      <c r="BY8" s="182"/>
      <c r="BZ8" s="270"/>
      <c r="CA8" s="270"/>
    </row>
    <row r="9" spans="1:79" s="178" customFormat="1" ht="13.9" customHeight="1">
      <c r="A9" s="235"/>
      <c r="B9" s="227"/>
      <c r="C9" s="238"/>
      <c r="D9" s="238"/>
      <c r="E9" s="238"/>
      <c r="F9" s="238"/>
      <c r="G9" s="238"/>
      <c r="H9" s="238"/>
      <c r="I9" s="175" t="s">
        <v>357</v>
      </c>
      <c r="J9" s="175"/>
      <c r="K9" s="175"/>
      <c r="L9" s="175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6"/>
      <c r="BN9" s="176"/>
      <c r="BO9" s="176"/>
      <c r="BP9" s="176"/>
      <c r="BQ9" s="176"/>
      <c r="BR9" s="176"/>
      <c r="BS9" s="176"/>
      <c r="BT9" s="176"/>
      <c r="BU9" s="176"/>
      <c r="BV9" s="176"/>
      <c r="BW9" s="176"/>
      <c r="BX9" s="176"/>
      <c r="BY9" s="182"/>
      <c r="BZ9" s="270"/>
      <c r="CA9" s="270"/>
    </row>
    <row r="10" spans="1:79" s="178" customFormat="1">
      <c r="A10" s="235"/>
      <c r="B10" s="227"/>
      <c r="C10" s="238"/>
      <c r="D10" s="238"/>
      <c r="E10" s="238"/>
      <c r="F10" s="238"/>
      <c r="G10" s="238"/>
      <c r="H10" s="238"/>
      <c r="I10" s="175" t="s">
        <v>358</v>
      </c>
      <c r="J10" s="175"/>
      <c r="K10" s="175"/>
      <c r="L10" s="175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>
        <v>500</v>
      </c>
      <c r="AW10" s="176">
        <v>500</v>
      </c>
      <c r="AX10" s="176">
        <v>500</v>
      </c>
      <c r="AY10" s="176">
        <v>1000</v>
      </c>
      <c r="AZ10" s="176">
        <v>500</v>
      </c>
      <c r="BA10" s="176">
        <v>500</v>
      </c>
      <c r="BB10" s="176">
        <v>500</v>
      </c>
      <c r="BC10" s="176">
        <v>500</v>
      </c>
      <c r="BD10" s="176">
        <v>500</v>
      </c>
      <c r="BE10" s="176">
        <v>500</v>
      </c>
      <c r="BF10" s="176">
        <v>500</v>
      </c>
      <c r="BG10" s="176">
        <v>500</v>
      </c>
      <c r="BH10" s="176">
        <v>500</v>
      </c>
      <c r="BI10" s="176">
        <v>500</v>
      </c>
      <c r="BJ10" s="176">
        <v>500</v>
      </c>
      <c r="BK10" s="176">
        <v>500</v>
      </c>
      <c r="BL10" s="176">
        <v>500</v>
      </c>
      <c r="BM10" s="176">
        <v>500</v>
      </c>
      <c r="BN10" s="176">
        <v>500</v>
      </c>
      <c r="BO10" s="176">
        <v>500</v>
      </c>
      <c r="BP10" s="176">
        <v>500</v>
      </c>
      <c r="BQ10" s="176">
        <v>500</v>
      </c>
      <c r="BR10" s="176">
        <v>500</v>
      </c>
      <c r="BS10" s="176">
        <v>500</v>
      </c>
      <c r="BT10" s="176">
        <v>500</v>
      </c>
      <c r="BU10" s="176">
        <v>500</v>
      </c>
      <c r="BV10" s="176">
        <v>500</v>
      </c>
      <c r="BW10" s="176">
        <v>500</v>
      </c>
      <c r="BX10" s="176"/>
      <c r="BY10" s="182"/>
      <c r="BZ10" s="270"/>
      <c r="CA10" s="270"/>
    </row>
    <row r="11" spans="1:79" s="178" customFormat="1">
      <c r="A11" s="235"/>
      <c r="B11" s="227"/>
      <c r="C11" s="238"/>
      <c r="D11" s="238"/>
      <c r="E11" s="238"/>
      <c r="F11" s="238"/>
      <c r="G11" s="238"/>
      <c r="H11" s="238"/>
      <c r="I11" s="175" t="s">
        <v>359</v>
      </c>
      <c r="J11" s="175"/>
      <c r="K11" s="175"/>
      <c r="L11" s="175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>
        <v>2000</v>
      </c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6"/>
      <c r="BT11" s="176"/>
      <c r="BU11" s="176"/>
      <c r="BV11" s="176"/>
      <c r="BW11" s="176"/>
      <c r="BX11" s="176"/>
      <c r="BY11" s="182"/>
      <c r="BZ11" s="270"/>
      <c r="CA11" s="270"/>
    </row>
    <row r="12" spans="1:79" s="178" customFormat="1">
      <c r="A12" s="235"/>
      <c r="B12" s="227"/>
      <c r="C12" s="238"/>
      <c r="D12" s="238"/>
      <c r="E12" s="238"/>
      <c r="F12" s="238"/>
      <c r="G12" s="238"/>
      <c r="H12" s="238"/>
      <c r="I12" s="175" t="s">
        <v>360</v>
      </c>
      <c r="J12" s="175"/>
      <c r="K12" s="175"/>
      <c r="L12" s="175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6"/>
      <c r="BN12" s="176"/>
      <c r="BO12" s="176"/>
      <c r="BP12" s="176"/>
      <c r="BQ12" s="176"/>
      <c r="BR12" s="176"/>
      <c r="BS12" s="176"/>
      <c r="BT12" s="176"/>
      <c r="BU12" s="176"/>
      <c r="BV12" s="176"/>
      <c r="BW12" s="176"/>
      <c r="BX12" s="176"/>
      <c r="BY12" s="182"/>
      <c r="BZ12" s="270"/>
      <c r="CA12" s="270"/>
    </row>
    <row r="13" spans="1:79" s="178" customFormat="1">
      <c r="A13" s="235"/>
      <c r="B13" s="227"/>
      <c r="C13" s="238"/>
      <c r="D13" s="238"/>
      <c r="E13" s="238"/>
      <c r="F13" s="238"/>
      <c r="G13" s="238"/>
      <c r="H13" s="238"/>
      <c r="I13" s="175" t="s">
        <v>361</v>
      </c>
      <c r="J13" s="175"/>
      <c r="K13" s="175"/>
      <c r="L13" s="175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6"/>
      <c r="BN13" s="176"/>
      <c r="BO13" s="176"/>
      <c r="BP13" s="176"/>
      <c r="BQ13" s="176"/>
      <c r="BR13" s="176"/>
      <c r="BS13" s="176"/>
      <c r="BT13" s="176"/>
      <c r="BU13" s="176"/>
      <c r="BV13" s="176"/>
      <c r="BW13" s="176"/>
      <c r="BX13" s="176"/>
      <c r="BY13" s="182"/>
      <c r="BZ13" s="270"/>
      <c r="CA13" s="270"/>
    </row>
    <row r="14" spans="1:79" s="189" customFormat="1">
      <c r="A14" s="235"/>
      <c r="B14" s="227"/>
      <c r="C14" s="238"/>
      <c r="D14" s="238"/>
      <c r="E14" s="238"/>
      <c r="F14" s="238"/>
      <c r="G14" s="238"/>
      <c r="H14" s="238"/>
      <c r="I14" s="184" t="s">
        <v>362</v>
      </c>
      <c r="J14" s="184"/>
      <c r="K14" s="184"/>
      <c r="L14" s="184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6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182"/>
      <c r="BZ14" s="187"/>
      <c r="CA14" s="188"/>
    </row>
    <row r="15" spans="1:79" s="178" customFormat="1">
      <c r="A15" s="235"/>
      <c r="B15" s="227"/>
      <c r="C15" s="238"/>
      <c r="D15" s="238"/>
      <c r="E15" s="238"/>
      <c r="F15" s="238"/>
      <c r="G15" s="238"/>
      <c r="H15" s="238"/>
      <c r="I15" s="190" t="s">
        <v>363</v>
      </c>
      <c r="J15" s="190"/>
      <c r="K15" s="190"/>
      <c r="L15" s="190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>
        <v>142.59</v>
      </c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6"/>
      <c r="BN15" s="176"/>
      <c r="BO15" s="176"/>
      <c r="BP15" s="176"/>
      <c r="BQ15" s="176"/>
      <c r="BR15" s="176"/>
      <c r="BS15" s="176"/>
      <c r="BT15" s="176"/>
      <c r="BU15" s="176"/>
      <c r="BV15" s="176"/>
      <c r="BW15" s="176"/>
      <c r="BX15" s="176"/>
      <c r="BY15" s="182"/>
      <c r="BZ15" s="191"/>
      <c r="CA15" s="181"/>
    </row>
    <row r="16" spans="1:79" s="178" customFormat="1">
      <c r="A16" s="235"/>
      <c r="B16" s="227"/>
      <c r="C16" s="238"/>
      <c r="D16" s="238"/>
      <c r="E16" s="238"/>
      <c r="F16" s="238"/>
      <c r="G16" s="238"/>
      <c r="H16" s="238"/>
      <c r="I16" s="175" t="s">
        <v>364</v>
      </c>
      <c r="J16" s="175"/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>
        <v>8.32</v>
      </c>
      <c r="AV16" s="176">
        <v>257.67</v>
      </c>
      <c r="AW16" s="176">
        <v>284.04000000000002</v>
      </c>
      <c r="AX16" s="176">
        <v>274.99</v>
      </c>
      <c r="AY16" s="176">
        <f>145.3+27.75+110.99</f>
        <v>284.04000000000002</v>
      </c>
      <c r="AZ16" s="176">
        <v>256.29000000000002</v>
      </c>
      <c r="BA16" s="176">
        <v>256.29000000000002</v>
      </c>
      <c r="BB16" s="176">
        <f>239.84+110.99</f>
        <v>350.83</v>
      </c>
      <c r="BC16" s="176">
        <v>256.29000000000002</v>
      </c>
      <c r="BD16" s="176">
        <v>256.29000000000002</v>
      </c>
      <c r="BE16" s="176">
        <v>256.29000000000002</v>
      </c>
      <c r="BF16" s="176">
        <v>359.39</v>
      </c>
      <c r="BG16" s="176">
        <v>256.29000000000002</v>
      </c>
      <c r="BH16" s="176">
        <v>256.29000000000002</v>
      </c>
      <c r="BI16" s="176">
        <v>254.7</v>
      </c>
      <c r="BJ16" s="176">
        <v>254.7</v>
      </c>
      <c r="BK16" s="176">
        <v>529.64</v>
      </c>
      <c r="BL16" s="176">
        <v>254.7</v>
      </c>
      <c r="BM16" s="176">
        <v>254.7</v>
      </c>
      <c r="BN16" s="176">
        <v>254.7</v>
      </c>
      <c r="BO16" s="176">
        <v>254.7</v>
      </c>
      <c r="BP16" s="176">
        <v>254.7</v>
      </c>
      <c r="BQ16" s="176">
        <v>254.7</v>
      </c>
      <c r="BR16" s="176">
        <v>254.7</v>
      </c>
      <c r="BS16" s="176">
        <v>1250.1199999999999</v>
      </c>
      <c r="BT16" s="176">
        <v>289.39</v>
      </c>
      <c r="BU16" s="176">
        <v>289.39</v>
      </c>
      <c r="BV16" s="176">
        <v>289.39</v>
      </c>
      <c r="BW16" s="176">
        <f>1095.36-739.92</f>
        <v>355.43999999999994</v>
      </c>
      <c r="BX16" s="176"/>
      <c r="BY16" s="182"/>
      <c r="BZ16" s="191"/>
      <c r="CA16" s="181"/>
    </row>
    <row r="17" spans="1:80" s="191" customFormat="1">
      <c r="A17" s="236"/>
      <c r="B17" s="227"/>
      <c r="C17" s="239"/>
      <c r="D17" s="239"/>
      <c r="E17" s="239"/>
      <c r="F17" s="239"/>
      <c r="G17" s="239"/>
      <c r="H17" s="239"/>
      <c r="I17" s="192"/>
      <c r="J17" s="176">
        <f t="shared" ref="J17:BE17" si="0">SUM(J2:J15)-J16</f>
        <v>0</v>
      </c>
      <c r="K17" s="176">
        <f t="shared" si="0"/>
        <v>0</v>
      </c>
      <c r="L17" s="176">
        <f t="shared" si="0"/>
        <v>0</v>
      </c>
      <c r="M17" s="176">
        <f t="shared" si="0"/>
        <v>0</v>
      </c>
      <c r="N17" s="176">
        <f t="shared" si="0"/>
        <v>0</v>
      </c>
      <c r="O17" s="176">
        <f t="shared" si="0"/>
        <v>0</v>
      </c>
      <c r="P17" s="176">
        <f t="shared" si="0"/>
        <v>0</v>
      </c>
      <c r="Q17" s="176">
        <f t="shared" si="0"/>
        <v>0</v>
      </c>
      <c r="R17" s="176">
        <f t="shared" si="0"/>
        <v>0</v>
      </c>
      <c r="S17" s="176">
        <f t="shared" si="0"/>
        <v>0</v>
      </c>
      <c r="T17" s="176">
        <f t="shared" si="0"/>
        <v>0</v>
      </c>
      <c r="U17" s="176">
        <f t="shared" si="0"/>
        <v>0</v>
      </c>
      <c r="V17" s="176">
        <f t="shared" si="0"/>
        <v>0</v>
      </c>
      <c r="W17" s="176">
        <f t="shared" si="0"/>
        <v>0</v>
      </c>
      <c r="X17" s="176">
        <f t="shared" si="0"/>
        <v>0</v>
      </c>
      <c r="Y17" s="176">
        <f t="shared" si="0"/>
        <v>0</v>
      </c>
      <c r="Z17" s="176">
        <f t="shared" si="0"/>
        <v>0</v>
      </c>
      <c r="AA17" s="176">
        <f t="shared" si="0"/>
        <v>0</v>
      </c>
      <c r="AB17" s="176">
        <f t="shared" si="0"/>
        <v>0</v>
      </c>
      <c r="AC17" s="176">
        <f t="shared" si="0"/>
        <v>0</v>
      </c>
      <c r="AD17" s="176">
        <f t="shared" si="0"/>
        <v>0</v>
      </c>
      <c r="AE17" s="176">
        <f t="shared" si="0"/>
        <v>0</v>
      </c>
      <c r="AF17" s="176">
        <f t="shared" si="0"/>
        <v>0</v>
      </c>
      <c r="AG17" s="176">
        <f t="shared" si="0"/>
        <v>0</v>
      </c>
      <c r="AH17" s="176">
        <f t="shared" si="0"/>
        <v>0</v>
      </c>
      <c r="AI17" s="176">
        <f t="shared" si="0"/>
        <v>0</v>
      </c>
      <c r="AJ17" s="176">
        <f t="shared" si="0"/>
        <v>0</v>
      </c>
      <c r="AK17" s="176">
        <f t="shared" si="0"/>
        <v>0</v>
      </c>
      <c r="AL17" s="176">
        <f t="shared" si="0"/>
        <v>0</v>
      </c>
      <c r="AM17" s="176">
        <f t="shared" si="0"/>
        <v>0</v>
      </c>
      <c r="AN17" s="176">
        <f t="shared" si="0"/>
        <v>0</v>
      </c>
      <c r="AO17" s="176">
        <f t="shared" si="0"/>
        <v>0</v>
      </c>
      <c r="AP17" s="176">
        <f t="shared" si="0"/>
        <v>0</v>
      </c>
      <c r="AQ17" s="176">
        <f t="shared" si="0"/>
        <v>0</v>
      </c>
      <c r="AR17" s="176">
        <f t="shared" si="0"/>
        <v>0</v>
      </c>
      <c r="AS17" s="176">
        <f t="shared" si="0"/>
        <v>0</v>
      </c>
      <c r="AT17" s="176">
        <f t="shared" si="0"/>
        <v>0</v>
      </c>
      <c r="AU17" s="176">
        <f t="shared" si="0"/>
        <v>62.939999999999991</v>
      </c>
      <c r="AV17" s="176">
        <f t="shared" si="0"/>
        <v>2474.73</v>
      </c>
      <c r="AW17" s="176">
        <f t="shared" si="0"/>
        <v>2315.37</v>
      </c>
      <c r="AX17" s="176">
        <f t="shared" si="0"/>
        <v>2563.6899999999996</v>
      </c>
      <c r="AY17" s="176">
        <f t="shared" si="0"/>
        <v>2805.77</v>
      </c>
      <c r="AZ17" s="176">
        <f t="shared" si="0"/>
        <v>2343.12</v>
      </c>
      <c r="BA17" s="176">
        <f t="shared" si="0"/>
        <v>2343.12</v>
      </c>
      <c r="BB17" s="176">
        <f t="shared" si="0"/>
        <v>3331.07</v>
      </c>
      <c r="BC17" s="176">
        <f t="shared" si="0"/>
        <v>2352.7199999999998</v>
      </c>
      <c r="BD17" s="176">
        <f t="shared" si="0"/>
        <v>2333.52</v>
      </c>
      <c r="BE17" s="176">
        <f t="shared" si="0"/>
        <v>2323.92</v>
      </c>
      <c r="BF17" s="176">
        <f>SUM(BF3+BF6+BF8+BF10)-BF16</f>
        <v>3293.79</v>
      </c>
      <c r="BG17" s="176">
        <f>SUM(BG3+BG6+BG8+BG10)-BG16</f>
        <v>2333.52</v>
      </c>
      <c r="BH17" s="176">
        <f>SUM(BH3+BH6+BH8+BH10+BH11)-BH16</f>
        <v>4333.5199999999995</v>
      </c>
      <c r="BI17" s="176">
        <f>BI3+BI8+BI10-BI16</f>
        <v>2344.71</v>
      </c>
      <c r="BJ17" s="176">
        <f>BJ3+BJ8+BJ10-BJ16</f>
        <v>2325.5100000000002</v>
      </c>
      <c r="BK17" s="176">
        <f>BK3+BK5+BK8+BK10-BK16</f>
        <v>3891.85</v>
      </c>
      <c r="BL17" s="176">
        <f t="shared" ref="BL17:BT17" si="1">BL3+BL8+BL10-BL16</f>
        <v>2347.11</v>
      </c>
      <c r="BM17" s="176">
        <f t="shared" si="1"/>
        <v>2368.11</v>
      </c>
      <c r="BN17" s="176">
        <f t="shared" si="1"/>
        <v>2347.11</v>
      </c>
      <c r="BO17" s="176">
        <f t="shared" si="1"/>
        <v>2368.11</v>
      </c>
      <c r="BP17" s="176">
        <f t="shared" si="1"/>
        <v>2357.61</v>
      </c>
      <c r="BQ17" s="176">
        <f t="shared" si="1"/>
        <v>2368.11</v>
      </c>
      <c r="BR17" s="176">
        <f t="shared" si="1"/>
        <v>2378.61</v>
      </c>
      <c r="BS17" s="176">
        <f t="shared" si="1"/>
        <v>2649.78</v>
      </c>
      <c r="BT17" s="176">
        <f t="shared" si="1"/>
        <v>2301.92</v>
      </c>
      <c r="BU17" s="176">
        <f t="shared" ref="BU17:BV17" si="2">BU3+BU8+BU10-BU16</f>
        <v>2333.92</v>
      </c>
      <c r="BV17" s="176">
        <f t="shared" si="2"/>
        <v>2312.42</v>
      </c>
      <c r="BW17" s="176">
        <f>BW3+BW5+BW8+BW10-BW16</f>
        <v>3341.11</v>
      </c>
      <c r="BX17" s="176">
        <f>SUM(J17:BW17)</f>
        <v>73246.790000000008</v>
      </c>
    </row>
    <row r="18" spans="1:80" ht="15.6" customHeight="1">
      <c r="A18" s="148" t="s">
        <v>346</v>
      </c>
      <c r="B18" s="148" t="s">
        <v>347</v>
      </c>
      <c r="C18" s="145" t="s">
        <v>310</v>
      </c>
      <c r="D18" s="145" t="s">
        <v>311</v>
      </c>
      <c r="E18" s="148" t="s">
        <v>312</v>
      </c>
      <c r="F18" s="148" t="s">
        <v>348</v>
      </c>
      <c r="G18" s="145" t="s">
        <v>314</v>
      </c>
      <c r="H18" s="145" t="s">
        <v>315</v>
      </c>
      <c r="I18" s="145" t="s">
        <v>349</v>
      </c>
      <c r="J18" s="146">
        <v>44105</v>
      </c>
      <c r="K18" s="146">
        <v>44136</v>
      </c>
      <c r="L18" s="146">
        <v>44166</v>
      </c>
      <c r="M18" s="146">
        <v>44197</v>
      </c>
      <c r="N18" s="146">
        <v>44228</v>
      </c>
      <c r="O18" s="146">
        <v>44256</v>
      </c>
      <c r="P18" s="146">
        <v>44287</v>
      </c>
      <c r="Q18" s="146">
        <v>44317</v>
      </c>
      <c r="R18" s="146">
        <v>44348</v>
      </c>
      <c r="S18" s="146">
        <v>44378</v>
      </c>
      <c r="T18" s="146">
        <v>44409</v>
      </c>
      <c r="U18" s="146">
        <v>44440</v>
      </c>
      <c r="V18" s="146">
        <v>44470</v>
      </c>
      <c r="W18" s="146">
        <v>44501</v>
      </c>
      <c r="X18" s="146">
        <v>44531</v>
      </c>
      <c r="Y18" s="146">
        <v>44562</v>
      </c>
      <c r="Z18" s="146">
        <v>44593</v>
      </c>
      <c r="AA18" s="146">
        <v>44621</v>
      </c>
      <c r="AB18" s="146">
        <v>44652</v>
      </c>
      <c r="AC18" s="146">
        <v>44682</v>
      </c>
      <c r="AD18" s="146">
        <v>44713</v>
      </c>
      <c r="AE18" s="146">
        <v>44743</v>
      </c>
      <c r="AF18" s="146">
        <v>44774</v>
      </c>
      <c r="AG18" s="146">
        <v>44805</v>
      </c>
      <c r="AH18" s="146">
        <v>44835</v>
      </c>
      <c r="AI18" s="146">
        <v>44866</v>
      </c>
      <c r="AJ18" s="146">
        <v>44896</v>
      </c>
      <c r="AK18" s="146">
        <v>44927</v>
      </c>
      <c r="AL18" s="146">
        <v>44958</v>
      </c>
      <c r="AM18" s="146">
        <v>44986</v>
      </c>
      <c r="AN18" s="146">
        <v>45017</v>
      </c>
      <c r="AO18" s="146">
        <v>45047</v>
      </c>
      <c r="AP18" s="146">
        <v>45078</v>
      </c>
      <c r="AQ18" s="146">
        <v>45108</v>
      </c>
      <c r="AR18" s="146">
        <v>45139</v>
      </c>
      <c r="AS18" s="146">
        <v>45170</v>
      </c>
      <c r="AT18" s="146">
        <v>45200</v>
      </c>
      <c r="AU18" s="146">
        <v>45231</v>
      </c>
      <c r="AV18" s="146">
        <v>45261</v>
      </c>
      <c r="AW18" s="146">
        <v>45292</v>
      </c>
      <c r="AX18" s="146">
        <v>45323</v>
      </c>
      <c r="AY18" s="146">
        <v>45352</v>
      </c>
      <c r="AZ18" s="146">
        <v>45383</v>
      </c>
      <c r="BA18" s="146">
        <v>45413</v>
      </c>
      <c r="BB18" s="146">
        <v>45444</v>
      </c>
      <c r="BC18" s="146">
        <v>45474</v>
      </c>
      <c r="BD18" s="146">
        <v>45505</v>
      </c>
      <c r="BE18" s="146">
        <v>45536</v>
      </c>
      <c r="BF18" s="146">
        <v>45566</v>
      </c>
      <c r="BG18" s="146">
        <v>45597</v>
      </c>
      <c r="BH18" s="146">
        <v>45627</v>
      </c>
      <c r="BI18" s="146">
        <v>45658</v>
      </c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7" t="s">
        <v>13</v>
      </c>
      <c r="BY18" s="5"/>
      <c r="BZ18" s="5"/>
      <c r="CA18" s="5"/>
    </row>
    <row r="19" spans="1:80">
      <c r="A19" s="264">
        <v>2</v>
      </c>
      <c r="B19" s="241" t="s">
        <v>20</v>
      </c>
      <c r="C19" s="250" t="s">
        <v>23</v>
      </c>
      <c r="D19" s="250" t="s">
        <v>89</v>
      </c>
      <c r="E19" s="250" t="s">
        <v>150</v>
      </c>
      <c r="F19" s="250" t="s">
        <v>150</v>
      </c>
      <c r="G19" s="271">
        <f>'CONSOLIDADO ATIVO INATIVO NOVO'!J2</f>
        <v>44270</v>
      </c>
      <c r="H19" s="271">
        <v>45664</v>
      </c>
      <c r="I19" s="21" t="s">
        <v>350</v>
      </c>
      <c r="J19" s="21"/>
      <c r="K19" s="21"/>
      <c r="L19" s="21"/>
      <c r="M19" s="53"/>
      <c r="N19" s="53"/>
      <c r="O19" s="53"/>
      <c r="P19" s="53"/>
      <c r="Q19" s="53"/>
      <c r="R19" s="19"/>
      <c r="S19" s="53"/>
      <c r="T19" s="53"/>
      <c r="U19" s="53"/>
      <c r="V19" s="3"/>
      <c r="W19" s="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9"/>
      <c r="BZ19" s="5"/>
      <c r="CA19" s="5"/>
    </row>
    <row r="20" spans="1:80">
      <c r="A20" s="265"/>
      <c r="B20" s="241"/>
      <c r="C20" s="251"/>
      <c r="D20" s="251"/>
      <c r="E20" s="251"/>
      <c r="F20" s="251"/>
      <c r="G20" s="251"/>
      <c r="H20" s="251"/>
      <c r="I20" s="21" t="s">
        <v>351</v>
      </c>
      <c r="J20" s="21"/>
      <c r="K20" s="21"/>
      <c r="L20" s="2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>
        <v>1664.83</v>
      </c>
      <c r="AW20" s="3">
        <v>1849.81</v>
      </c>
      <c r="AX20" s="3">
        <v>1849.81</v>
      </c>
      <c r="AY20" s="3">
        <v>1849.81</v>
      </c>
      <c r="AZ20" s="3">
        <v>1849.81</v>
      </c>
      <c r="BA20" s="3">
        <v>1849.81</v>
      </c>
      <c r="BB20" s="105">
        <v>1849.81</v>
      </c>
      <c r="BC20" s="105"/>
      <c r="BD20" s="105"/>
      <c r="BE20" s="105"/>
      <c r="BF20" s="105"/>
      <c r="BG20" s="105">
        <v>1664.83</v>
      </c>
      <c r="BH20" s="105">
        <v>1849.81</v>
      </c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9"/>
      <c r="BY20" s="6"/>
      <c r="CA20" s="5"/>
    </row>
    <row r="21" spans="1:80" ht="14.45" customHeight="1">
      <c r="A21" s="265"/>
      <c r="B21" s="241"/>
      <c r="C21" s="251"/>
      <c r="D21" s="251"/>
      <c r="E21" s="251"/>
      <c r="F21" s="251"/>
      <c r="G21" s="251"/>
      <c r="H21" s="251"/>
      <c r="I21" s="21" t="s">
        <v>352</v>
      </c>
      <c r="J21" s="21"/>
      <c r="K21" s="21"/>
      <c r="L21" s="2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9"/>
      <c r="BY21" s="6"/>
      <c r="BZ21" s="85"/>
      <c r="CA21" s="85"/>
    </row>
    <row r="22" spans="1:80">
      <c r="A22" s="265"/>
      <c r="B22" s="241"/>
      <c r="C22" s="251"/>
      <c r="D22" s="251"/>
      <c r="E22" s="251"/>
      <c r="F22" s="251"/>
      <c r="G22" s="251"/>
      <c r="H22" s="251"/>
      <c r="I22" s="21" t="s">
        <v>353</v>
      </c>
      <c r="J22" s="21"/>
      <c r="K22" s="21"/>
      <c r="L22" s="2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9"/>
      <c r="BY22" s="6"/>
      <c r="BZ22" s="85"/>
      <c r="CA22" s="85"/>
    </row>
    <row r="23" spans="1:80">
      <c r="A23" s="265"/>
      <c r="B23" s="241"/>
      <c r="C23" s="251"/>
      <c r="D23" s="251"/>
      <c r="E23" s="251"/>
      <c r="F23" s="251"/>
      <c r="G23" s="251"/>
      <c r="H23" s="251"/>
      <c r="I23" s="21" t="s">
        <v>354</v>
      </c>
      <c r="J23" s="21"/>
      <c r="K23" s="21"/>
      <c r="L23" s="2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9"/>
      <c r="BY23" s="6"/>
      <c r="BZ23" s="85"/>
      <c r="CA23" s="85"/>
    </row>
    <row r="24" spans="1:80">
      <c r="A24" s="265"/>
      <c r="B24" s="241"/>
      <c r="C24" s="251"/>
      <c r="D24" s="251"/>
      <c r="E24" s="251"/>
      <c r="F24" s="251"/>
      <c r="G24" s="251"/>
      <c r="H24" s="251"/>
      <c r="I24" s="21" t="s">
        <v>355</v>
      </c>
      <c r="J24" s="21"/>
      <c r="K24" s="21"/>
      <c r="L24" s="2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9"/>
      <c r="BY24" s="6"/>
      <c r="BZ24" s="85"/>
      <c r="CA24" s="85"/>
    </row>
    <row r="25" spans="1:80">
      <c r="A25" s="265"/>
      <c r="B25" s="241"/>
      <c r="C25" s="251"/>
      <c r="D25" s="251"/>
      <c r="E25" s="251"/>
      <c r="F25" s="251"/>
      <c r="G25" s="251"/>
      <c r="H25" s="251"/>
      <c r="I25" s="21" t="s">
        <v>356</v>
      </c>
      <c r="J25" s="21"/>
      <c r="K25" s="21"/>
      <c r="L25" s="2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9"/>
      <c r="BY25" s="6"/>
      <c r="BZ25" s="85"/>
      <c r="CA25" s="85"/>
    </row>
    <row r="26" spans="1:80">
      <c r="A26" s="265"/>
      <c r="B26" s="241"/>
      <c r="C26" s="251"/>
      <c r="D26" s="251"/>
      <c r="E26" s="251"/>
      <c r="F26" s="251"/>
      <c r="G26" s="251"/>
      <c r="H26" s="251"/>
      <c r="I26" s="21" t="s">
        <v>357</v>
      </c>
      <c r="J26" s="21"/>
      <c r="K26" s="21"/>
      <c r="L26" s="2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>
        <f>90.3+435.34</f>
        <v>525.64</v>
      </c>
      <c r="AW26" s="3">
        <v>513.51</v>
      </c>
      <c r="AX26" s="3">
        <v>522.53</v>
      </c>
      <c r="AY26" s="3">
        <v>534.61</v>
      </c>
      <c r="AZ26" s="105">
        <v>532.01</v>
      </c>
      <c r="BA26" s="105">
        <v>533.03</v>
      </c>
      <c r="BB26" s="105">
        <v>532.99</v>
      </c>
      <c r="BC26" s="105">
        <v>541.49</v>
      </c>
      <c r="BD26" s="105"/>
      <c r="BE26" s="105"/>
      <c r="BF26" s="105"/>
      <c r="BG26" s="105">
        <v>288</v>
      </c>
      <c r="BH26" s="105">
        <v>490.01</v>
      </c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9"/>
      <c r="BY26" s="6"/>
      <c r="BZ26" s="85"/>
      <c r="CA26" s="85"/>
    </row>
    <row r="27" spans="1:80">
      <c r="A27" s="265"/>
      <c r="B27" s="241"/>
      <c r="C27" s="251"/>
      <c r="D27" s="251"/>
      <c r="E27" s="251"/>
      <c r="F27" s="251"/>
      <c r="G27" s="251"/>
      <c r="H27" s="251"/>
      <c r="I27" s="21" t="s">
        <v>358</v>
      </c>
      <c r="J27" s="21"/>
      <c r="K27" s="21"/>
      <c r="L27" s="2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9"/>
      <c r="BY27" s="6"/>
      <c r="BZ27" s="85"/>
      <c r="CA27" s="85"/>
    </row>
    <row r="28" spans="1:80">
      <c r="A28" s="265"/>
      <c r="B28" s="241"/>
      <c r="C28" s="251"/>
      <c r="D28" s="251"/>
      <c r="E28" s="251"/>
      <c r="F28" s="251"/>
      <c r="G28" s="251"/>
      <c r="H28" s="251"/>
      <c r="I28" s="21" t="s">
        <v>360</v>
      </c>
      <c r="J28" s="21"/>
      <c r="K28" s="21"/>
      <c r="L28" s="2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9"/>
      <c r="BY28" s="6"/>
      <c r="BZ28" s="85"/>
      <c r="CA28" s="85"/>
    </row>
    <row r="29" spans="1:80">
      <c r="A29" s="265"/>
      <c r="B29" s="241"/>
      <c r="C29" s="251"/>
      <c r="D29" s="251"/>
      <c r="E29" s="251"/>
      <c r="F29" s="251"/>
      <c r="G29" s="251"/>
      <c r="H29" s="251"/>
      <c r="I29" s="21" t="s">
        <v>361</v>
      </c>
      <c r="J29" s="21"/>
      <c r="K29" s="21"/>
      <c r="L29" s="2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9"/>
      <c r="BY29" s="6"/>
      <c r="BZ29" s="85"/>
      <c r="CA29" s="85"/>
      <c r="CB29" s="5"/>
    </row>
    <row r="30" spans="1:80" s="17" customFormat="1">
      <c r="A30" s="265"/>
      <c r="B30" s="241"/>
      <c r="C30" s="251"/>
      <c r="D30" s="251"/>
      <c r="E30" s="251"/>
      <c r="F30" s="251"/>
      <c r="G30" s="251"/>
      <c r="H30" s="251"/>
      <c r="I30" s="23" t="s">
        <v>362</v>
      </c>
      <c r="J30" s="23"/>
      <c r="K30" s="23"/>
      <c r="L30" s="2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4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13"/>
      <c r="BC30" s="111">
        <v>3603.58</v>
      </c>
      <c r="BD30" s="111"/>
      <c r="BE30" s="111"/>
      <c r="BF30" s="111"/>
      <c r="BG30" s="111"/>
      <c r="BH30" s="111"/>
      <c r="BI30" s="111">
        <v>44.12</v>
      </c>
      <c r="BJ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42"/>
      <c r="BY30" s="6"/>
      <c r="BZ30" s="15"/>
      <c r="CA30" s="16"/>
    </row>
    <row r="31" spans="1:80">
      <c r="A31" s="265"/>
      <c r="B31" s="241"/>
      <c r="C31" s="251"/>
      <c r="D31" s="251"/>
      <c r="E31" s="251"/>
      <c r="F31" s="251"/>
      <c r="G31" s="251"/>
      <c r="H31" s="251"/>
      <c r="I31" s="22" t="s">
        <v>363</v>
      </c>
      <c r="J31" s="22"/>
      <c r="K31" s="22"/>
      <c r="L31" s="2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>
        <v>142.59</v>
      </c>
      <c r="AW31" s="3"/>
      <c r="AX31" s="3"/>
      <c r="AY31" s="3"/>
      <c r="AZ31" s="3"/>
      <c r="BA31" s="3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9"/>
      <c r="BY31" s="6"/>
      <c r="BZ31" s="1"/>
      <c r="CA31" s="5"/>
    </row>
    <row r="32" spans="1:80">
      <c r="A32" s="265"/>
      <c r="B32" s="241"/>
      <c r="C32" s="251"/>
      <c r="D32" s="251"/>
      <c r="E32" s="251"/>
      <c r="F32" s="251"/>
      <c r="G32" s="251"/>
      <c r="H32" s="251"/>
      <c r="I32" s="21" t="s">
        <v>364</v>
      </c>
      <c r="J32" s="21"/>
      <c r="K32" s="21"/>
      <c r="L32" s="2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>
        <v>130.03</v>
      </c>
      <c r="AW32" s="3">
        <v>173.05</v>
      </c>
      <c r="AX32" s="3">
        <v>145.30000000000001</v>
      </c>
      <c r="AY32" s="3">
        <f>145.3+27.75</f>
        <v>173.05</v>
      </c>
      <c r="AZ32" s="3">
        <v>145.30000000000001</v>
      </c>
      <c r="BA32" s="3">
        <v>145.30000000000001</v>
      </c>
      <c r="BB32" s="105">
        <v>145.30000000000001</v>
      </c>
      <c r="BC32" s="105">
        <v>2232.9899999999998</v>
      </c>
      <c r="BD32" s="105"/>
      <c r="BE32" s="105"/>
      <c r="BF32" s="105"/>
      <c r="BG32" s="105">
        <v>240.87</v>
      </c>
      <c r="BH32" s="105">
        <v>652.04999999999995</v>
      </c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9"/>
      <c r="BY32" s="6"/>
      <c r="BZ32" s="1"/>
      <c r="CA32" s="5"/>
    </row>
    <row r="33" spans="1:79" s="1" customFormat="1">
      <c r="A33" s="266"/>
      <c r="B33" s="241"/>
      <c r="C33" s="252"/>
      <c r="D33" s="252"/>
      <c r="E33" s="252"/>
      <c r="F33" s="252"/>
      <c r="G33" s="252"/>
      <c r="H33" s="252"/>
      <c r="I33" s="54"/>
      <c r="J33" s="3">
        <f t="shared" ref="J33:BC33" si="3">SUM(J19:J31)-J32</f>
        <v>0</v>
      </c>
      <c r="K33" s="3">
        <f t="shared" si="3"/>
        <v>0</v>
      </c>
      <c r="L33" s="3">
        <f t="shared" si="3"/>
        <v>0</v>
      </c>
      <c r="M33" s="3">
        <f t="shared" si="3"/>
        <v>0</v>
      </c>
      <c r="N33" s="3">
        <f t="shared" si="3"/>
        <v>0</v>
      </c>
      <c r="O33" s="3">
        <f t="shared" si="3"/>
        <v>0</v>
      </c>
      <c r="P33" s="3">
        <f t="shared" si="3"/>
        <v>0</v>
      </c>
      <c r="Q33" s="3">
        <f t="shared" si="3"/>
        <v>0</v>
      </c>
      <c r="R33" s="3">
        <f t="shared" si="3"/>
        <v>0</v>
      </c>
      <c r="S33" s="3">
        <f t="shared" si="3"/>
        <v>0</v>
      </c>
      <c r="T33" s="3">
        <f t="shared" si="3"/>
        <v>0</v>
      </c>
      <c r="U33" s="3">
        <f t="shared" si="3"/>
        <v>0</v>
      </c>
      <c r="V33" s="3">
        <f t="shared" si="3"/>
        <v>0</v>
      </c>
      <c r="W33" s="3">
        <f t="shared" si="3"/>
        <v>0</v>
      </c>
      <c r="X33" s="3">
        <f t="shared" si="3"/>
        <v>0</v>
      </c>
      <c r="Y33" s="3">
        <f t="shared" si="3"/>
        <v>0</v>
      </c>
      <c r="Z33" s="3">
        <f t="shared" si="3"/>
        <v>0</v>
      </c>
      <c r="AA33" s="3">
        <f t="shared" si="3"/>
        <v>0</v>
      </c>
      <c r="AB33" s="3">
        <f t="shared" si="3"/>
        <v>0</v>
      </c>
      <c r="AC33" s="3">
        <f t="shared" si="3"/>
        <v>0</v>
      </c>
      <c r="AD33" s="3">
        <f t="shared" si="3"/>
        <v>0</v>
      </c>
      <c r="AE33" s="3">
        <f t="shared" si="3"/>
        <v>0</v>
      </c>
      <c r="AF33" s="3">
        <f t="shared" si="3"/>
        <v>0</v>
      </c>
      <c r="AG33" s="3">
        <f t="shared" si="3"/>
        <v>0</v>
      </c>
      <c r="AH33" s="3">
        <f t="shared" si="3"/>
        <v>0</v>
      </c>
      <c r="AI33" s="3">
        <f t="shared" si="3"/>
        <v>0</v>
      </c>
      <c r="AJ33" s="3">
        <f t="shared" si="3"/>
        <v>0</v>
      </c>
      <c r="AK33" s="3">
        <f t="shared" si="3"/>
        <v>0</v>
      </c>
      <c r="AL33" s="3">
        <f t="shared" si="3"/>
        <v>0</v>
      </c>
      <c r="AM33" s="3">
        <f t="shared" si="3"/>
        <v>0</v>
      </c>
      <c r="AN33" s="3">
        <f t="shared" si="3"/>
        <v>0</v>
      </c>
      <c r="AO33" s="3">
        <f t="shared" si="3"/>
        <v>0</v>
      </c>
      <c r="AP33" s="3">
        <f t="shared" si="3"/>
        <v>0</v>
      </c>
      <c r="AQ33" s="3">
        <f t="shared" si="3"/>
        <v>0</v>
      </c>
      <c r="AR33" s="3">
        <f t="shared" si="3"/>
        <v>0</v>
      </c>
      <c r="AS33" s="3">
        <f t="shared" si="3"/>
        <v>0</v>
      </c>
      <c r="AT33" s="3">
        <f t="shared" si="3"/>
        <v>0</v>
      </c>
      <c r="AU33" s="3">
        <f t="shared" si="3"/>
        <v>0</v>
      </c>
      <c r="AV33" s="3">
        <f t="shared" si="3"/>
        <v>2203.0299999999997</v>
      </c>
      <c r="AW33" s="3">
        <f t="shared" si="3"/>
        <v>2190.2699999999995</v>
      </c>
      <c r="AX33" s="3">
        <f t="shared" si="3"/>
        <v>2227.04</v>
      </c>
      <c r="AY33" s="3">
        <f t="shared" si="3"/>
        <v>2211.37</v>
      </c>
      <c r="AZ33" s="3">
        <f t="shared" si="3"/>
        <v>2236.5199999999995</v>
      </c>
      <c r="BA33" s="3">
        <f t="shared" si="3"/>
        <v>2237.54</v>
      </c>
      <c r="BB33" s="105">
        <f t="shared" si="3"/>
        <v>2237.5</v>
      </c>
      <c r="BC33" s="105">
        <f t="shared" si="3"/>
        <v>1912.08</v>
      </c>
      <c r="BD33" s="105"/>
      <c r="BE33" s="105"/>
      <c r="BF33" s="105"/>
      <c r="BG33" s="105">
        <f>SUM(BG19:BG31)-BG32</f>
        <v>1711.96</v>
      </c>
      <c r="BH33" s="105">
        <f>SUM(BH19:BH31)-BH32</f>
        <v>1687.7699999999998</v>
      </c>
      <c r="BI33" s="111">
        <v>44.12</v>
      </c>
      <c r="BJ33" s="111"/>
      <c r="BK33" s="111"/>
      <c r="BL33" s="111"/>
      <c r="BM33" s="111"/>
      <c r="BN33" s="111"/>
      <c r="BO33" s="111"/>
      <c r="BP33" s="111"/>
      <c r="BQ33" s="111"/>
      <c r="BR33" s="111"/>
      <c r="BS33" s="111"/>
      <c r="BT33" s="111"/>
      <c r="BU33" s="111"/>
      <c r="BV33" s="111"/>
      <c r="BW33" s="111"/>
      <c r="BX33" s="105">
        <f>SUM(J33:BJ33)</f>
        <v>20899.199999999997</v>
      </c>
    </row>
    <row r="34" spans="1:79" ht="15.6" customHeight="1">
      <c r="A34" s="148" t="s">
        <v>346</v>
      </c>
      <c r="B34" s="148" t="s">
        <v>347</v>
      </c>
      <c r="C34" s="145" t="s">
        <v>310</v>
      </c>
      <c r="D34" s="145" t="s">
        <v>311</v>
      </c>
      <c r="E34" s="148" t="s">
        <v>312</v>
      </c>
      <c r="F34" s="148" t="s">
        <v>348</v>
      </c>
      <c r="G34" s="145" t="s">
        <v>314</v>
      </c>
      <c r="H34" s="145" t="s">
        <v>315</v>
      </c>
      <c r="I34" s="145" t="s">
        <v>349</v>
      </c>
      <c r="J34" s="146">
        <v>44105</v>
      </c>
      <c r="K34" s="146">
        <v>44136</v>
      </c>
      <c r="L34" s="146">
        <v>44166</v>
      </c>
      <c r="M34" s="146">
        <v>44197</v>
      </c>
      <c r="N34" s="146">
        <v>44228</v>
      </c>
      <c r="O34" s="146">
        <v>44256</v>
      </c>
      <c r="P34" s="146">
        <v>44287</v>
      </c>
      <c r="Q34" s="146">
        <v>44317</v>
      </c>
      <c r="R34" s="146">
        <v>44348</v>
      </c>
      <c r="S34" s="146">
        <v>44378</v>
      </c>
      <c r="T34" s="146">
        <v>44409</v>
      </c>
      <c r="U34" s="146">
        <v>44440</v>
      </c>
      <c r="V34" s="146">
        <v>44470</v>
      </c>
      <c r="W34" s="146">
        <v>44501</v>
      </c>
      <c r="X34" s="146">
        <v>44531</v>
      </c>
      <c r="Y34" s="146">
        <v>44562</v>
      </c>
      <c r="Z34" s="146">
        <v>44593</v>
      </c>
      <c r="AA34" s="146">
        <v>44621</v>
      </c>
      <c r="AB34" s="146">
        <v>44652</v>
      </c>
      <c r="AC34" s="146">
        <v>44682</v>
      </c>
      <c r="AD34" s="146">
        <v>44713</v>
      </c>
      <c r="AE34" s="146">
        <v>44743</v>
      </c>
      <c r="AF34" s="146">
        <v>44774</v>
      </c>
      <c r="AG34" s="146">
        <v>44805</v>
      </c>
      <c r="AH34" s="146">
        <v>44835</v>
      </c>
      <c r="AI34" s="146">
        <v>44866</v>
      </c>
      <c r="AJ34" s="146">
        <v>44896</v>
      </c>
      <c r="AK34" s="146">
        <v>44927</v>
      </c>
      <c r="AL34" s="146">
        <v>44958</v>
      </c>
      <c r="AM34" s="146">
        <v>44986</v>
      </c>
      <c r="AN34" s="146">
        <v>45017</v>
      </c>
      <c r="AO34" s="146">
        <v>45047</v>
      </c>
      <c r="AP34" s="146">
        <v>45078</v>
      </c>
      <c r="AQ34" s="146">
        <v>45108</v>
      </c>
      <c r="AR34" s="146">
        <v>45139</v>
      </c>
      <c r="AS34" s="146">
        <v>45170</v>
      </c>
      <c r="AT34" s="146">
        <v>45200</v>
      </c>
      <c r="AU34" s="146">
        <v>45231</v>
      </c>
      <c r="AV34" s="146">
        <v>45261</v>
      </c>
      <c r="AW34" s="146">
        <v>45292</v>
      </c>
      <c r="AX34" s="146">
        <v>45323</v>
      </c>
      <c r="AY34" s="146">
        <v>45352</v>
      </c>
      <c r="AZ34" s="146">
        <v>45383</v>
      </c>
      <c r="BA34" s="146">
        <v>45413</v>
      </c>
      <c r="BB34" s="146">
        <v>45444</v>
      </c>
      <c r="BC34" s="146">
        <v>45474</v>
      </c>
      <c r="BD34" s="146">
        <v>45505</v>
      </c>
      <c r="BE34" s="146">
        <v>45536</v>
      </c>
      <c r="BF34" s="146">
        <v>45566</v>
      </c>
      <c r="BG34" s="146">
        <v>45597</v>
      </c>
      <c r="BH34" s="146">
        <v>45627</v>
      </c>
      <c r="BI34" s="146">
        <v>45658</v>
      </c>
      <c r="BJ34" s="146">
        <v>45689</v>
      </c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7" t="s">
        <v>13</v>
      </c>
      <c r="BY34" s="5"/>
      <c r="BZ34" s="5"/>
      <c r="CA34" s="5"/>
    </row>
    <row r="35" spans="1:79">
      <c r="A35" s="264">
        <v>3</v>
      </c>
      <c r="B35" s="241" t="s">
        <v>24</v>
      </c>
      <c r="C35" s="253" t="s">
        <v>92</v>
      </c>
      <c r="D35" s="250" t="s">
        <v>89</v>
      </c>
      <c r="E35" s="250" t="s">
        <v>150</v>
      </c>
      <c r="F35" s="250" t="s">
        <v>150</v>
      </c>
      <c r="G35" s="256">
        <f>'CONSOLIDADO ATIVO INATIVO NOVO'!J4</f>
        <v>44256</v>
      </c>
      <c r="H35" s="253"/>
      <c r="I35" s="21" t="s">
        <v>350</v>
      </c>
      <c r="J35" s="21"/>
      <c r="K35" s="21"/>
      <c r="L35" s="21"/>
      <c r="M35" s="53"/>
      <c r="N35" s="53"/>
      <c r="O35" s="53"/>
      <c r="P35" s="53"/>
      <c r="Q35" s="53"/>
      <c r="R35" s="19"/>
      <c r="S35" s="53"/>
      <c r="T35" s="53"/>
      <c r="U35" s="53"/>
      <c r="V35" s="3"/>
      <c r="W35" s="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3"/>
      <c r="AZ35" s="19"/>
      <c r="BA35" s="19"/>
      <c r="BB35" s="105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5"/>
      <c r="BZ35" s="5"/>
      <c r="CA35" s="5"/>
    </row>
    <row r="36" spans="1:79">
      <c r="A36" s="265"/>
      <c r="B36" s="241"/>
      <c r="C36" s="254"/>
      <c r="D36" s="251"/>
      <c r="E36" s="251"/>
      <c r="F36" s="251"/>
      <c r="G36" s="254"/>
      <c r="H36" s="254"/>
      <c r="I36" s="21" t="s">
        <v>351</v>
      </c>
      <c r="J36" s="21"/>
      <c r="K36" s="21"/>
      <c r="L36" s="2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1233.21</v>
      </c>
      <c r="AX36" s="3">
        <v>1849.81</v>
      </c>
      <c r="AY36" s="3">
        <v>1849.81</v>
      </c>
      <c r="AZ36" s="3">
        <v>1999.81</v>
      </c>
      <c r="BA36" s="3">
        <v>1849.71</v>
      </c>
      <c r="BB36" s="105">
        <v>1849.81</v>
      </c>
      <c r="BC36" s="3">
        <v>1849.81</v>
      </c>
      <c r="BD36" s="3">
        <v>1849.81</v>
      </c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19"/>
      <c r="BY36" s="6"/>
      <c r="CA36" s="5"/>
    </row>
    <row r="37" spans="1:79">
      <c r="A37" s="265"/>
      <c r="B37" s="241"/>
      <c r="C37" s="254"/>
      <c r="D37" s="251"/>
      <c r="E37" s="251"/>
      <c r="F37" s="251"/>
      <c r="G37" s="254"/>
      <c r="H37" s="254"/>
      <c r="I37" s="21" t="s">
        <v>352</v>
      </c>
      <c r="J37" s="21"/>
      <c r="K37" s="21"/>
      <c r="L37" s="2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05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19"/>
      <c r="BY37" s="6"/>
      <c r="BZ37" s="85"/>
      <c r="CA37" s="85"/>
    </row>
    <row r="38" spans="1:79">
      <c r="A38" s="265"/>
      <c r="B38" s="241"/>
      <c r="C38" s="254"/>
      <c r="D38" s="251"/>
      <c r="E38" s="251"/>
      <c r="F38" s="251"/>
      <c r="G38" s="254"/>
      <c r="H38" s="254"/>
      <c r="I38" s="21" t="s">
        <v>353</v>
      </c>
      <c r="J38" s="21"/>
      <c r="K38" s="21"/>
      <c r="L38" s="2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58.96</v>
      </c>
      <c r="AY38" s="3"/>
      <c r="AZ38" s="3">
        <v>0.52</v>
      </c>
      <c r="BA38" s="3"/>
      <c r="BB38" s="105">
        <f>170.14+34.03</f>
        <v>204.17</v>
      </c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19"/>
      <c r="BY38" s="6"/>
      <c r="BZ38" s="85"/>
      <c r="CA38" s="85"/>
    </row>
    <row r="39" spans="1:79">
      <c r="A39" s="265"/>
      <c r="B39" s="241"/>
      <c r="C39" s="254"/>
      <c r="D39" s="251"/>
      <c r="E39" s="251"/>
      <c r="F39" s="251"/>
      <c r="G39" s="254"/>
      <c r="H39" s="254"/>
      <c r="I39" s="21" t="s">
        <v>354</v>
      </c>
      <c r="J39" s="21"/>
      <c r="K39" s="21"/>
      <c r="L39" s="2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05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19"/>
      <c r="BY39" s="6"/>
      <c r="BZ39" s="85"/>
      <c r="CA39" s="85"/>
    </row>
    <row r="40" spans="1:79">
      <c r="A40" s="265"/>
      <c r="B40" s="241"/>
      <c r="C40" s="254"/>
      <c r="D40" s="251"/>
      <c r="E40" s="251"/>
      <c r="F40" s="251"/>
      <c r="G40" s="254"/>
      <c r="H40" s="254"/>
      <c r="I40" s="21" t="s">
        <v>355</v>
      </c>
      <c r="J40" s="21"/>
      <c r="K40" s="21"/>
      <c r="L40" s="2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05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19"/>
      <c r="BY40" s="6"/>
      <c r="BZ40" s="85"/>
      <c r="CA40" s="85"/>
    </row>
    <row r="41" spans="1:79">
      <c r="A41" s="265"/>
      <c r="B41" s="241"/>
      <c r="C41" s="254"/>
      <c r="D41" s="251"/>
      <c r="E41" s="251"/>
      <c r="F41" s="251"/>
      <c r="G41" s="254"/>
      <c r="H41" s="254"/>
      <c r="I41" s="21" t="s">
        <v>356</v>
      </c>
      <c r="J41" s="21"/>
      <c r="K41" s="21"/>
      <c r="L41" s="21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05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19"/>
      <c r="BY41" s="6"/>
      <c r="BZ41" s="85"/>
      <c r="CA41" s="85"/>
    </row>
    <row r="42" spans="1:79">
      <c r="A42" s="265"/>
      <c r="B42" s="241"/>
      <c r="C42" s="254"/>
      <c r="D42" s="251"/>
      <c r="E42" s="251"/>
      <c r="F42" s="251"/>
      <c r="G42" s="254"/>
      <c r="H42" s="254"/>
      <c r="I42" s="21" t="s">
        <v>357</v>
      </c>
      <c r="J42" s="21"/>
      <c r="K42" s="21"/>
      <c r="L42" s="21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>
        <v>564.59</v>
      </c>
      <c r="AX42" s="3">
        <v>796.51</v>
      </c>
      <c r="AY42" s="3">
        <v>797.52</v>
      </c>
      <c r="AZ42" s="3">
        <v>820.01</v>
      </c>
      <c r="BA42" s="3">
        <v>822.11</v>
      </c>
      <c r="BB42" s="105">
        <v>795.5</v>
      </c>
      <c r="BC42" s="3">
        <v>843.51</v>
      </c>
      <c r="BD42" s="3">
        <v>844.54</v>
      </c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19"/>
      <c r="BY42" s="6"/>
      <c r="BZ42" s="85"/>
      <c r="CA42" s="85"/>
    </row>
    <row r="43" spans="1:79">
      <c r="A43" s="265"/>
      <c r="B43" s="241"/>
      <c r="C43" s="254"/>
      <c r="D43" s="251"/>
      <c r="E43" s="251"/>
      <c r="F43" s="251"/>
      <c r="G43" s="254"/>
      <c r="H43" s="254"/>
      <c r="I43" s="21" t="s">
        <v>358</v>
      </c>
      <c r="J43" s="21"/>
      <c r="K43" s="21"/>
      <c r="L43" s="21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05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19"/>
      <c r="BY43" s="6"/>
      <c r="BZ43" s="85"/>
      <c r="CA43" s="85"/>
    </row>
    <row r="44" spans="1:79">
      <c r="A44" s="265"/>
      <c r="B44" s="241"/>
      <c r="C44" s="254"/>
      <c r="D44" s="251"/>
      <c r="E44" s="251"/>
      <c r="F44" s="251"/>
      <c r="G44" s="254"/>
      <c r="H44" s="254"/>
      <c r="I44" s="21" t="s">
        <v>360</v>
      </c>
      <c r="J44" s="21"/>
      <c r="K44" s="21"/>
      <c r="L44" s="21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05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19"/>
      <c r="BY44" s="6"/>
      <c r="BZ44" s="85"/>
      <c r="CA44" s="85"/>
    </row>
    <row r="45" spans="1:79">
      <c r="A45" s="265"/>
      <c r="B45" s="241"/>
      <c r="C45" s="254"/>
      <c r="D45" s="251"/>
      <c r="E45" s="251"/>
      <c r="F45" s="251"/>
      <c r="G45" s="254"/>
      <c r="H45" s="254"/>
      <c r="I45" s="21" t="s">
        <v>361</v>
      </c>
      <c r="J45" s="21"/>
      <c r="K45" s="21"/>
      <c r="L45" s="21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05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19"/>
      <c r="BY45" s="6"/>
      <c r="BZ45" s="85"/>
      <c r="CA45" s="85"/>
    </row>
    <row r="46" spans="1:79" s="17" customFormat="1">
      <c r="A46" s="265"/>
      <c r="B46" s="241"/>
      <c r="C46" s="254"/>
      <c r="D46" s="251"/>
      <c r="E46" s="251"/>
      <c r="F46" s="251"/>
      <c r="G46" s="254"/>
      <c r="H46" s="254"/>
      <c r="I46" s="23" t="s">
        <v>362</v>
      </c>
      <c r="J46" s="23"/>
      <c r="K46" s="23"/>
      <c r="L46" s="2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4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13"/>
      <c r="BC46" s="13"/>
      <c r="BD46" s="13"/>
      <c r="BE46" s="13">
        <v>5131.76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42"/>
      <c r="BY46" s="6"/>
      <c r="BZ46" s="15"/>
      <c r="CA46" s="16"/>
    </row>
    <row r="47" spans="1:79">
      <c r="A47" s="265"/>
      <c r="B47" s="241"/>
      <c r="C47" s="254"/>
      <c r="D47" s="251"/>
      <c r="E47" s="251"/>
      <c r="F47" s="251"/>
      <c r="G47" s="254"/>
      <c r="H47" s="254"/>
      <c r="I47" s="22" t="s">
        <v>363</v>
      </c>
      <c r="J47" s="22"/>
      <c r="K47" s="22"/>
      <c r="L47" s="2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05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19"/>
      <c r="BY47" s="6"/>
      <c r="BZ47" s="1"/>
      <c r="CA47" s="5"/>
    </row>
    <row r="48" spans="1:79">
      <c r="A48" s="265"/>
      <c r="B48" s="241"/>
      <c r="C48" s="254"/>
      <c r="D48" s="251"/>
      <c r="E48" s="251"/>
      <c r="F48" s="251"/>
      <c r="G48" s="254"/>
      <c r="H48" s="254"/>
      <c r="I48" s="21" t="s">
        <v>364</v>
      </c>
      <c r="J48" s="21"/>
      <c r="K48" s="21"/>
      <c r="L48" s="21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>
        <f>92.49+27.75</f>
        <v>120.24</v>
      </c>
      <c r="AX48" s="3">
        <v>150.6</v>
      </c>
      <c r="AY48" s="3">
        <v>173.05</v>
      </c>
      <c r="AZ48" s="3">
        <v>145.34</v>
      </c>
      <c r="BA48" s="3">
        <v>145.30000000000001</v>
      </c>
      <c r="BB48" s="105">
        <v>163.66999999999999</v>
      </c>
      <c r="BC48" s="3">
        <v>145.30000000000001</v>
      </c>
      <c r="BD48" s="3">
        <v>145.30000000000001</v>
      </c>
      <c r="BE48" s="3">
        <v>250.79</v>
      </c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19"/>
      <c r="BY48" s="6"/>
      <c r="BZ48" s="1"/>
      <c r="CA48" s="5"/>
    </row>
    <row r="49" spans="1:79" s="1" customFormat="1">
      <c r="A49" s="266"/>
      <c r="B49" s="241"/>
      <c r="C49" s="255"/>
      <c r="D49" s="252"/>
      <c r="E49" s="252"/>
      <c r="F49" s="252"/>
      <c r="G49" s="255"/>
      <c r="H49" s="255"/>
      <c r="I49" s="54"/>
      <c r="J49" s="3">
        <f>SUM(J35:J47)-J48</f>
        <v>0</v>
      </c>
      <c r="K49" s="3">
        <f t="shared" ref="K49:AD49" si="4">SUM(K35:K47)-K48</f>
        <v>0</v>
      </c>
      <c r="L49" s="3">
        <f t="shared" si="4"/>
        <v>0</v>
      </c>
      <c r="M49" s="3">
        <f t="shared" si="4"/>
        <v>0</v>
      </c>
      <c r="N49" s="3">
        <f t="shared" si="4"/>
        <v>0</v>
      </c>
      <c r="O49" s="3">
        <f t="shared" si="4"/>
        <v>0</v>
      </c>
      <c r="P49" s="3">
        <f t="shared" si="4"/>
        <v>0</v>
      </c>
      <c r="Q49" s="3">
        <f t="shared" si="4"/>
        <v>0</v>
      </c>
      <c r="R49" s="3">
        <f t="shared" si="4"/>
        <v>0</v>
      </c>
      <c r="S49" s="3">
        <f t="shared" si="4"/>
        <v>0</v>
      </c>
      <c r="T49" s="3">
        <f t="shared" si="4"/>
        <v>0</v>
      </c>
      <c r="U49" s="3">
        <f t="shared" si="4"/>
        <v>0</v>
      </c>
      <c r="V49" s="3">
        <f t="shared" si="4"/>
        <v>0</v>
      </c>
      <c r="W49" s="3">
        <f t="shared" si="4"/>
        <v>0</v>
      </c>
      <c r="X49" s="3">
        <f t="shared" si="4"/>
        <v>0</v>
      </c>
      <c r="Y49" s="3">
        <f t="shared" si="4"/>
        <v>0</v>
      </c>
      <c r="Z49" s="3">
        <f t="shared" si="4"/>
        <v>0</v>
      </c>
      <c r="AA49" s="3">
        <f t="shared" si="4"/>
        <v>0</v>
      </c>
      <c r="AB49" s="3">
        <f t="shared" si="4"/>
        <v>0</v>
      </c>
      <c r="AC49" s="3">
        <f t="shared" si="4"/>
        <v>0</v>
      </c>
      <c r="AD49" s="3">
        <f t="shared" si="4"/>
        <v>0</v>
      </c>
      <c r="AE49" s="3">
        <f>SUM(AE35:AE47)-AE48</f>
        <v>0</v>
      </c>
      <c r="AF49" s="3">
        <f>SUM(AF35:AF47)-AF48</f>
        <v>0</v>
      </c>
      <c r="AG49" s="3">
        <f>SUM(AG35:AG47)-AG48</f>
        <v>0</v>
      </c>
      <c r="AH49" s="3">
        <f>SUM(AH35:AH47)-AH48</f>
        <v>0</v>
      </c>
      <c r="AI49" s="3">
        <f>SUM(AI35:AI47)-AI48</f>
        <v>0</v>
      </c>
      <c r="AJ49" s="3">
        <f t="shared" ref="AJ49" si="5">SUM(AJ35:AJ47)-AJ48</f>
        <v>0</v>
      </c>
      <c r="AK49" s="3">
        <f>SUM(AK35:AK47)-AK48</f>
        <v>0</v>
      </c>
      <c r="AL49" s="3">
        <f>SUM(AL35:AL47)-AL48</f>
        <v>0</v>
      </c>
      <c r="AM49" s="3">
        <f>SUM(AM35:AM47)-AM48</f>
        <v>0</v>
      </c>
      <c r="AN49" s="3">
        <f t="shared" ref="AN49:AO49" si="6">SUM(AN35:AN47)-AN48</f>
        <v>0</v>
      </c>
      <c r="AO49" s="3">
        <f t="shared" si="6"/>
        <v>0</v>
      </c>
      <c r="AP49" s="3">
        <f>SUM(AP35:AP47)-AP48</f>
        <v>0</v>
      </c>
      <c r="AQ49" s="3">
        <f>SUM(AQ35:AQ47)-AQ48</f>
        <v>0</v>
      </c>
      <c r="AR49" s="3">
        <f t="shared" ref="AR49:AY49" si="7">SUM(AR35:AR47)-AR48</f>
        <v>0</v>
      </c>
      <c r="AS49" s="3">
        <f t="shared" si="7"/>
        <v>0</v>
      </c>
      <c r="AT49" s="3">
        <f t="shared" si="7"/>
        <v>0</v>
      </c>
      <c r="AU49" s="3">
        <f t="shared" si="7"/>
        <v>0</v>
      </c>
      <c r="AV49" s="3">
        <f t="shared" si="7"/>
        <v>0</v>
      </c>
      <c r="AW49" s="3">
        <f t="shared" si="7"/>
        <v>1677.5600000000002</v>
      </c>
      <c r="AX49" s="3">
        <f t="shared" si="7"/>
        <v>2554.6799999999998</v>
      </c>
      <c r="AY49" s="3">
        <f t="shared" si="7"/>
        <v>2474.2799999999997</v>
      </c>
      <c r="AZ49" s="3">
        <f t="shared" ref="AZ49:BC49" si="8">SUM(AZ35:AZ47)-AZ48</f>
        <v>2675</v>
      </c>
      <c r="BA49" s="3">
        <f t="shared" si="8"/>
        <v>2526.52</v>
      </c>
      <c r="BB49" s="105">
        <f t="shared" si="8"/>
        <v>2685.81</v>
      </c>
      <c r="BC49" s="3">
        <f t="shared" si="8"/>
        <v>2548.0199999999995</v>
      </c>
      <c r="BD49" s="3">
        <f t="shared" ref="BD49" si="9">SUM(BD35:BD47)-BD48</f>
        <v>2549.0499999999997</v>
      </c>
      <c r="BE49" s="3">
        <f>BE46-BE48</f>
        <v>4880.97</v>
      </c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105">
        <f>SUM(J49:BJ49)</f>
        <v>24571.89</v>
      </c>
    </row>
    <row r="50" spans="1:79" ht="15.6" customHeight="1">
      <c r="A50" s="148" t="s">
        <v>346</v>
      </c>
      <c r="B50" s="148" t="s">
        <v>347</v>
      </c>
      <c r="C50" s="145" t="s">
        <v>310</v>
      </c>
      <c r="D50" s="145" t="s">
        <v>311</v>
      </c>
      <c r="E50" s="148" t="s">
        <v>312</v>
      </c>
      <c r="F50" s="148" t="s">
        <v>348</v>
      </c>
      <c r="G50" s="145" t="s">
        <v>314</v>
      </c>
      <c r="H50" s="145" t="s">
        <v>315</v>
      </c>
      <c r="I50" s="145" t="s">
        <v>349</v>
      </c>
      <c r="J50" s="146">
        <v>44105</v>
      </c>
      <c r="K50" s="146">
        <v>44136</v>
      </c>
      <c r="L50" s="146">
        <v>44166</v>
      </c>
      <c r="M50" s="146">
        <v>44197</v>
      </c>
      <c r="N50" s="146">
        <v>44228</v>
      </c>
      <c r="O50" s="146">
        <v>44256</v>
      </c>
      <c r="P50" s="146">
        <v>44287</v>
      </c>
      <c r="Q50" s="146">
        <v>44317</v>
      </c>
      <c r="R50" s="146">
        <v>44348</v>
      </c>
      <c r="S50" s="146">
        <v>44378</v>
      </c>
      <c r="T50" s="146">
        <v>44409</v>
      </c>
      <c r="U50" s="146">
        <v>44440</v>
      </c>
      <c r="V50" s="146">
        <v>44470</v>
      </c>
      <c r="W50" s="146">
        <v>44501</v>
      </c>
      <c r="X50" s="146">
        <v>44531</v>
      </c>
      <c r="Y50" s="146">
        <v>44562</v>
      </c>
      <c r="Z50" s="146">
        <v>44593</v>
      </c>
      <c r="AA50" s="146">
        <v>44621</v>
      </c>
      <c r="AB50" s="146">
        <v>44652</v>
      </c>
      <c r="AC50" s="146">
        <v>44682</v>
      </c>
      <c r="AD50" s="146">
        <v>44713</v>
      </c>
      <c r="AE50" s="146">
        <v>44743</v>
      </c>
      <c r="AF50" s="146">
        <v>44774</v>
      </c>
      <c r="AG50" s="146">
        <v>44805</v>
      </c>
      <c r="AH50" s="146">
        <v>44835</v>
      </c>
      <c r="AI50" s="146">
        <v>44866</v>
      </c>
      <c r="AJ50" s="146">
        <v>44896</v>
      </c>
      <c r="AK50" s="146">
        <v>44927</v>
      </c>
      <c r="AL50" s="146">
        <v>44958</v>
      </c>
      <c r="AM50" s="146">
        <v>44986</v>
      </c>
      <c r="AN50" s="146">
        <v>45017</v>
      </c>
      <c r="AO50" s="146">
        <v>45047</v>
      </c>
      <c r="AP50" s="146">
        <v>45078</v>
      </c>
      <c r="AQ50" s="146">
        <v>45108</v>
      </c>
      <c r="AR50" s="146">
        <v>45139</v>
      </c>
      <c r="AS50" s="146">
        <v>45170</v>
      </c>
      <c r="AT50" s="146">
        <v>45200</v>
      </c>
      <c r="AU50" s="146">
        <v>45231</v>
      </c>
      <c r="AV50" s="146">
        <v>45261</v>
      </c>
      <c r="AW50" s="146">
        <v>45292</v>
      </c>
      <c r="AX50" s="146">
        <v>45323</v>
      </c>
      <c r="AY50" s="146">
        <v>45352</v>
      </c>
      <c r="AZ50" s="146">
        <v>45383</v>
      </c>
      <c r="BA50" s="146">
        <v>45413</v>
      </c>
      <c r="BB50" s="146">
        <v>45444</v>
      </c>
      <c r="BC50" s="146">
        <v>45474</v>
      </c>
      <c r="BD50" s="146">
        <v>45505</v>
      </c>
      <c r="BE50" s="146">
        <v>45536</v>
      </c>
      <c r="BF50" s="146">
        <v>45566</v>
      </c>
      <c r="BG50" s="146">
        <v>45597</v>
      </c>
      <c r="BH50" s="146">
        <v>45627</v>
      </c>
      <c r="BI50" s="146">
        <v>45658</v>
      </c>
      <c r="BJ50" s="146">
        <v>45689</v>
      </c>
      <c r="BK50" s="146"/>
      <c r="BL50" s="146"/>
      <c r="BM50" s="146"/>
      <c r="BN50" s="146"/>
      <c r="BO50" s="146"/>
      <c r="BP50" s="146"/>
      <c r="BQ50" s="146"/>
      <c r="BR50" s="146"/>
      <c r="BS50" s="146"/>
      <c r="BT50" s="146"/>
      <c r="BU50" s="146"/>
      <c r="BV50" s="146"/>
      <c r="BW50" s="146"/>
      <c r="BX50" s="147" t="s">
        <v>13</v>
      </c>
      <c r="BY50" s="5"/>
      <c r="BZ50" s="5"/>
      <c r="CA50" s="5"/>
    </row>
    <row r="51" spans="1:79">
      <c r="A51" s="264">
        <v>4</v>
      </c>
      <c r="B51" s="241" t="s">
        <v>263</v>
      </c>
      <c r="C51" s="253" t="s">
        <v>365</v>
      </c>
      <c r="D51" s="250" t="s">
        <v>89</v>
      </c>
      <c r="E51" s="250" t="s">
        <v>150</v>
      </c>
      <c r="F51" s="250" t="s">
        <v>150</v>
      </c>
      <c r="G51" s="256">
        <f>'CONSOLIDADO ATIVO INATIVO NOVO'!J4</f>
        <v>44256</v>
      </c>
      <c r="H51" s="256">
        <f>'CONSOLIDADO ATIVO INATIVO NOVO'!K4</f>
        <v>45778</v>
      </c>
      <c r="I51" s="21" t="s">
        <v>350</v>
      </c>
      <c r="J51" s="21"/>
      <c r="K51" s="21"/>
      <c r="L51" s="21"/>
      <c r="M51" s="53"/>
      <c r="N51" s="53"/>
      <c r="O51" s="53"/>
      <c r="P51" s="53"/>
      <c r="Q51" s="53"/>
      <c r="R51" s="19"/>
      <c r="S51" s="53"/>
      <c r="T51" s="53"/>
      <c r="U51" s="53"/>
      <c r="V51" s="3"/>
      <c r="W51" s="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3"/>
      <c r="AZ51" s="19"/>
      <c r="BA51" s="19"/>
      <c r="BB51" s="105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5"/>
      <c r="BZ51" s="5"/>
      <c r="CA51" s="5"/>
    </row>
    <row r="52" spans="1:79">
      <c r="A52" s="265"/>
      <c r="B52" s="241"/>
      <c r="C52" s="254"/>
      <c r="D52" s="251"/>
      <c r="E52" s="251"/>
      <c r="F52" s="251"/>
      <c r="G52" s="254"/>
      <c r="H52" s="254"/>
      <c r="I52" s="21" t="s">
        <v>351</v>
      </c>
      <c r="J52" s="21"/>
      <c r="K52" s="21"/>
      <c r="L52" s="21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05"/>
      <c r="BC52" s="3"/>
      <c r="BD52" s="3"/>
      <c r="BE52" s="3">
        <v>431.62</v>
      </c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19"/>
      <c r="BY52" s="6"/>
      <c r="CA52" s="5"/>
    </row>
    <row r="53" spans="1:79">
      <c r="A53" s="265"/>
      <c r="B53" s="241"/>
      <c r="C53" s="254"/>
      <c r="D53" s="251"/>
      <c r="E53" s="251"/>
      <c r="F53" s="251"/>
      <c r="G53" s="254"/>
      <c r="H53" s="254"/>
      <c r="I53" s="21" t="s">
        <v>352</v>
      </c>
      <c r="J53" s="21"/>
      <c r="K53" s="21"/>
      <c r="L53" s="2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05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19"/>
      <c r="BY53" s="6"/>
      <c r="BZ53" s="85"/>
      <c r="CA53" s="85"/>
    </row>
    <row r="54" spans="1:79">
      <c r="A54" s="265"/>
      <c r="B54" s="241"/>
      <c r="C54" s="254"/>
      <c r="D54" s="251"/>
      <c r="E54" s="251"/>
      <c r="F54" s="251"/>
      <c r="G54" s="254"/>
      <c r="H54" s="254"/>
      <c r="I54" s="21" t="s">
        <v>353</v>
      </c>
      <c r="J54" s="21"/>
      <c r="K54" s="21"/>
      <c r="L54" s="2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05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19"/>
      <c r="BY54" s="6"/>
      <c r="BZ54" s="85"/>
      <c r="CA54" s="85"/>
    </row>
    <row r="55" spans="1:79">
      <c r="A55" s="265"/>
      <c r="B55" s="241"/>
      <c r="C55" s="254"/>
      <c r="D55" s="251"/>
      <c r="E55" s="251"/>
      <c r="F55" s="251"/>
      <c r="G55" s="254"/>
      <c r="H55" s="254"/>
      <c r="I55" s="21" t="s">
        <v>354</v>
      </c>
      <c r="J55" s="21"/>
      <c r="K55" s="21"/>
      <c r="L55" s="2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05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19"/>
      <c r="BY55" s="6"/>
      <c r="BZ55" s="85"/>
      <c r="CA55" s="85"/>
    </row>
    <row r="56" spans="1:79">
      <c r="A56" s="265"/>
      <c r="B56" s="241"/>
      <c r="C56" s="254"/>
      <c r="D56" s="251"/>
      <c r="E56" s="251"/>
      <c r="F56" s="251"/>
      <c r="G56" s="254"/>
      <c r="H56" s="254"/>
      <c r="I56" s="21" t="s">
        <v>355</v>
      </c>
      <c r="J56" s="21"/>
      <c r="K56" s="21"/>
      <c r="L56" s="2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05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19"/>
      <c r="BY56" s="6"/>
      <c r="BZ56" s="85"/>
      <c r="CA56" s="85"/>
    </row>
    <row r="57" spans="1:79">
      <c r="A57" s="265"/>
      <c r="B57" s="241"/>
      <c r="C57" s="254"/>
      <c r="D57" s="251"/>
      <c r="E57" s="251"/>
      <c r="F57" s="251"/>
      <c r="G57" s="254"/>
      <c r="H57" s="254"/>
      <c r="I57" s="21" t="s">
        <v>356</v>
      </c>
      <c r="J57" s="21"/>
      <c r="K57" s="21"/>
      <c r="L57" s="21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05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19"/>
      <c r="BY57" s="6"/>
      <c r="BZ57" s="85"/>
      <c r="CA57" s="85"/>
    </row>
    <row r="58" spans="1:79">
      <c r="A58" s="265"/>
      <c r="B58" s="241"/>
      <c r="C58" s="254"/>
      <c r="D58" s="251"/>
      <c r="E58" s="251"/>
      <c r="F58" s="251"/>
      <c r="G58" s="254"/>
      <c r="H58" s="254"/>
      <c r="I58" s="21" t="s">
        <v>357</v>
      </c>
      <c r="J58" s="21"/>
      <c r="K58" s="21"/>
      <c r="L58" s="21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05"/>
      <c r="BC58" s="3"/>
      <c r="BD58" s="3"/>
      <c r="BE58" s="3">
        <v>181.37</v>
      </c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19"/>
      <c r="BY58" s="6"/>
      <c r="BZ58" s="85"/>
      <c r="CA58" s="85"/>
    </row>
    <row r="59" spans="1:79">
      <c r="A59" s="265"/>
      <c r="B59" s="241"/>
      <c r="C59" s="254"/>
      <c r="D59" s="251"/>
      <c r="E59" s="251"/>
      <c r="F59" s="251"/>
      <c r="G59" s="254"/>
      <c r="H59" s="254"/>
      <c r="I59" s="21" t="s">
        <v>358</v>
      </c>
      <c r="J59" s="21"/>
      <c r="K59" s="21"/>
      <c r="L59" s="21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05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19"/>
      <c r="BY59" s="6"/>
      <c r="BZ59" s="85"/>
      <c r="CA59" s="85"/>
    </row>
    <row r="60" spans="1:79">
      <c r="A60" s="265"/>
      <c r="B60" s="241"/>
      <c r="C60" s="254"/>
      <c r="D60" s="251"/>
      <c r="E60" s="251"/>
      <c r="F60" s="251"/>
      <c r="G60" s="254"/>
      <c r="H60" s="254"/>
      <c r="I60" s="21" t="s">
        <v>360</v>
      </c>
      <c r="J60" s="21"/>
      <c r="K60" s="21"/>
      <c r="L60" s="21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05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19"/>
      <c r="BY60" s="6"/>
      <c r="BZ60" s="85"/>
      <c r="CA60" s="85"/>
    </row>
    <row r="61" spans="1:79">
      <c r="A61" s="265"/>
      <c r="B61" s="241"/>
      <c r="C61" s="254"/>
      <c r="D61" s="251"/>
      <c r="E61" s="251"/>
      <c r="F61" s="251"/>
      <c r="G61" s="254"/>
      <c r="H61" s="254"/>
      <c r="I61" s="21" t="s">
        <v>361</v>
      </c>
      <c r="J61" s="21"/>
      <c r="K61" s="21"/>
      <c r="L61" s="2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05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19"/>
      <c r="BY61" s="6"/>
      <c r="BZ61" s="85"/>
      <c r="CA61" s="85"/>
    </row>
    <row r="62" spans="1:79" s="17" customFormat="1">
      <c r="A62" s="265"/>
      <c r="B62" s="241"/>
      <c r="C62" s="254"/>
      <c r="D62" s="251"/>
      <c r="E62" s="251"/>
      <c r="F62" s="251"/>
      <c r="G62" s="254"/>
      <c r="H62" s="254"/>
      <c r="I62" s="23" t="s">
        <v>362</v>
      </c>
      <c r="J62" s="23"/>
      <c r="K62" s="23"/>
      <c r="L62" s="2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4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42"/>
      <c r="BY62" s="6"/>
      <c r="BZ62" s="15"/>
      <c r="CA62" s="16"/>
    </row>
    <row r="63" spans="1:79">
      <c r="A63" s="265"/>
      <c r="B63" s="241"/>
      <c r="C63" s="254"/>
      <c r="D63" s="251"/>
      <c r="E63" s="251"/>
      <c r="F63" s="251"/>
      <c r="G63" s="254"/>
      <c r="H63" s="254"/>
      <c r="I63" s="22" t="s">
        <v>363</v>
      </c>
      <c r="J63" s="22"/>
      <c r="K63" s="22"/>
      <c r="L63" s="2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05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19"/>
      <c r="BY63" s="6"/>
      <c r="BZ63" s="1"/>
      <c r="CA63" s="5"/>
    </row>
    <row r="64" spans="1:79">
      <c r="A64" s="265"/>
      <c r="B64" s="241"/>
      <c r="C64" s="254"/>
      <c r="D64" s="251"/>
      <c r="E64" s="251"/>
      <c r="F64" s="251"/>
      <c r="G64" s="254"/>
      <c r="H64" s="254"/>
      <c r="I64" s="21" t="s">
        <v>364</v>
      </c>
      <c r="J64" s="21"/>
      <c r="K64" s="21"/>
      <c r="L64" s="2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05"/>
      <c r="BC64" s="3"/>
      <c r="BD64" s="3"/>
      <c r="BE64" s="3">
        <v>32.369999999999997</v>
      </c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19"/>
      <c r="BY64" s="6"/>
      <c r="BZ64" s="1"/>
      <c r="CA64" s="5"/>
    </row>
    <row r="65" spans="1:79" s="1" customFormat="1">
      <c r="A65" s="266"/>
      <c r="B65" s="241"/>
      <c r="C65" s="255"/>
      <c r="D65" s="252"/>
      <c r="E65" s="252"/>
      <c r="F65" s="252"/>
      <c r="G65" s="255"/>
      <c r="H65" s="255"/>
      <c r="I65" s="54"/>
      <c r="J65" s="3">
        <f>SUM(J51:J63)-J64</f>
        <v>0</v>
      </c>
      <c r="K65" s="3">
        <f t="shared" ref="K65:AD65" si="10">SUM(K51:K63)-K64</f>
        <v>0</v>
      </c>
      <c r="L65" s="3">
        <f t="shared" si="10"/>
        <v>0</v>
      </c>
      <c r="M65" s="3">
        <f t="shared" si="10"/>
        <v>0</v>
      </c>
      <c r="N65" s="3">
        <f t="shared" si="10"/>
        <v>0</v>
      </c>
      <c r="O65" s="3">
        <f t="shared" si="10"/>
        <v>0</v>
      </c>
      <c r="P65" s="3">
        <f t="shared" si="10"/>
        <v>0</v>
      </c>
      <c r="Q65" s="3">
        <f t="shared" si="10"/>
        <v>0</v>
      </c>
      <c r="R65" s="3">
        <f t="shared" si="10"/>
        <v>0</v>
      </c>
      <c r="S65" s="3">
        <f t="shared" si="10"/>
        <v>0</v>
      </c>
      <c r="T65" s="3">
        <f t="shared" si="10"/>
        <v>0</v>
      </c>
      <c r="U65" s="3">
        <f t="shared" si="10"/>
        <v>0</v>
      </c>
      <c r="V65" s="3">
        <f t="shared" si="10"/>
        <v>0</v>
      </c>
      <c r="W65" s="3">
        <f t="shared" si="10"/>
        <v>0</v>
      </c>
      <c r="X65" s="3">
        <f t="shared" si="10"/>
        <v>0</v>
      </c>
      <c r="Y65" s="3">
        <f t="shared" si="10"/>
        <v>0</v>
      </c>
      <c r="Z65" s="3">
        <f t="shared" si="10"/>
        <v>0</v>
      </c>
      <c r="AA65" s="3">
        <f t="shared" si="10"/>
        <v>0</v>
      </c>
      <c r="AB65" s="3">
        <f t="shared" si="10"/>
        <v>0</v>
      </c>
      <c r="AC65" s="3">
        <f t="shared" si="10"/>
        <v>0</v>
      </c>
      <c r="AD65" s="3">
        <f t="shared" si="10"/>
        <v>0</v>
      </c>
      <c r="AE65" s="3">
        <f>SUM(AE51:AE63)-AE64</f>
        <v>0</v>
      </c>
      <c r="AF65" s="3">
        <f>SUM(AF51:AF63)-AF64</f>
        <v>0</v>
      </c>
      <c r="AG65" s="3">
        <f>SUM(AG51:AG63)-AG64</f>
        <v>0</v>
      </c>
      <c r="AH65" s="3">
        <f>SUM(AH51:AH63)-AH64</f>
        <v>0</v>
      </c>
      <c r="AI65" s="3">
        <f>SUM(AI51:AI63)-AI64</f>
        <v>0</v>
      </c>
      <c r="AJ65" s="3">
        <f t="shared" ref="AJ65" si="11">SUM(AJ51:AJ63)-AJ64</f>
        <v>0</v>
      </c>
      <c r="AK65" s="3">
        <f>SUM(AK51:AK63)-AK64</f>
        <v>0</v>
      </c>
      <c r="AL65" s="3">
        <f>SUM(AL51:AL63)-AL64</f>
        <v>0</v>
      </c>
      <c r="AM65" s="3">
        <f>SUM(AM51:AM63)-AM64</f>
        <v>0</v>
      </c>
      <c r="AN65" s="3">
        <f t="shared" ref="AN65:AO65" si="12">SUM(AN51:AN63)-AN64</f>
        <v>0</v>
      </c>
      <c r="AO65" s="3">
        <f t="shared" si="12"/>
        <v>0</v>
      </c>
      <c r="AP65" s="3">
        <f>SUM(AP51:AP63)-AP64</f>
        <v>0</v>
      </c>
      <c r="AQ65" s="3">
        <f>SUM(AQ51:AQ63)-AQ64</f>
        <v>0</v>
      </c>
      <c r="AR65" s="3">
        <f t="shared" ref="AR65:AY65" si="13">SUM(AR51:AR63)-AR64</f>
        <v>0</v>
      </c>
      <c r="AS65" s="3">
        <f t="shared" si="13"/>
        <v>0</v>
      </c>
      <c r="AT65" s="3">
        <f t="shared" si="13"/>
        <v>0</v>
      </c>
      <c r="AU65" s="3">
        <f t="shared" si="13"/>
        <v>0</v>
      </c>
      <c r="AV65" s="3">
        <f t="shared" si="13"/>
        <v>0</v>
      </c>
      <c r="AW65" s="3">
        <f t="shared" si="13"/>
        <v>0</v>
      </c>
      <c r="AX65" s="3">
        <f t="shared" si="13"/>
        <v>0</v>
      </c>
      <c r="AY65" s="3">
        <f t="shared" si="13"/>
        <v>0</v>
      </c>
      <c r="AZ65" s="3">
        <f t="shared" ref="AZ65:BC65" si="14">SUM(AZ51:AZ63)-AZ64</f>
        <v>0</v>
      </c>
      <c r="BA65" s="3">
        <f t="shared" si="14"/>
        <v>0</v>
      </c>
      <c r="BB65" s="105">
        <f t="shared" si="14"/>
        <v>0</v>
      </c>
      <c r="BC65" s="3">
        <f t="shared" si="14"/>
        <v>0</v>
      </c>
      <c r="BD65" s="3">
        <f t="shared" ref="BD65" si="15">SUM(BD51:BD63)-BD64</f>
        <v>0</v>
      </c>
      <c r="BE65" s="3">
        <f>SUM(BE52:BE58)-BE64</f>
        <v>580.62</v>
      </c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105">
        <f>BE65</f>
        <v>580.62</v>
      </c>
    </row>
    <row r="66" spans="1:79" ht="15.6" customHeight="1">
      <c r="A66" s="148" t="s">
        <v>346</v>
      </c>
      <c r="B66" s="148" t="s">
        <v>347</v>
      </c>
      <c r="C66" s="145" t="s">
        <v>310</v>
      </c>
      <c r="D66" s="145" t="s">
        <v>311</v>
      </c>
      <c r="E66" s="148" t="s">
        <v>312</v>
      </c>
      <c r="F66" s="148" t="s">
        <v>348</v>
      </c>
      <c r="G66" s="145" t="s">
        <v>314</v>
      </c>
      <c r="H66" s="145" t="s">
        <v>315</v>
      </c>
      <c r="I66" s="145" t="s">
        <v>349</v>
      </c>
      <c r="J66" s="146">
        <v>44105</v>
      </c>
      <c r="K66" s="146">
        <v>44136</v>
      </c>
      <c r="L66" s="146">
        <v>44166</v>
      </c>
      <c r="M66" s="146">
        <v>44197</v>
      </c>
      <c r="N66" s="146">
        <v>44228</v>
      </c>
      <c r="O66" s="146">
        <v>44256</v>
      </c>
      <c r="P66" s="146">
        <v>44287</v>
      </c>
      <c r="Q66" s="146">
        <v>44317</v>
      </c>
      <c r="R66" s="146">
        <v>44348</v>
      </c>
      <c r="S66" s="146">
        <v>44378</v>
      </c>
      <c r="T66" s="146">
        <v>44409</v>
      </c>
      <c r="U66" s="146">
        <v>44440</v>
      </c>
      <c r="V66" s="146">
        <v>44470</v>
      </c>
      <c r="W66" s="146">
        <v>44501</v>
      </c>
      <c r="X66" s="146">
        <v>44531</v>
      </c>
      <c r="Y66" s="146">
        <v>44562</v>
      </c>
      <c r="Z66" s="146">
        <v>44593</v>
      </c>
      <c r="AA66" s="146">
        <v>44621</v>
      </c>
      <c r="AB66" s="146">
        <v>44652</v>
      </c>
      <c r="AC66" s="146">
        <v>44682</v>
      </c>
      <c r="AD66" s="146">
        <v>44713</v>
      </c>
      <c r="AE66" s="146">
        <v>44743</v>
      </c>
      <c r="AF66" s="146">
        <v>44774</v>
      </c>
      <c r="AG66" s="146">
        <v>44805</v>
      </c>
      <c r="AH66" s="146">
        <v>44835</v>
      </c>
      <c r="AI66" s="146">
        <v>44866</v>
      </c>
      <c r="AJ66" s="146">
        <v>44896</v>
      </c>
      <c r="AK66" s="146">
        <v>44927</v>
      </c>
      <c r="AL66" s="146">
        <v>44958</v>
      </c>
      <c r="AM66" s="146">
        <v>44986</v>
      </c>
      <c r="AN66" s="146">
        <v>45017</v>
      </c>
      <c r="AO66" s="146">
        <v>45047</v>
      </c>
      <c r="AP66" s="146">
        <v>45078</v>
      </c>
      <c r="AQ66" s="146">
        <v>45108</v>
      </c>
      <c r="AR66" s="146">
        <v>45139</v>
      </c>
      <c r="AS66" s="146">
        <v>45170</v>
      </c>
      <c r="AT66" s="146">
        <v>45200</v>
      </c>
      <c r="AU66" s="146">
        <v>45231</v>
      </c>
      <c r="AV66" s="146">
        <v>45261</v>
      </c>
      <c r="AW66" s="146">
        <v>45292</v>
      </c>
      <c r="AX66" s="146">
        <v>45323</v>
      </c>
      <c r="AY66" s="146">
        <v>45352</v>
      </c>
      <c r="AZ66" s="146">
        <v>45383</v>
      </c>
      <c r="BA66" s="146">
        <v>45413</v>
      </c>
      <c r="BB66" s="146">
        <v>45444</v>
      </c>
      <c r="BC66" s="146">
        <v>45474</v>
      </c>
      <c r="BD66" s="146">
        <v>45505</v>
      </c>
      <c r="BE66" s="146">
        <v>45536</v>
      </c>
      <c r="BF66" s="146">
        <v>45566</v>
      </c>
      <c r="BG66" s="146">
        <v>45597</v>
      </c>
      <c r="BH66" s="146">
        <v>45627</v>
      </c>
      <c r="BI66" s="146">
        <v>45658</v>
      </c>
      <c r="BJ66" s="146">
        <v>45689</v>
      </c>
      <c r="BK66" s="146"/>
      <c r="BL66" s="146"/>
      <c r="BM66" s="146"/>
      <c r="BN66" s="146"/>
      <c r="BO66" s="146"/>
      <c r="BP66" s="146"/>
      <c r="BQ66" s="146"/>
      <c r="BR66" s="146"/>
      <c r="BS66" s="146"/>
      <c r="BT66" s="146"/>
      <c r="BU66" s="146"/>
      <c r="BV66" s="146"/>
      <c r="BW66" s="146"/>
      <c r="BX66" s="147" t="s">
        <v>13</v>
      </c>
      <c r="BY66" s="5"/>
      <c r="BZ66" s="5"/>
      <c r="CA66" s="5"/>
    </row>
    <row r="67" spans="1:79" ht="14.45" customHeight="1">
      <c r="A67" s="264">
        <v>5</v>
      </c>
      <c r="B67" s="241" t="s">
        <v>74</v>
      </c>
      <c r="C67" s="253" t="s">
        <v>92</v>
      </c>
      <c r="D67" s="250" t="s">
        <v>116</v>
      </c>
      <c r="E67" s="250" t="s">
        <v>117</v>
      </c>
      <c r="F67" s="250" t="s">
        <v>117</v>
      </c>
      <c r="G67" s="256">
        <f>'CONSOLIDADO ATIVO INATIVO NOVO'!J6</f>
        <v>44046</v>
      </c>
      <c r="H67" s="256">
        <f>'CONSOLIDADO ATIVO INATIVO NOVO'!K6</f>
        <v>45506</v>
      </c>
      <c r="I67" s="21" t="s">
        <v>350</v>
      </c>
      <c r="J67" s="21"/>
      <c r="K67" s="21"/>
      <c r="L67" s="21"/>
      <c r="M67" s="53"/>
      <c r="N67" s="53"/>
      <c r="O67" s="53"/>
      <c r="P67" s="53"/>
      <c r="Q67" s="53"/>
      <c r="R67" s="19">
        <v>150</v>
      </c>
      <c r="S67" s="53"/>
      <c r="T67" s="53"/>
      <c r="U67" s="53"/>
      <c r="V67" s="3"/>
      <c r="W67" s="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110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19"/>
      <c r="BY67" s="5"/>
      <c r="BZ67" s="5"/>
      <c r="CA67" s="5"/>
    </row>
    <row r="68" spans="1:79">
      <c r="A68" s="265"/>
      <c r="B68" s="241"/>
      <c r="C68" s="254"/>
      <c r="D68" s="251"/>
      <c r="E68" s="251"/>
      <c r="F68" s="251"/>
      <c r="G68" s="254"/>
      <c r="H68" s="254"/>
      <c r="I68" s="21" t="s">
        <v>351</v>
      </c>
      <c r="J68" s="21"/>
      <c r="K68" s="21"/>
      <c r="L68" s="21"/>
      <c r="M68" s="3"/>
      <c r="N68" s="3"/>
      <c r="O68" s="3"/>
      <c r="P68" s="3">
        <f>465.42+20.51</f>
        <v>485.93</v>
      </c>
      <c r="Q68" s="3">
        <v>1214.82</v>
      </c>
      <c r="R68" s="3">
        <v>1214.82</v>
      </c>
      <c r="S68" s="3">
        <v>1214.82</v>
      </c>
      <c r="T68" s="3">
        <v>1738.17</v>
      </c>
      <c r="U68" s="3">
        <v>1214.82</v>
      </c>
      <c r="V68" s="3">
        <v>1214.82</v>
      </c>
      <c r="W68" s="3">
        <v>1214.82</v>
      </c>
      <c r="X68" s="3">
        <v>1214.82</v>
      </c>
      <c r="Y68" s="3">
        <v>1578.6</v>
      </c>
      <c r="Z68" s="3">
        <v>1635.07</v>
      </c>
      <c r="AA68" s="3">
        <v>1635.07</v>
      </c>
      <c r="AB68" s="3">
        <v>1635.07</v>
      </c>
      <c r="AC68" s="3">
        <v>1635.07</v>
      </c>
      <c r="AD68" s="3">
        <v>1578.6</v>
      </c>
      <c r="AE68" s="3">
        <v>1635.07</v>
      </c>
      <c r="AF68" s="3">
        <v>1635.07</v>
      </c>
      <c r="AG68" s="3">
        <v>1635.07</v>
      </c>
      <c r="AH68" s="3">
        <v>1708.83</v>
      </c>
      <c r="AI68" s="3">
        <v>1708.83</v>
      </c>
      <c r="AJ68" s="3">
        <v>1845.54</v>
      </c>
      <c r="AK68" s="3">
        <v>1950.93</v>
      </c>
      <c r="AL68" s="3">
        <v>1708.83</v>
      </c>
      <c r="AM68" s="3">
        <f>1082.26+59.82+299.05+99.68+657.91+219.3</f>
        <v>2418.02</v>
      </c>
      <c r="AN68" s="3">
        <v>1768.65</v>
      </c>
      <c r="AO68" s="3">
        <v>1768.65</v>
      </c>
      <c r="AP68" s="3">
        <v>1708.83</v>
      </c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05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19"/>
      <c r="BY68" s="6"/>
      <c r="CA68" s="5"/>
    </row>
    <row r="69" spans="1:79" ht="14.45" customHeight="1">
      <c r="A69" s="265"/>
      <c r="B69" s="241"/>
      <c r="C69" s="254"/>
      <c r="D69" s="251"/>
      <c r="E69" s="251"/>
      <c r="F69" s="251"/>
      <c r="G69" s="254"/>
      <c r="H69" s="254"/>
      <c r="I69" s="21" t="s">
        <v>352</v>
      </c>
      <c r="J69" s="21"/>
      <c r="K69" s="21"/>
      <c r="L69" s="2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300</v>
      </c>
      <c r="AA69" s="3"/>
      <c r="AB69" s="3"/>
      <c r="AC69" s="3">
        <v>1200</v>
      </c>
      <c r="AD69" s="3"/>
      <c r="AE69" s="3">
        <v>400</v>
      </c>
      <c r="AF69" s="3"/>
      <c r="AG69" s="3">
        <v>600</v>
      </c>
      <c r="AH69" s="3"/>
      <c r="AI69" s="3"/>
      <c r="AJ69" s="3"/>
      <c r="AK69" s="3">
        <v>500</v>
      </c>
      <c r="AL69" s="3">
        <v>200</v>
      </c>
      <c r="AM69" s="3"/>
      <c r="AN69" s="3">
        <v>10.4</v>
      </c>
      <c r="AO69" s="3">
        <v>1200</v>
      </c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05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19"/>
      <c r="BY69" s="6"/>
      <c r="BZ69" s="96"/>
      <c r="CA69" s="96"/>
    </row>
    <row r="70" spans="1:79">
      <c r="A70" s="265"/>
      <c r="B70" s="241"/>
      <c r="C70" s="254"/>
      <c r="D70" s="251"/>
      <c r="E70" s="251"/>
      <c r="F70" s="251"/>
      <c r="G70" s="254"/>
      <c r="H70" s="254"/>
      <c r="I70" s="21" t="s">
        <v>353</v>
      </c>
      <c r="J70" s="21"/>
      <c r="K70" s="21"/>
      <c r="L70" s="2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>
        <f>134.22+33.56</f>
        <v>167.78</v>
      </c>
      <c r="Z70" s="3"/>
      <c r="AA70" s="3"/>
      <c r="AB70" s="3"/>
      <c r="AC70" s="3"/>
      <c r="AD70" s="3">
        <f>551.61+110.32</f>
        <v>661.93000000000006</v>
      </c>
      <c r="AE70" s="3"/>
      <c r="AF70" s="3"/>
      <c r="AG70" s="3"/>
      <c r="AH70" s="3">
        <f>28.02+112.08</f>
        <v>140.1</v>
      </c>
      <c r="AI70" s="3"/>
      <c r="AJ70" s="3"/>
      <c r="AK70" s="3"/>
      <c r="AL70" s="3">
        <f>18.3+118.96</f>
        <v>137.26</v>
      </c>
      <c r="AM70" s="3"/>
      <c r="AN70" s="3"/>
      <c r="AO70" s="3"/>
      <c r="AP70" s="3">
        <f>105.98+529.89</f>
        <v>635.87</v>
      </c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05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19"/>
      <c r="BY70" s="6"/>
      <c r="BZ70" s="96"/>
      <c r="CA70" s="96"/>
    </row>
    <row r="71" spans="1:79">
      <c r="A71" s="265"/>
      <c r="B71" s="241"/>
      <c r="C71" s="254"/>
      <c r="D71" s="251"/>
      <c r="E71" s="251"/>
      <c r="F71" s="251"/>
      <c r="G71" s="254"/>
      <c r="H71" s="254"/>
      <c r="I71" s="21" t="s">
        <v>354</v>
      </c>
      <c r="J71" s="21"/>
      <c r="K71" s="21"/>
      <c r="L71" s="2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05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19"/>
      <c r="BY71" s="6"/>
      <c r="BZ71" s="96"/>
      <c r="CA71" s="96"/>
    </row>
    <row r="72" spans="1:79">
      <c r="A72" s="265"/>
      <c r="B72" s="241"/>
      <c r="C72" s="254"/>
      <c r="D72" s="251"/>
      <c r="E72" s="251"/>
      <c r="F72" s="251"/>
      <c r="G72" s="254"/>
      <c r="H72" s="254"/>
      <c r="I72" s="21" t="s">
        <v>355</v>
      </c>
      <c r="J72" s="21"/>
      <c r="K72" s="21"/>
      <c r="L72" s="2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05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19"/>
      <c r="BY72" s="6"/>
      <c r="BZ72" s="96"/>
      <c r="CA72" s="96"/>
    </row>
    <row r="73" spans="1:79">
      <c r="A73" s="265"/>
      <c r="B73" s="241"/>
      <c r="C73" s="254"/>
      <c r="D73" s="251"/>
      <c r="E73" s="251"/>
      <c r="F73" s="251"/>
      <c r="G73" s="254"/>
      <c r="H73" s="254"/>
      <c r="I73" s="21" t="s">
        <v>356</v>
      </c>
      <c r="J73" s="21"/>
      <c r="K73" s="21"/>
      <c r="L73" s="21"/>
      <c r="M73" s="3"/>
      <c r="N73" s="3"/>
      <c r="O73" s="3"/>
      <c r="P73" s="3">
        <v>102.3</v>
      </c>
      <c r="Q73" s="3">
        <v>232.5</v>
      </c>
      <c r="R73" s="3">
        <v>251.1</v>
      </c>
      <c r="S73" s="3">
        <v>241.8</v>
      </c>
      <c r="T73" s="3">
        <v>241.8</v>
      </c>
      <c r="U73" s="3">
        <v>232.5</v>
      </c>
      <c r="V73" s="3">
        <v>232.5</v>
      </c>
      <c r="W73" s="3">
        <v>232.5</v>
      </c>
      <c r="X73" s="3">
        <v>223.2</v>
      </c>
      <c r="Y73" s="3">
        <v>232.5</v>
      </c>
      <c r="Z73" s="3">
        <v>223.2</v>
      </c>
      <c r="AA73" s="3">
        <v>263.10000000000002</v>
      </c>
      <c r="AB73" s="3">
        <v>249.6</v>
      </c>
      <c r="AC73" s="3">
        <v>249.6</v>
      </c>
      <c r="AD73" s="3">
        <v>249.6</v>
      </c>
      <c r="AE73" s="3">
        <v>249.6</v>
      </c>
      <c r="AF73" s="3">
        <v>259.2</v>
      </c>
      <c r="AG73" s="3">
        <v>240</v>
      </c>
      <c r="AH73" s="3">
        <v>240</v>
      </c>
      <c r="AI73" s="3">
        <v>230.4</v>
      </c>
      <c r="AJ73" s="3">
        <v>259.2</v>
      </c>
      <c r="AK73" s="3">
        <v>192</v>
      </c>
      <c r="AL73" s="3">
        <v>230.4</v>
      </c>
      <c r="AM73" s="3">
        <v>259.2</v>
      </c>
      <c r="AN73" s="3">
        <v>220.8</v>
      </c>
      <c r="AO73" s="3">
        <v>249.6</v>
      </c>
      <c r="AP73" s="3">
        <v>240</v>
      </c>
      <c r="AQ73" s="3">
        <v>249.6</v>
      </c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05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19"/>
      <c r="BY73" s="6"/>
      <c r="BZ73" s="96"/>
      <c r="CA73" s="96"/>
    </row>
    <row r="74" spans="1:79">
      <c r="A74" s="265"/>
      <c r="B74" s="241"/>
      <c r="C74" s="254"/>
      <c r="D74" s="251"/>
      <c r="E74" s="251"/>
      <c r="F74" s="251"/>
      <c r="G74" s="254"/>
      <c r="H74" s="254"/>
      <c r="I74" s="21" t="s">
        <v>357</v>
      </c>
      <c r="J74" s="21"/>
      <c r="K74" s="21"/>
      <c r="L74" s="2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05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19"/>
      <c r="BY74" s="6"/>
      <c r="BZ74" s="96"/>
      <c r="CA74" s="96"/>
    </row>
    <row r="75" spans="1:79">
      <c r="A75" s="265"/>
      <c r="B75" s="241"/>
      <c r="C75" s="254"/>
      <c r="D75" s="251"/>
      <c r="E75" s="251"/>
      <c r="F75" s="251"/>
      <c r="G75" s="254"/>
      <c r="H75" s="254"/>
      <c r="I75" s="21" t="s">
        <v>358</v>
      </c>
      <c r="J75" s="21"/>
      <c r="K75" s="21"/>
      <c r="L75" s="21"/>
      <c r="M75" s="3"/>
      <c r="N75" s="3"/>
      <c r="O75" s="3"/>
      <c r="P75" s="3"/>
      <c r="Q75" s="3">
        <v>380</v>
      </c>
      <c r="R75" s="3">
        <v>400</v>
      </c>
      <c r="S75" s="3">
        <v>400</v>
      </c>
      <c r="T75" s="3">
        <v>400</v>
      </c>
      <c r="U75" s="3">
        <v>400</v>
      </c>
      <c r="V75" s="3">
        <v>800</v>
      </c>
      <c r="W75" s="3">
        <v>400</v>
      </c>
      <c r="X75" s="3">
        <v>400</v>
      </c>
      <c r="Y75" s="3">
        <v>400</v>
      </c>
      <c r="Z75" s="3">
        <v>400</v>
      </c>
      <c r="AA75" s="3">
        <v>400</v>
      </c>
      <c r="AB75" s="3">
        <v>400</v>
      </c>
      <c r="AC75" s="3">
        <v>400</v>
      </c>
      <c r="AD75" s="3">
        <v>400</v>
      </c>
      <c r="AE75" s="3">
        <v>400</v>
      </c>
      <c r="AF75" s="3">
        <v>400</v>
      </c>
      <c r="AG75" s="3">
        <v>400</v>
      </c>
      <c r="AH75" s="3">
        <v>400</v>
      </c>
      <c r="AI75" s="3">
        <v>400</v>
      </c>
      <c r="AJ75" s="3">
        <v>400</v>
      </c>
      <c r="AK75" s="3">
        <v>400</v>
      </c>
      <c r="AL75" s="3">
        <v>400</v>
      </c>
      <c r="AM75" s="3">
        <v>400</v>
      </c>
      <c r="AN75" s="3">
        <v>400</v>
      </c>
      <c r="AO75" s="3">
        <v>400</v>
      </c>
      <c r="AP75" s="3">
        <v>400</v>
      </c>
      <c r="AQ75" s="3">
        <v>400</v>
      </c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05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19"/>
      <c r="BY75" s="6"/>
      <c r="BZ75" s="96"/>
      <c r="CA75" s="96"/>
    </row>
    <row r="76" spans="1:79">
      <c r="A76" s="265"/>
      <c r="B76" s="241"/>
      <c r="C76" s="254"/>
      <c r="D76" s="251"/>
      <c r="E76" s="251"/>
      <c r="F76" s="251"/>
      <c r="G76" s="254"/>
      <c r="H76" s="254"/>
      <c r="I76" s="21" t="s">
        <v>360</v>
      </c>
      <c r="J76" s="21"/>
      <c r="K76" s="21"/>
      <c r="L76" s="2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05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19"/>
      <c r="BY76" s="6"/>
      <c r="BZ76" s="96"/>
      <c r="CA76" s="96"/>
    </row>
    <row r="77" spans="1:79">
      <c r="A77" s="265"/>
      <c r="B77" s="241"/>
      <c r="C77" s="254"/>
      <c r="D77" s="251"/>
      <c r="E77" s="251"/>
      <c r="F77" s="251"/>
      <c r="G77" s="254"/>
      <c r="H77" s="254"/>
      <c r="I77" s="21" t="s">
        <v>361</v>
      </c>
      <c r="J77" s="21"/>
      <c r="K77" s="21"/>
      <c r="L77" s="2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>
        <v>1032.72</v>
      </c>
      <c r="AK77" s="3"/>
      <c r="AL77" s="3"/>
      <c r="AM77" s="3">
        <v>1210.1500000000001</v>
      </c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05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19"/>
      <c r="BY77" s="6"/>
      <c r="BZ77" s="96"/>
      <c r="CA77" s="96"/>
    </row>
    <row r="78" spans="1:79" s="17" customFormat="1">
      <c r="A78" s="265"/>
      <c r="B78" s="241"/>
      <c r="C78" s="254"/>
      <c r="D78" s="251"/>
      <c r="E78" s="251"/>
      <c r="F78" s="251"/>
      <c r="G78" s="254"/>
      <c r="H78" s="254"/>
      <c r="I78" s="23" t="s">
        <v>362</v>
      </c>
      <c r="J78" s="23"/>
      <c r="K78" s="23"/>
      <c r="L78" s="2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4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>
        <v>2284.83</v>
      </c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42"/>
      <c r="BY78" s="6"/>
      <c r="BZ78" s="15"/>
      <c r="CA78" s="16"/>
    </row>
    <row r="79" spans="1:79">
      <c r="A79" s="265"/>
      <c r="B79" s="241"/>
      <c r="C79" s="254"/>
      <c r="D79" s="251"/>
      <c r="E79" s="251"/>
      <c r="F79" s="251"/>
      <c r="G79" s="254"/>
      <c r="H79" s="254"/>
      <c r="I79" s="22" t="s">
        <v>363</v>
      </c>
      <c r="J79" s="22"/>
      <c r="K79" s="22"/>
      <c r="L79" s="22"/>
      <c r="M79" s="3"/>
      <c r="N79" s="3"/>
      <c r="O79" s="3"/>
      <c r="P79" s="3"/>
      <c r="Q79" s="3"/>
      <c r="R79" s="3"/>
      <c r="S79" s="3"/>
      <c r="T79" s="3"/>
      <c r="U79" s="3"/>
      <c r="V79" s="3"/>
      <c r="W79" s="3">
        <v>387.85</v>
      </c>
      <c r="X79" s="3">
        <v>387.85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>
        <v>854.42</v>
      </c>
      <c r="AJ79" s="3">
        <v>718.8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05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19"/>
      <c r="BY79" s="6"/>
      <c r="BZ79" s="1"/>
      <c r="CA79" s="5"/>
    </row>
    <row r="80" spans="1:79">
      <c r="A80" s="265"/>
      <c r="B80" s="241"/>
      <c r="C80" s="254"/>
      <c r="D80" s="251"/>
      <c r="E80" s="251"/>
      <c r="F80" s="251"/>
      <c r="G80" s="254"/>
      <c r="H80" s="254"/>
      <c r="I80" s="21" t="s">
        <v>364</v>
      </c>
      <c r="J80" s="21"/>
      <c r="K80" s="21"/>
      <c r="L80" s="21"/>
      <c r="M80" s="3"/>
      <c r="N80" s="3"/>
      <c r="O80" s="3"/>
      <c r="P80" s="3">
        <v>34.9</v>
      </c>
      <c r="Q80" s="3">
        <f>88.21+273.34</f>
        <v>361.54999999999995</v>
      </c>
      <c r="R80" s="3">
        <f>88.21+273.34</f>
        <v>361.54999999999995</v>
      </c>
      <c r="S80" s="3">
        <f>88.21+220</f>
        <v>308.20999999999998</v>
      </c>
      <c r="T80" s="3">
        <f>139.93+220</f>
        <v>359.93</v>
      </c>
      <c r="U80" s="3">
        <f>88.21</f>
        <v>88.21</v>
      </c>
      <c r="V80" s="3">
        <v>88.21</v>
      </c>
      <c r="W80" s="3">
        <v>88.21</v>
      </c>
      <c r="X80" s="3">
        <f>58.17+88.21+69.81</f>
        <v>216.19</v>
      </c>
      <c r="Y80" s="3">
        <f>138.99+94.72</f>
        <v>233.71</v>
      </c>
      <c r="Z80" s="3">
        <f>123.89+94.72</f>
        <v>218.61</v>
      </c>
      <c r="AA80" s="3">
        <f>123.89+94.72</f>
        <v>218.61</v>
      </c>
      <c r="AB80" s="3">
        <f>123.89+94.72</f>
        <v>218.61</v>
      </c>
      <c r="AC80" s="3">
        <f>123.89+94.72+400</f>
        <v>618.61</v>
      </c>
      <c r="AD80" s="3">
        <f>183.46+94.72+400</f>
        <v>678.18000000000006</v>
      </c>
      <c r="AE80" s="3">
        <f>123.89+94.72+800</f>
        <v>1018.61</v>
      </c>
      <c r="AF80" s="3">
        <f>123.89+94.72</f>
        <v>218.61</v>
      </c>
      <c r="AG80" s="3">
        <v>518.61</v>
      </c>
      <c r="AH80" s="3">
        <f>148.22+102.53+300</f>
        <v>550.75</v>
      </c>
      <c r="AI80" s="3">
        <f>102.53+135.61</f>
        <v>238.14000000000001</v>
      </c>
      <c r="AJ80" s="3">
        <v>672.53</v>
      </c>
      <c r="AK80" s="3">
        <v>915.97</v>
      </c>
      <c r="AL80" s="3">
        <f>146.61+102.53+100+200</f>
        <v>549.14</v>
      </c>
      <c r="AM80" s="3">
        <f>91.03+64.94+65.79+100+1210.15</f>
        <v>1531.91</v>
      </c>
      <c r="AN80" s="3">
        <f>134.26+102.53+100+10.4</f>
        <v>347.18999999999994</v>
      </c>
      <c r="AO80" s="3">
        <f>133.99+102.53+100+240</f>
        <v>576.52</v>
      </c>
      <c r="AP80" s="3">
        <f>191.22+102.53+960</f>
        <v>1253.75</v>
      </c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05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19"/>
      <c r="BY80" s="6"/>
      <c r="BZ80" s="1"/>
      <c r="CA80" s="5"/>
    </row>
    <row r="81" spans="1:79" s="1" customFormat="1">
      <c r="A81" s="266"/>
      <c r="B81" s="241"/>
      <c r="C81" s="255"/>
      <c r="D81" s="252"/>
      <c r="E81" s="252"/>
      <c r="F81" s="252"/>
      <c r="G81" s="255"/>
      <c r="H81" s="255"/>
      <c r="I81" s="54"/>
      <c r="J81" s="3">
        <f>SUM(J67:J79)-J80</f>
        <v>0</v>
      </c>
      <c r="K81" s="3">
        <f t="shared" ref="K81:AD81" si="16">SUM(K67:K79)-K80</f>
        <v>0</v>
      </c>
      <c r="L81" s="3">
        <f t="shared" si="16"/>
        <v>0</v>
      </c>
      <c r="M81" s="3">
        <f t="shared" si="16"/>
        <v>0</v>
      </c>
      <c r="N81" s="3">
        <f t="shared" si="16"/>
        <v>0</v>
      </c>
      <c r="O81" s="3">
        <f t="shared" si="16"/>
        <v>0</v>
      </c>
      <c r="P81" s="3">
        <f t="shared" si="16"/>
        <v>553.33000000000004</v>
      </c>
      <c r="Q81" s="3">
        <f t="shared" si="16"/>
        <v>1465.77</v>
      </c>
      <c r="R81" s="3">
        <f t="shared" si="16"/>
        <v>1654.37</v>
      </c>
      <c r="S81" s="3">
        <f t="shared" si="16"/>
        <v>1548.4099999999999</v>
      </c>
      <c r="T81" s="3">
        <f t="shared" si="16"/>
        <v>2020.0400000000002</v>
      </c>
      <c r="U81" s="3">
        <f t="shared" si="16"/>
        <v>1759.11</v>
      </c>
      <c r="V81" s="3">
        <f t="shared" si="16"/>
        <v>2159.1099999999997</v>
      </c>
      <c r="W81" s="3">
        <f t="shared" si="16"/>
        <v>2146.96</v>
      </c>
      <c r="X81" s="3">
        <f t="shared" si="16"/>
        <v>2009.6799999999998</v>
      </c>
      <c r="Y81" s="3">
        <f t="shared" si="16"/>
        <v>2145.17</v>
      </c>
      <c r="Z81" s="3">
        <f t="shared" si="16"/>
        <v>2339.66</v>
      </c>
      <c r="AA81" s="3">
        <f t="shared" si="16"/>
        <v>2079.56</v>
      </c>
      <c r="AB81" s="3">
        <f t="shared" si="16"/>
        <v>2066.06</v>
      </c>
      <c r="AC81" s="3">
        <f t="shared" si="16"/>
        <v>2866.0599999999995</v>
      </c>
      <c r="AD81" s="3">
        <f t="shared" si="16"/>
        <v>2211.9499999999998</v>
      </c>
      <c r="AE81" s="3">
        <f>SUM(AE67:AE79)-AE80</f>
        <v>1666.06</v>
      </c>
      <c r="AF81" s="3">
        <f>SUM(AF67:AF79)-AF80</f>
        <v>2075.66</v>
      </c>
      <c r="AG81" s="3">
        <f>SUM(AG67:AG79)-AG80</f>
        <v>2356.4599999999996</v>
      </c>
      <c r="AH81" s="3">
        <f>SUM(AH67:AH79)-AH80</f>
        <v>1938.1799999999998</v>
      </c>
      <c r="AI81" s="3">
        <f>SUM(AI67:AI79)-AI80</f>
        <v>2955.51</v>
      </c>
      <c r="AJ81" s="3">
        <f t="shared" ref="AJ81" si="17">SUM(AJ67:AJ79)-AJ80</f>
        <v>3583.7300000000005</v>
      </c>
      <c r="AK81" s="3">
        <f>SUM(AK67:AK79)-AK80</f>
        <v>2126.96</v>
      </c>
      <c r="AL81" s="3">
        <f>SUM(AL67:AL79)-AL80</f>
        <v>2127.35</v>
      </c>
      <c r="AM81" s="3">
        <f>SUM(AM67:AM79)-AM80</f>
        <v>2755.46</v>
      </c>
      <c r="AN81" s="3">
        <f t="shared" ref="AN81:AO81" si="18">SUM(AN67:AN79)-AN80</f>
        <v>2052.6600000000003</v>
      </c>
      <c r="AO81" s="3">
        <f t="shared" si="18"/>
        <v>3041.73</v>
      </c>
      <c r="AP81" s="3">
        <f>SUM(AP67:AP79)-AP80</f>
        <v>1730.9499999999998</v>
      </c>
      <c r="AQ81" s="3">
        <f>SUM(AQ67:AQ79)-AQ80</f>
        <v>2934.43</v>
      </c>
      <c r="AR81" s="3">
        <f t="shared" ref="AR81:AY81" si="19">SUM(AR67:AR79)-AR80</f>
        <v>0</v>
      </c>
      <c r="AS81" s="3">
        <f t="shared" si="19"/>
        <v>0</v>
      </c>
      <c r="AT81" s="3">
        <f t="shared" si="19"/>
        <v>0</v>
      </c>
      <c r="AU81" s="3">
        <f t="shared" si="19"/>
        <v>0</v>
      </c>
      <c r="AV81" s="3">
        <f t="shared" si="19"/>
        <v>0</v>
      </c>
      <c r="AW81" s="3">
        <f t="shared" si="19"/>
        <v>0</v>
      </c>
      <c r="AX81" s="3">
        <f t="shared" si="19"/>
        <v>0</v>
      </c>
      <c r="AY81" s="3">
        <f t="shared" si="19"/>
        <v>0</v>
      </c>
      <c r="AZ81" s="3">
        <f t="shared" ref="AZ81:BC81" si="20">SUM(AZ67:AZ79)-AZ80</f>
        <v>0</v>
      </c>
      <c r="BA81" s="3">
        <f t="shared" si="20"/>
        <v>0</v>
      </c>
      <c r="BB81" s="105">
        <f t="shared" si="20"/>
        <v>0</v>
      </c>
      <c r="BC81" s="3">
        <f t="shared" si="20"/>
        <v>0</v>
      </c>
      <c r="BD81" s="3">
        <f t="shared" ref="BD81" si="21">SUM(BD67:BD79)-BD80</f>
        <v>0</v>
      </c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105">
        <f>SUM(K81:AY81)</f>
        <v>60370.380000000012</v>
      </c>
    </row>
    <row r="82" spans="1:79" ht="15.6" customHeight="1">
      <c r="A82" s="148" t="s">
        <v>346</v>
      </c>
      <c r="B82" s="148" t="s">
        <v>347</v>
      </c>
      <c r="C82" s="145" t="s">
        <v>310</v>
      </c>
      <c r="D82" s="145" t="s">
        <v>311</v>
      </c>
      <c r="E82" s="148" t="s">
        <v>312</v>
      </c>
      <c r="F82" s="148" t="s">
        <v>348</v>
      </c>
      <c r="G82" s="145" t="s">
        <v>314</v>
      </c>
      <c r="H82" s="145" t="s">
        <v>315</v>
      </c>
      <c r="I82" s="145" t="s">
        <v>349</v>
      </c>
      <c r="J82" s="146">
        <v>44105</v>
      </c>
      <c r="K82" s="146">
        <v>44136</v>
      </c>
      <c r="L82" s="146">
        <v>44166</v>
      </c>
      <c r="M82" s="146">
        <v>44197</v>
      </c>
      <c r="N82" s="146">
        <v>44228</v>
      </c>
      <c r="O82" s="146">
        <v>44256</v>
      </c>
      <c r="P82" s="146">
        <v>44287</v>
      </c>
      <c r="Q82" s="146">
        <v>44317</v>
      </c>
      <c r="R82" s="146">
        <v>44348</v>
      </c>
      <c r="S82" s="146">
        <v>44378</v>
      </c>
      <c r="T82" s="146">
        <v>44409</v>
      </c>
      <c r="U82" s="146">
        <v>44440</v>
      </c>
      <c r="V82" s="146">
        <v>44470</v>
      </c>
      <c r="W82" s="146">
        <v>44501</v>
      </c>
      <c r="X82" s="146">
        <v>44531</v>
      </c>
      <c r="Y82" s="146">
        <v>44562</v>
      </c>
      <c r="Z82" s="146">
        <v>44593</v>
      </c>
      <c r="AA82" s="146">
        <v>44621</v>
      </c>
      <c r="AB82" s="146">
        <v>44652</v>
      </c>
      <c r="AC82" s="146">
        <v>44682</v>
      </c>
      <c r="AD82" s="146">
        <v>44713</v>
      </c>
      <c r="AE82" s="146">
        <v>44743</v>
      </c>
      <c r="AF82" s="146">
        <v>44774</v>
      </c>
      <c r="AG82" s="146">
        <v>44805</v>
      </c>
      <c r="AH82" s="146">
        <v>44835</v>
      </c>
      <c r="AI82" s="146">
        <v>44866</v>
      </c>
      <c r="AJ82" s="146">
        <v>44896</v>
      </c>
      <c r="AK82" s="146">
        <v>44927</v>
      </c>
      <c r="AL82" s="146">
        <v>44958</v>
      </c>
      <c r="AM82" s="146">
        <v>44986</v>
      </c>
      <c r="AN82" s="146">
        <v>45017</v>
      </c>
      <c r="AO82" s="146">
        <v>45047</v>
      </c>
      <c r="AP82" s="146">
        <v>45078</v>
      </c>
      <c r="AQ82" s="146">
        <v>45108</v>
      </c>
      <c r="AR82" s="146">
        <v>45139</v>
      </c>
      <c r="AS82" s="146">
        <v>45170</v>
      </c>
      <c r="AT82" s="146">
        <v>45200</v>
      </c>
      <c r="AU82" s="146">
        <v>45231</v>
      </c>
      <c r="AV82" s="146">
        <v>45261</v>
      </c>
      <c r="AW82" s="146">
        <v>45292</v>
      </c>
      <c r="AX82" s="146">
        <v>45323</v>
      </c>
      <c r="AY82" s="146">
        <v>45352</v>
      </c>
      <c r="AZ82" s="146">
        <v>45383</v>
      </c>
      <c r="BA82" s="146">
        <v>45413</v>
      </c>
      <c r="BB82" s="146">
        <v>45444</v>
      </c>
      <c r="BC82" s="146">
        <v>45474</v>
      </c>
      <c r="BD82" s="146">
        <v>45505</v>
      </c>
      <c r="BE82" s="146">
        <v>45536</v>
      </c>
      <c r="BF82" s="146">
        <v>45566</v>
      </c>
      <c r="BG82" s="146">
        <v>45597</v>
      </c>
      <c r="BH82" s="146">
        <v>45627</v>
      </c>
      <c r="BI82" s="146">
        <v>45658</v>
      </c>
      <c r="BJ82" s="146">
        <v>45689</v>
      </c>
      <c r="BK82" s="146"/>
      <c r="BL82" s="146"/>
      <c r="BM82" s="146"/>
      <c r="BN82" s="146"/>
      <c r="BO82" s="146"/>
      <c r="BP82" s="146"/>
      <c r="BQ82" s="146"/>
      <c r="BR82" s="146"/>
      <c r="BS82" s="146"/>
      <c r="BT82" s="146"/>
      <c r="BU82" s="146"/>
      <c r="BV82" s="146"/>
      <c r="BW82" s="146"/>
      <c r="BX82" s="147" t="s">
        <v>13</v>
      </c>
      <c r="BY82" s="5"/>
      <c r="BZ82" s="5"/>
      <c r="CA82" s="5"/>
    </row>
    <row r="83" spans="1:79" ht="14.45" customHeight="1">
      <c r="A83" s="264">
        <v>6</v>
      </c>
      <c r="B83" s="241" t="s">
        <v>366</v>
      </c>
      <c r="C83" s="253" t="s">
        <v>92</v>
      </c>
      <c r="D83" s="250" t="s">
        <v>121</v>
      </c>
      <c r="E83" s="250" t="s">
        <v>367</v>
      </c>
      <c r="F83" s="250" t="s">
        <v>367</v>
      </c>
      <c r="G83" s="256">
        <f>'CONSOLIDADO ATIVO INATIVO NOVO'!J9</f>
        <v>45028</v>
      </c>
      <c r="H83" s="256">
        <f>'CONSOLIDADO ATIVO INATIVO NOVO'!K9</f>
        <v>0</v>
      </c>
      <c r="I83" s="21" t="s">
        <v>350</v>
      </c>
      <c r="J83" s="21"/>
      <c r="K83" s="21"/>
      <c r="L83" s="21"/>
      <c r="M83" s="53"/>
      <c r="N83" s="53"/>
      <c r="O83" s="53"/>
      <c r="P83" s="53"/>
      <c r="Q83" s="53"/>
      <c r="R83" s="19"/>
      <c r="S83" s="53"/>
      <c r="T83" s="53"/>
      <c r="U83" s="53"/>
      <c r="V83" s="3"/>
      <c r="W83" s="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110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19"/>
      <c r="BY83" s="5"/>
      <c r="BZ83" s="5"/>
      <c r="CA83" s="5"/>
    </row>
    <row r="84" spans="1:79">
      <c r="A84" s="265"/>
      <c r="B84" s="241"/>
      <c r="C84" s="254"/>
      <c r="D84" s="251"/>
      <c r="E84" s="251"/>
      <c r="F84" s="251"/>
      <c r="G84" s="254"/>
      <c r="H84" s="254"/>
      <c r="I84" s="21" t="s">
        <v>351</v>
      </c>
      <c r="J84" s="21"/>
      <c r="K84" s="21"/>
      <c r="L84" s="2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>
        <v>1056.26</v>
      </c>
      <c r="AT84" s="3"/>
      <c r="AU84" s="3"/>
      <c r="AV84" s="3"/>
      <c r="AW84" s="3"/>
      <c r="AX84" s="3"/>
      <c r="AY84" s="3"/>
      <c r="AZ84" s="3"/>
      <c r="BA84" s="3"/>
      <c r="BB84" s="105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19"/>
      <c r="BY84" s="6"/>
      <c r="CA84" s="5"/>
    </row>
    <row r="85" spans="1:79" ht="14.45" customHeight="1">
      <c r="A85" s="265"/>
      <c r="B85" s="241"/>
      <c r="C85" s="254"/>
      <c r="D85" s="251"/>
      <c r="E85" s="251"/>
      <c r="F85" s="251"/>
      <c r="G85" s="254"/>
      <c r="H85" s="254"/>
      <c r="I85" s="21" t="s">
        <v>352</v>
      </c>
      <c r="J85" s="21"/>
      <c r="K85" s="21"/>
      <c r="L85" s="2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05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19"/>
      <c r="BY85" s="6"/>
      <c r="BZ85" s="85"/>
      <c r="CA85" s="85"/>
    </row>
    <row r="86" spans="1:79">
      <c r="A86" s="265"/>
      <c r="B86" s="241"/>
      <c r="C86" s="254"/>
      <c r="D86" s="251"/>
      <c r="E86" s="251"/>
      <c r="F86" s="251"/>
      <c r="G86" s="254"/>
      <c r="H86" s="254"/>
      <c r="I86" s="21" t="s">
        <v>353</v>
      </c>
      <c r="J86" s="21"/>
      <c r="K86" s="21"/>
      <c r="L86" s="2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05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19"/>
      <c r="BY86" s="6"/>
      <c r="BZ86" s="85"/>
      <c r="CA86" s="85"/>
    </row>
    <row r="87" spans="1:79">
      <c r="A87" s="265"/>
      <c r="B87" s="241"/>
      <c r="C87" s="254"/>
      <c r="D87" s="251"/>
      <c r="E87" s="251"/>
      <c r="F87" s="251"/>
      <c r="G87" s="254"/>
      <c r="H87" s="254"/>
      <c r="I87" s="21" t="s">
        <v>354</v>
      </c>
      <c r="J87" s="21"/>
      <c r="K87" s="21"/>
      <c r="L87" s="2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05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19"/>
      <c r="BY87" s="6"/>
      <c r="BZ87" s="85"/>
      <c r="CA87" s="85"/>
    </row>
    <row r="88" spans="1:79">
      <c r="A88" s="265"/>
      <c r="B88" s="241"/>
      <c r="C88" s="254"/>
      <c r="D88" s="251"/>
      <c r="E88" s="251"/>
      <c r="F88" s="251"/>
      <c r="G88" s="254"/>
      <c r="H88" s="254"/>
      <c r="I88" s="21" t="s">
        <v>355</v>
      </c>
      <c r="J88" s="21"/>
      <c r="K88" s="21"/>
      <c r="L88" s="2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05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19"/>
      <c r="BY88" s="6"/>
      <c r="BZ88" s="85"/>
      <c r="CA88" s="85"/>
    </row>
    <row r="89" spans="1:79">
      <c r="A89" s="265"/>
      <c r="B89" s="241"/>
      <c r="C89" s="254"/>
      <c r="D89" s="251"/>
      <c r="E89" s="251"/>
      <c r="F89" s="251"/>
      <c r="G89" s="254"/>
      <c r="H89" s="254"/>
      <c r="I89" s="21" t="s">
        <v>356</v>
      </c>
      <c r="J89" s="21"/>
      <c r="K89" s="21"/>
      <c r="L89" s="2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05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19"/>
      <c r="BY89" s="6"/>
      <c r="BZ89" s="85"/>
      <c r="CA89" s="85"/>
    </row>
    <row r="90" spans="1:79">
      <c r="A90" s="265"/>
      <c r="B90" s="241"/>
      <c r="C90" s="254"/>
      <c r="D90" s="251"/>
      <c r="E90" s="251"/>
      <c r="F90" s="251"/>
      <c r="G90" s="254"/>
      <c r="H90" s="254"/>
      <c r="I90" s="21" t="s">
        <v>357</v>
      </c>
      <c r="J90" s="21"/>
      <c r="K90" s="21"/>
      <c r="L90" s="2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>
        <v>266.02</v>
      </c>
      <c r="AT90" s="3">
        <v>427.37</v>
      </c>
      <c r="AU90" s="3"/>
      <c r="AV90" s="3"/>
      <c r="AW90" s="3"/>
      <c r="AX90" s="3"/>
      <c r="AY90" s="3"/>
      <c r="AZ90" s="3"/>
      <c r="BA90" s="3"/>
      <c r="BB90" s="105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19"/>
      <c r="BY90" s="6"/>
      <c r="BZ90" s="85"/>
      <c r="CA90" s="85"/>
    </row>
    <row r="91" spans="1:79">
      <c r="A91" s="265"/>
      <c r="B91" s="241"/>
      <c r="C91" s="254"/>
      <c r="D91" s="251"/>
      <c r="E91" s="251"/>
      <c r="F91" s="251"/>
      <c r="G91" s="254"/>
      <c r="H91" s="254"/>
      <c r="I91" s="21" t="s">
        <v>358</v>
      </c>
      <c r="J91" s="21"/>
      <c r="K91" s="21"/>
      <c r="L91" s="2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05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19"/>
      <c r="BY91" s="6"/>
      <c r="BZ91" s="85"/>
      <c r="CA91" s="85"/>
    </row>
    <row r="92" spans="1:79">
      <c r="A92" s="265"/>
      <c r="B92" s="241"/>
      <c r="C92" s="254"/>
      <c r="D92" s="251"/>
      <c r="E92" s="251"/>
      <c r="F92" s="251"/>
      <c r="G92" s="254"/>
      <c r="H92" s="254"/>
      <c r="I92" s="21" t="s">
        <v>360</v>
      </c>
      <c r="J92" s="21"/>
      <c r="K92" s="21"/>
      <c r="L92" s="2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05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19"/>
      <c r="BY92" s="6"/>
      <c r="BZ92" s="85"/>
      <c r="CA92" s="85"/>
    </row>
    <row r="93" spans="1:79">
      <c r="A93" s="265"/>
      <c r="B93" s="241"/>
      <c r="C93" s="254"/>
      <c r="D93" s="251"/>
      <c r="E93" s="251"/>
      <c r="F93" s="251"/>
      <c r="G93" s="254"/>
      <c r="H93" s="254"/>
      <c r="I93" s="21" t="s">
        <v>361</v>
      </c>
      <c r="J93" s="21"/>
      <c r="K93" s="21"/>
      <c r="L93" s="21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05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19"/>
      <c r="BY93" s="6"/>
      <c r="BZ93" s="85"/>
      <c r="CA93" s="85"/>
    </row>
    <row r="94" spans="1:79" s="17" customFormat="1">
      <c r="A94" s="265"/>
      <c r="B94" s="241"/>
      <c r="C94" s="254"/>
      <c r="D94" s="251"/>
      <c r="E94" s="251"/>
      <c r="F94" s="251"/>
      <c r="G94" s="254"/>
      <c r="H94" s="254"/>
      <c r="I94" s="23" t="s">
        <v>362</v>
      </c>
      <c r="J94" s="23"/>
      <c r="K94" s="23"/>
      <c r="L94" s="2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4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4">
        <f>2196.35+156.56</f>
        <v>2352.91</v>
      </c>
      <c r="AU94" s="13"/>
      <c r="AV94" s="13"/>
      <c r="AW94" s="13"/>
      <c r="AX94" s="13"/>
      <c r="AY94" s="13"/>
      <c r="AZ94" s="13"/>
      <c r="BA94" s="13"/>
      <c r="BB94" s="1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42"/>
      <c r="BY94" s="6"/>
      <c r="BZ94" s="15"/>
      <c r="CA94" s="16"/>
    </row>
    <row r="95" spans="1:79">
      <c r="A95" s="265"/>
      <c r="B95" s="241"/>
      <c r="C95" s="254"/>
      <c r="D95" s="251"/>
      <c r="E95" s="251"/>
      <c r="F95" s="251"/>
      <c r="G95" s="254"/>
      <c r="H95" s="254"/>
      <c r="I95" s="22" t="s">
        <v>363</v>
      </c>
      <c r="J95" s="22"/>
      <c r="K95" s="22"/>
      <c r="L95" s="2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05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19"/>
      <c r="BY95" s="6"/>
      <c r="BZ95" s="1"/>
      <c r="CA95" s="5"/>
    </row>
    <row r="96" spans="1:79">
      <c r="A96" s="265"/>
      <c r="B96" s="241"/>
      <c r="C96" s="254"/>
      <c r="D96" s="251"/>
      <c r="E96" s="251"/>
      <c r="F96" s="251"/>
      <c r="G96" s="254"/>
      <c r="H96" s="254"/>
      <c r="I96" s="21" t="s">
        <v>364</v>
      </c>
      <c r="J96" s="21"/>
      <c r="K96" s="21"/>
      <c r="L96" s="21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>
        <v>79.209999999999994</v>
      </c>
      <c r="AT96" s="3"/>
      <c r="AU96" s="3"/>
      <c r="AV96" s="3"/>
      <c r="AW96" s="3"/>
      <c r="AX96" s="3"/>
      <c r="AY96" s="3"/>
      <c r="AZ96" s="3"/>
      <c r="BA96" s="3"/>
      <c r="BB96" s="105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19"/>
      <c r="BY96" s="6"/>
      <c r="BZ96" s="1"/>
      <c r="CA96" s="5"/>
    </row>
    <row r="97" spans="1:79" s="1" customFormat="1">
      <c r="A97" s="266"/>
      <c r="B97" s="241"/>
      <c r="C97" s="255"/>
      <c r="D97" s="252"/>
      <c r="E97" s="252"/>
      <c r="F97" s="252"/>
      <c r="G97" s="255"/>
      <c r="H97" s="255"/>
      <c r="I97" s="54"/>
      <c r="J97" s="3">
        <f>SUM(J83:J95)-J96</f>
        <v>0</v>
      </c>
      <c r="K97" s="3">
        <f t="shared" ref="K97:AD97" si="22">SUM(K83:K95)-K96</f>
        <v>0</v>
      </c>
      <c r="L97" s="3">
        <f t="shared" si="22"/>
        <v>0</v>
      </c>
      <c r="M97" s="3">
        <f t="shared" si="22"/>
        <v>0</v>
      </c>
      <c r="N97" s="3">
        <f t="shared" si="22"/>
        <v>0</v>
      </c>
      <c r="O97" s="3">
        <f t="shared" si="22"/>
        <v>0</v>
      </c>
      <c r="P97" s="3">
        <f t="shared" si="22"/>
        <v>0</v>
      </c>
      <c r="Q97" s="3">
        <f t="shared" si="22"/>
        <v>0</v>
      </c>
      <c r="R97" s="3">
        <f t="shared" si="22"/>
        <v>0</v>
      </c>
      <c r="S97" s="3">
        <f t="shared" si="22"/>
        <v>0</v>
      </c>
      <c r="T97" s="3">
        <f t="shared" si="22"/>
        <v>0</v>
      </c>
      <c r="U97" s="3">
        <f t="shared" si="22"/>
        <v>0</v>
      </c>
      <c r="V97" s="3">
        <f t="shared" si="22"/>
        <v>0</v>
      </c>
      <c r="W97" s="3">
        <f t="shared" si="22"/>
        <v>0</v>
      </c>
      <c r="X97" s="3">
        <f t="shared" si="22"/>
        <v>0</v>
      </c>
      <c r="Y97" s="3">
        <f t="shared" si="22"/>
        <v>0</v>
      </c>
      <c r="Z97" s="3">
        <f t="shared" si="22"/>
        <v>0</v>
      </c>
      <c r="AA97" s="3">
        <f t="shared" si="22"/>
        <v>0</v>
      </c>
      <c r="AB97" s="3">
        <f t="shared" si="22"/>
        <v>0</v>
      </c>
      <c r="AC97" s="3">
        <f t="shared" si="22"/>
        <v>0</v>
      </c>
      <c r="AD97" s="3">
        <f t="shared" si="22"/>
        <v>0</v>
      </c>
      <c r="AE97" s="3">
        <f>SUM(AE83:AE95)-AE96</f>
        <v>0</v>
      </c>
      <c r="AF97" s="3">
        <f>SUM(AF83:AF95)-AF96</f>
        <v>0</v>
      </c>
      <c r="AG97" s="3">
        <f>SUM(AG83:AG95)-AG96</f>
        <v>0</v>
      </c>
      <c r="AH97" s="3">
        <f>SUM(AH83:AH95)-AH96</f>
        <v>0</v>
      </c>
      <c r="AI97" s="3">
        <f>SUM(AI83:AI95)-AI96</f>
        <v>0</v>
      </c>
      <c r="AJ97" s="3">
        <f t="shared" ref="AJ97" si="23">SUM(AJ83:AJ95)-AJ96</f>
        <v>0</v>
      </c>
      <c r="AK97" s="3">
        <f>SUM(AK83:AK95)-AK96</f>
        <v>0</v>
      </c>
      <c r="AL97" s="3">
        <f>SUM(AL83:AL95)-AL96</f>
        <v>0</v>
      </c>
      <c r="AM97" s="3">
        <f>SUM(AM83:AM95)-AM96</f>
        <v>0</v>
      </c>
      <c r="AN97" s="3">
        <f t="shared" ref="AN97:AO97" si="24">SUM(AN83:AN95)-AN96</f>
        <v>0</v>
      </c>
      <c r="AO97" s="3">
        <f t="shared" si="24"/>
        <v>0</v>
      </c>
      <c r="AP97" s="3">
        <f>SUM(AP83:AP95)-AP96</f>
        <v>0</v>
      </c>
      <c r="AQ97" s="3">
        <f>SUM(AQ83:AQ95)-AQ96</f>
        <v>0</v>
      </c>
      <c r="AR97" s="3">
        <f t="shared" ref="AR97:AY97" si="25">SUM(AR83:AR95)-AR96</f>
        <v>0</v>
      </c>
      <c r="AS97" s="3">
        <f t="shared" si="25"/>
        <v>1243.07</v>
      </c>
      <c r="AT97" s="3">
        <f t="shared" si="25"/>
        <v>2780.2799999999997</v>
      </c>
      <c r="AU97" s="3">
        <f t="shared" si="25"/>
        <v>0</v>
      </c>
      <c r="AV97" s="3">
        <f t="shared" si="25"/>
        <v>0</v>
      </c>
      <c r="AW97" s="3">
        <f t="shared" si="25"/>
        <v>0</v>
      </c>
      <c r="AX97" s="3">
        <f t="shared" si="25"/>
        <v>0</v>
      </c>
      <c r="AY97" s="3">
        <f t="shared" si="25"/>
        <v>0</v>
      </c>
      <c r="AZ97" s="3">
        <f t="shared" ref="AZ97:BC97" si="26">SUM(AZ83:AZ95)-AZ96</f>
        <v>0</v>
      </c>
      <c r="BA97" s="3">
        <f t="shared" si="26"/>
        <v>0</v>
      </c>
      <c r="BB97" s="105">
        <f t="shared" si="26"/>
        <v>0</v>
      </c>
      <c r="BC97" s="3">
        <f t="shared" si="26"/>
        <v>0</v>
      </c>
      <c r="BD97" s="3">
        <f t="shared" ref="BD97" si="27">SUM(BD83:BD95)-BD96</f>
        <v>0</v>
      </c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105">
        <f>SUM(K97:AY97)</f>
        <v>4023.3499999999995</v>
      </c>
    </row>
    <row r="98" spans="1:79" ht="15.6" customHeight="1">
      <c r="A98" s="148" t="s">
        <v>346</v>
      </c>
      <c r="B98" s="148" t="s">
        <v>347</v>
      </c>
      <c r="C98" s="145" t="s">
        <v>310</v>
      </c>
      <c r="D98" s="145" t="s">
        <v>311</v>
      </c>
      <c r="E98" s="148" t="s">
        <v>312</v>
      </c>
      <c r="F98" s="148" t="s">
        <v>348</v>
      </c>
      <c r="G98" s="145" t="s">
        <v>314</v>
      </c>
      <c r="H98" s="145" t="s">
        <v>315</v>
      </c>
      <c r="I98" s="145" t="s">
        <v>349</v>
      </c>
      <c r="J98" s="146">
        <v>44105</v>
      </c>
      <c r="K98" s="146">
        <v>44136</v>
      </c>
      <c r="L98" s="146">
        <v>44166</v>
      </c>
      <c r="M98" s="146">
        <v>44197</v>
      </c>
      <c r="N98" s="146">
        <v>44228</v>
      </c>
      <c r="O98" s="146">
        <v>44256</v>
      </c>
      <c r="P98" s="146">
        <v>44287</v>
      </c>
      <c r="Q98" s="146">
        <v>44317</v>
      </c>
      <c r="R98" s="146">
        <v>44348</v>
      </c>
      <c r="S98" s="146">
        <v>44378</v>
      </c>
      <c r="T98" s="146">
        <v>44409</v>
      </c>
      <c r="U98" s="146">
        <v>44440</v>
      </c>
      <c r="V98" s="146">
        <v>44470</v>
      </c>
      <c r="W98" s="146">
        <v>44501</v>
      </c>
      <c r="X98" s="146">
        <v>44531</v>
      </c>
      <c r="Y98" s="146">
        <v>44562</v>
      </c>
      <c r="Z98" s="146">
        <v>44593</v>
      </c>
      <c r="AA98" s="146">
        <v>44621</v>
      </c>
      <c r="AB98" s="146">
        <v>44652</v>
      </c>
      <c r="AC98" s="146">
        <v>44682</v>
      </c>
      <c r="AD98" s="146">
        <v>44713</v>
      </c>
      <c r="AE98" s="146">
        <v>44743</v>
      </c>
      <c r="AF98" s="146">
        <v>44774</v>
      </c>
      <c r="AG98" s="146">
        <v>44805</v>
      </c>
      <c r="AH98" s="146">
        <v>44835</v>
      </c>
      <c r="AI98" s="146">
        <v>44866</v>
      </c>
      <c r="AJ98" s="146">
        <v>44896</v>
      </c>
      <c r="AK98" s="146">
        <v>44927</v>
      </c>
      <c r="AL98" s="146">
        <v>44958</v>
      </c>
      <c r="AM98" s="146">
        <v>44986</v>
      </c>
      <c r="AN98" s="146">
        <v>45017</v>
      </c>
      <c r="AO98" s="146">
        <v>45047</v>
      </c>
      <c r="AP98" s="146">
        <v>45078</v>
      </c>
      <c r="AQ98" s="146">
        <v>45108</v>
      </c>
      <c r="AR98" s="146">
        <v>45139</v>
      </c>
      <c r="AS98" s="146">
        <v>45170</v>
      </c>
      <c r="AT98" s="146">
        <v>45200</v>
      </c>
      <c r="AU98" s="146">
        <v>45231</v>
      </c>
      <c r="AV98" s="146">
        <v>45261</v>
      </c>
      <c r="AW98" s="146">
        <v>45292</v>
      </c>
      <c r="AX98" s="146">
        <v>45323</v>
      </c>
      <c r="AY98" s="146">
        <v>45352</v>
      </c>
      <c r="AZ98" s="146">
        <v>45383</v>
      </c>
      <c r="BA98" s="146">
        <v>45413</v>
      </c>
      <c r="BB98" s="146">
        <v>45444</v>
      </c>
      <c r="BC98" s="146">
        <v>45474</v>
      </c>
      <c r="BD98" s="146">
        <v>45505</v>
      </c>
      <c r="BE98" s="146">
        <v>45536</v>
      </c>
      <c r="BF98" s="146">
        <v>45566</v>
      </c>
      <c r="BG98" s="146">
        <v>45597</v>
      </c>
      <c r="BH98" s="146">
        <v>45627</v>
      </c>
      <c r="BI98" s="146">
        <v>45658</v>
      </c>
      <c r="BJ98" s="146">
        <v>45689</v>
      </c>
      <c r="BK98" s="146"/>
      <c r="BL98" s="146"/>
      <c r="BM98" s="146"/>
      <c r="BN98" s="146"/>
      <c r="BO98" s="146"/>
      <c r="BP98" s="146"/>
      <c r="BQ98" s="146"/>
      <c r="BR98" s="146"/>
      <c r="BS98" s="146"/>
      <c r="BT98" s="146"/>
      <c r="BU98" s="146"/>
      <c r="BV98" s="146"/>
      <c r="BW98" s="146"/>
      <c r="BX98" s="147" t="s">
        <v>13</v>
      </c>
      <c r="BY98" s="5"/>
      <c r="BZ98" s="5"/>
      <c r="CA98" s="5"/>
    </row>
    <row r="99" spans="1:79">
      <c r="A99" s="264">
        <v>7</v>
      </c>
      <c r="B99" s="241" t="s">
        <v>250</v>
      </c>
      <c r="C99" s="253" t="s">
        <v>92</v>
      </c>
      <c r="D99" s="250" t="s">
        <v>89</v>
      </c>
      <c r="E99" s="250" t="s">
        <v>150</v>
      </c>
      <c r="F99" s="250" t="s">
        <v>150</v>
      </c>
      <c r="G99" s="256">
        <f>'CONSOLIDADO ATIVO INATIVO NOVO'!J10</f>
        <v>45059</v>
      </c>
      <c r="H99" s="256">
        <f>'CONSOLIDADO ATIVO INATIVO NOVO'!K10</f>
        <v>0</v>
      </c>
      <c r="I99" s="21" t="s">
        <v>350</v>
      </c>
      <c r="J99" s="21"/>
      <c r="K99" s="21"/>
      <c r="L99" s="21"/>
      <c r="M99" s="53"/>
      <c r="N99" s="53"/>
      <c r="O99" s="53"/>
      <c r="P99" s="53"/>
      <c r="Q99" s="53"/>
      <c r="R99" s="53"/>
      <c r="S99" s="53"/>
      <c r="T99" s="53"/>
      <c r="U99" s="53"/>
      <c r="V99" s="3"/>
      <c r="W99" s="3"/>
      <c r="X99" s="53"/>
      <c r="Y99" s="53"/>
      <c r="Z99" s="53"/>
      <c r="AA99" s="53"/>
      <c r="AB99" s="53"/>
      <c r="AC99" s="53"/>
      <c r="AD99" s="19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110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19"/>
      <c r="BY99" s="5"/>
      <c r="BZ99" s="5"/>
      <c r="CA99" s="5"/>
    </row>
    <row r="100" spans="1:79">
      <c r="A100" s="265"/>
      <c r="B100" s="241"/>
      <c r="C100" s="254"/>
      <c r="D100" s="251"/>
      <c r="E100" s="251"/>
      <c r="F100" s="251"/>
      <c r="G100" s="254"/>
      <c r="H100" s="254"/>
      <c r="I100" s="21" t="s">
        <v>351</v>
      </c>
      <c r="J100" s="21"/>
      <c r="K100" s="21"/>
      <c r="L100" s="21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184.98</v>
      </c>
      <c r="AV100" s="3">
        <v>1849.81</v>
      </c>
      <c r="AW100" s="3"/>
      <c r="AX100" s="3"/>
      <c r="AY100" s="3"/>
      <c r="AZ100" s="3"/>
      <c r="BA100" s="3"/>
      <c r="BB100" s="105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19"/>
      <c r="CA100" s="5"/>
    </row>
    <row r="101" spans="1:79">
      <c r="A101" s="265"/>
      <c r="B101" s="241"/>
      <c r="C101" s="254"/>
      <c r="D101" s="251"/>
      <c r="E101" s="251"/>
      <c r="F101" s="251"/>
      <c r="G101" s="254"/>
      <c r="H101" s="254"/>
      <c r="I101" s="21" t="s">
        <v>352</v>
      </c>
      <c r="J101" s="21"/>
      <c r="K101" s="21"/>
      <c r="L101" s="21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05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19"/>
      <c r="CA101" s="5"/>
    </row>
    <row r="102" spans="1:79">
      <c r="A102" s="265"/>
      <c r="B102" s="241"/>
      <c r="C102" s="254"/>
      <c r="D102" s="251"/>
      <c r="E102" s="251"/>
      <c r="F102" s="251"/>
      <c r="G102" s="254"/>
      <c r="H102" s="254"/>
      <c r="I102" s="21" t="s">
        <v>353</v>
      </c>
      <c r="J102" s="21"/>
      <c r="K102" s="21"/>
      <c r="L102" s="21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05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19"/>
      <c r="CA102" s="5"/>
    </row>
    <row r="103" spans="1:79">
      <c r="A103" s="265"/>
      <c r="B103" s="241"/>
      <c r="C103" s="254"/>
      <c r="D103" s="251"/>
      <c r="E103" s="251"/>
      <c r="F103" s="251"/>
      <c r="G103" s="254"/>
      <c r="H103" s="254"/>
      <c r="I103" s="21" t="s">
        <v>354</v>
      </c>
      <c r="J103" s="21"/>
      <c r="K103" s="21"/>
      <c r="L103" s="2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05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19"/>
      <c r="CA103" s="5"/>
    </row>
    <row r="104" spans="1:79">
      <c r="A104" s="265"/>
      <c r="B104" s="241"/>
      <c r="C104" s="254"/>
      <c r="D104" s="251"/>
      <c r="E104" s="251"/>
      <c r="F104" s="251"/>
      <c r="G104" s="254"/>
      <c r="H104" s="254"/>
      <c r="I104" s="21" t="s">
        <v>355</v>
      </c>
      <c r="J104" s="21"/>
      <c r="K104" s="21"/>
      <c r="L104" s="21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05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19"/>
      <c r="CA104" s="5"/>
    </row>
    <row r="105" spans="1:79">
      <c r="A105" s="265"/>
      <c r="B105" s="241"/>
      <c r="C105" s="254"/>
      <c r="D105" s="251"/>
      <c r="E105" s="251"/>
      <c r="F105" s="251"/>
      <c r="G105" s="254"/>
      <c r="H105" s="254"/>
      <c r="I105" s="21" t="s">
        <v>356</v>
      </c>
      <c r="J105" s="21"/>
      <c r="K105" s="21"/>
      <c r="L105" s="2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05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19"/>
      <c r="CA105" s="5"/>
    </row>
    <row r="106" spans="1:79">
      <c r="A106" s="265"/>
      <c r="B106" s="241"/>
      <c r="C106" s="254"/>
      <c r="D106" s="251"/>
      <c r="E106" s="251"/>
      <c r="F106" s="251"/>
      <c r="G106" s="254"/>
      <c r="H106" s="254"/>
      <c r="I106" s="21" t="s">
        <v>357</v>
      </c>
      <c r="J106" s="21"/>
      <c r="K106" s="21"/>
      <c r="L106" s="2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71.900000000000006</v>
      </c>
      <c r="AV106" s="3">
        <v>634.01</v>
      </c>
      <c r="AW106" s="3">
        <v>651.01</v>
      </c>
      <c r="AX106" s="3"/>
      <c r="AY106" s="3"/>
      <c r="AZ106" s="3"/>
      <c r="BA106" s="3"/>
      <c r="BB106" s="105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19"/>
      <c r="CA106" s="5"/>
    </row>
    <row r="107" spans="1:79">
      <c r="A107" s="265"/>
      <c r="B107" s="241"/>
      <c r="C107" s="254"/>
      <c r="D107" s="251"/>
      <c r="E107" s="251"/>
      <c r="F107" s="251"/>
      <c r="G107" s="254"/>
      <c r="H107" s="254"/>
      <c r="I107" s="21" t="s">
        <v>358</v>
      </c>
      <c r="J107" s="21"/>
      <c r="K107" s="21"/>
      <c r="L107" s="2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05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19"/>
      <c r="CA107" s="5"/>
    </row>
    <row r="108" spans="1:79">
      <c r="A108" s="265"/>
      <c r="B108" s="241"/>
      <c r="C108" s="254"/>
      <c r="D108" s="251"/>
      <c r="E108" s="251"/>
      <c r="F108" s="251"/>
      <c r="G108" s="254"/>
      <c r="H108" s="254"/>
      <c r="I108" s="21" t="s">
        <v>360</v>
      </c>
      <c r="J108" s="21"/>
      <c r="K108" s="21"/>
      <c r="L108" s="21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05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19"/>
      <c r="CA108" s="5"/>
    </row>
    <row r="109" spans="1:79">
      <c r="A109" s="265"/>
      <c r="B109" s="241"/>
      <c r="C109" s="254"/>
      <c r="D109" s="251"/>
      <c r="E109" s="251"/>
      <c r="F109" s="251"/>
      <c r="G109" s="254"/>
      <c r="H109" s="254"/>
      <c r="I109" s="21" t="s">
        <v>368</v>
      </c>
      <c r="J109" s="21"/>
      <c r="K109" s="21"/>
      <c r="L109" s="21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05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19"/>
      <c r="CA109" s="5"/>
    </row>
    <row r="110" spans="1:79" s="17" customFormat="1">
      <c r="A110" s="265"/>
      <c r="B110" s="241"/>
      <c r="C110" s="254"/>
      <c r="D110" s="251"/>
      <c r="E110" s="251"/>
      <c r="F110" s="251"/>
      <c r="G110" s="254"/>
      <c r="H110" s="254"/>
      <c r="I110" s="23" t="s">
        <v>362</v>
      </c>
      <c r="J110" s="23"/>
      <c r="K110" s="23"/>
      <c r="L110" s="2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4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W110" s="13"/>
      <c r="AX110" s="13"/>
      <c r="AY110" s="13"/>
      <c r="AZ110" s="13"/>
      <c r="BA110" s="13"/>
      <c r="BB110" s="1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42"/>
      <c r="BY110" s="15"/>
      <c r="BZ110" s="15"/>
      <c r="CA110" s="16"/>
    </row>
    <row r="111" spans="1:79">
      <c r="A111" s="265"/>
      <c r="B111" s="241"/>
      <c r="C111" s="254"/>
      <c r="D111" s="251"/>
      <c r="E111" s="251"/>
      <c r="F111" s="251"/>
      <c r="G111" s="254"/>
      <c r="H111" s="254"/>
      <c r="I111" s="22" t="s">
        <v>363</v>
      </c>
      <c r="J111" s="22"/>
      <c r="K111" s="22"/>
      <c r="L111" s="2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14">
        <v>154.15</v>
      </c>
      <c r="AW111" s="3"/>
      <c r="AX111" s="3"/>
      <c r="AY111" s="3"/>
      <c r="AZ111" s="3"/>
      <c r="BA111" s="3"/>
      <c r="BB111" s="105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19"/>
      <c r="BY111" s="1"/>
      <c r="BZ111" s="1"/>
      <c r="CA111" s="5"/>
    </row>
    <row r="112" spans="1:79">
      <c r="A112" s="265"/>
      <c r="B112" s="241"/>
      <c r="C112" s="254"/>
      <c r="D112" s="251"/>
      <c r="E112" s="251"/>
      <c r="F112" s="251"/>
      <c r="G112" s="254"/>
      <c r="H112" s="254"/>
      <c r="I112" s="21" t="s">
        <v>364</v>
      </c>
      <c r="J112" s="21"/>
      <c r="K112" s="21"/>
      <c r="L112" s="21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13.87</v>
      </c>
      <c r="AV112" s="3">
        <f>146.68+11.56</f>
        <v>158.24</v>
      </c>
      <c r="AW112" s="3"/>
      <c r="AX112" s="3"/>
      <c r="AY112" s="3"/>
      <c r="AZ112" s="3"/>
      <c r="BA112" s="3"/>
      <c r="BB112" s="105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1"/>
      <c r="BZ112" s="1"/>
      <c r="CA112" s="5"/>
    </row>
    <row r="113" spans="1:79" s="1" customFormat="1">
      <c r="A113" s="266"/>
      <c r="B113" s="241"/>
      <c r="C113" s="255"/>
      <c r="D113" s="252"/>
      <c r="E113" s="252"/>
      <c r="F113" s="252"/>
      <c r="G113" s="255"/>
      <c r="H113" s="255"/>
      <c r="I113" s="54"/>
      <c r="J113" s="3">
        <f>SUM(J99:J111)-J112</f>
        <v>0</v>
      </c>
      <c r="K113" s="3">
        <f t="shared" ref="K113:V113" si="28">SUM(K99:K111)-K112</f>
        <v>0</v>
      </c>
      <c r="L113" s="3">
        <f t="shared" si="28"/>
        <v>0</v>
      </c>
      <c r="M113" s="3">
        <f t="shared" si="28"/>
        <v>0</v>
      </c>
      <c r="N113" s="3">
        <f t="shared" si="28"/>
        <v>0</v>
      </c>
      <c r="O113" s="3">
        <f t="shared" si="28"/>
        <v>0</v>
      </c>
      <c r="P113" s="3">
        <f t="shared" si="28"/>
        <v>0</v>
      </c>
      <c r="Q113" s="3">
        <f t="shared" si="28"/>
        <v>0</v>
      </c>
      <c r="R113" s="3">
        <f t="shared" si="28"/>
        <v>0</v>
      </c>
      <c r="S113" s="3">
        <f t="shared" si="28"/>
        <v>0</v>
      </c>
      <c r="T113" s="3">
        <f t="shared" si="28"/>
        <v>0</v>
      </c>
      <c r="U113" s="3">
        <f t="shared" si="28"/>
        <v>0</v>
      </c>
      <c r="V113" s="3">
        <f t="shared" si="28"/>
        <v>0</v>
      </c>
      <c r="W113" s="3">
        <f>SUM(W99:W111)-W112</f>
        <v>0</v>
      </c>
      <c r="X113" s="3">
        <f>SUM(X99:X111)-X112</f>
        <v>0</v>
      </c>
      <c r="Y113" s="3">
        <f t="shared" ref="Y113" si="29">SUM(Y99:Y111)-Y112</f>
        <v>0</v>
      </c>
      <c r="Z113" s="3">
        <f>SUM(Z99:Z111)-Z112</f>
        <v>0</v>
      </c>
      <c r="AA113" s="3">
        <f t="shared" ref="AA113:AC113" si="30">SUM(AA99:AA111)-AA112</f>
        <v>0</v>
      </c>
      <c r="AB113" s="3">
        <f t="shared" si="30"/>
        <v>0</v>
      </c>
      <c r="AC113" s="3">
        <f t="shared" si="30"/>
        <v>0</v>
      </c>
      <c r="AD113" s="3">
        <f>SUM(AD99:AD111)-AD112-22.73</f>
        <v>-22.73</v>
      </c>
      <c r="AE113" s="3">
        <f>SUM(AE99:AE111)-AE112</f>
        <v>0</v>
      </c>
      <c r="AF113" s="3">
        <f>SUM(AF99:AF111)-AF112</f>
        <v>0</v>
      </c>
      <c r="AG113" s="3">
        <f>SUM(AG99:AG111)-AG112</f>
        <v>0</v>
      </c>
      <c r="AH113" s="3">
        <f t="shared" ref="AH113" si="31">SUM(AH99:AH111)-AH112</f>
        <v>0</v>
      </c>
      <c r="AI113" s="3">
        <f>SUM(AI99:AI111)-AI112</f>
        <v>0</v>
      </c>
      <c r="AJ113" s="3">
        <f t="shared" ref="AJ113" si="32">SUM(AJ99:AJ111)-AJ112</f>
        <v>0</v>
      </c>
      <c r="AK113" s="3">
        <f>SUM(AK99:AK111)-AK112</f>
        <v>0</v>
      </c>
      <c r="AL113" s="3">
        <f t="shared" ref="AL113:AM113" si="33">SUM(AL99:AL111)-AL112</f>
        <v>0</v>
      </c>
      <c r="AM113" s="3">
        <f t="shared" si="33"/>
        <v>0</v>
      </c>
      <c r="AN113" s="3">
        <f>SUM(AN99:AN111)-AN112</f>
        <v>0</v>
      </c>
      <c r="AO113" s="3">
        <f t="shared" ref="AO113:AT113" si="34">SUM(AO99:AO111)-AO112</f>
        <v>0</v>
      </c>
      <c r="AP113" s="3">
        <f t="shared" si="34"/>
        <v>0</v>
      </c>
      <c r="AQ113" s="3">
        <f t="shared" si="34"/>
        <v>0</v>
      </c>
      <c r="AR113" s="3">
        <f t="shared" si="34"/>
        <v>0</v>
      </c>
      <c r="AS113" s="3">
        <f t="shared" si="34"/>
        <v>0</v>
      </c>
      <c r="AT113" s="3">
        <f t="shared" si="34"/>
        <v>0</v>
      </c>
      <c r="AU113" s="3">
        <f>SUM(AU99:AU111)-AU112</f>
        <v>243.01</v>
      </c>
      <c r="AV113" s="3">
        <f t="shared" ref="AV113:AW113" si="35">SUM(AV99:AV111)-AV112</f>
        <v>2479.7299999999996</v>
      </c>
      <c r="AW113" s="3">
        <f t="shared" si="35"/>
        <v>651.01</v>
      </c>
      <c r="AX113" s="3">
        <f t="shared" ref="AX113:BA113" si="36">SUM(AX99:AX111)-AX112</f>
        <v>0</v>
      </c>
      <c r="AY113" s="3">
        <f t="shared" si="36"/>
        <v>0</v>
      </c>
      <c r="AZ113" s="3">
        <f t="shared" si="36"/>
        <v>0</v>
      </c>
      <c r="BA113" s="3">
        <f t="shared" si="36"/>
        <v>0</v>
      </c>
      <c r="BB113" s="105">
        <f t="shared" ref="BB113:BD113" si="37">SUM(BB99:BB111)-BB112</f>
        <v>0</v>
      </c>
      <c r="BC113" s="3">
        <f t="shared" si="37"/>
        <v>0</v>
      </c>
      <c r="BD113" s="3">
        <f t="shared" si="37"/>
        <v>0</v>
      </c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105">
        <f>SUM(AU113:AW113)</f>
        <v>3373.75</v>
      </c>
    </row>
    <row r="114" spans="1:79" ht="15.6" customHeight="1">
      <c r="A114" s="148" t="s">
        <v>346</v>
      </c>
      <c r="B114" s="148" t="s">
        <v>347</v>
      </c>
      <c r="C114" s="145" t="s">
        <v>310</v>
      </c>
      <c r="D114" s="145" t="s">
        <v>311</v>
      </c>
      <c r="E114" s="148" t="s">
        <v>312</v>
      </c>
      <c r="F114" s="148" t="s">
        <v>348</v>
      </c>
      <c r="G114" s="145" t="s">
        <v>314</v>
      </c>
      <c r="H114" s="145" t="s">
        <v>315</v>
      </c>
      <c r="I114" s="145" t="s">
        <v>349</v>
      </c>
      <c r="J114" s="146">
        <v>44105</v>
      </c>
      <c r="K114" s="146">
        <v>44136</v>
      </c>
      <c r="L114" s="146">
        <v>44166</v>
      </c>
      <c r="M114" s="146">
        <v>44197</v>
      </c>
      <c r="N114" s="146">
        <v>44228</v>
      </c>
      <c r="O114" s="146">
        <v>44256</v>
      </c>
      <c r="P114" s="146">
        <v>44287</v>
      </c>
      <c r="Q114" s="146">
        <v>44317</v>
      </c>
      <c r="R114" s="146">
        <v>44348</v>
      </c>
      <c r="S114" s="146">
        <v>44378</v>
      </c>
      <c r="T114" s="146">
        <v>44409</v>
      </c>
      <c r="U114" s="146">
        <v>44440</v>
      </c>
      <c r="V114" s="146">
        <v>44470</v>
      </c>
      <c r="W114" s="146">
        <v>44501</v>
      </c>
      <c r="X114" s="146">
        <v>44531</v>
      </c>
      <c r="Y114" s="146">
        <v>44562</v>
      </c>
      <c r="Z114" s="146">
        <v>44593</v>
      </c>
      <c r="AA114" s="146">
        <v>44621</v>
      </c>
      <c r="AB114" s="146">
        <v>44652</v>
      </c>
      <c r="AC114" s="146">
        <v>44682</v>
      </c>
      <c r="AD114" s="146">
        <v>44713</v>
      </c>
      <c r="AE114" s="146">
        <v>44743</v>
      </c>
      <c r="AF114" s="146">
        <v>44774</v>
      </c>
      <c r="AG114" s="146">
        <v>44805</v>
      </c>
      <c r="AH114" s="146">
        <v>44835</v>
      </c>
      <c r="AI114" s="146">
        <v>44866</v>
      </c>
      <c r="AJ114" s="146">
        <v>44896</v>
      </c>
      <c r="AK114" s="146">
        <v>44927</v>
      </c>
      <c r="AL114" s="146">
        <v>44958</v>
      </c>
      <c r="AM114" s="146">
        <v>44986</v>
      </c>
      <c r="AN114" s="146">
        <v>45017</v>
      </c>
      <c r="AO114" s="146">
        <v>45047</v>
      </c>
      <c r="AP114" s="146">
        <v>45078</v>
      </c>
      <c r="AQ114" s="146">
        <v>45108</v>
      </c>
      <c r="AR114" s="146">
        <v>45139</v>
      </c>
      <c r="AS114" s="146">
        <v>45170</v>
      </c>
      <c r="AT114" s="146">
        <v>45200</v>
      </c>
      <c r="AU114" s="146">
        <v>45231</v>
      </c>
      <c r="AV114" s="146">
        <v>45261</v>
      </c>
      <c r="AW114" s="146">
        <v>45292</v>
      </c>
      <c r="AX114" s="146">
        <v>45323</v>
      </c>
      <c r="AY114" s="146">
        <v>45352</v>
      </c>
      <c r="AZ114" s="146">
        <v>45383</v>
      </c>
      <c r="BA114" s="146">
        <v>45413</v>
      </c>
      <c r="BB114" s="146">
        <v>45444</v>
      </c>
      <c r="BC114" s="146">
        <v>45474</v>
      </c>
      <c r="BD114" s="146">
        <v>45505</v>
      </c>
      <c r="BE114" s="146">
        <v>45536</v>
      </c>
      <c r="BF114" s="146">
        <v>45566</v>
      </c>
      <c r="BG114" s="146">
        <v>45597</v>
      </c>
      <c r="BH114" s="146">
        <v>45627</v>
      </c>
      <c r="BI114" s="146">
        <v>45658</v>
      </c>
      <c r="BJ114" s="146">
        <v>45689</v>
      </c>
      <c r="BK114" s="146">
        <v>45717</v>
      </c>
      <c r="BL114" s="146">
        <v>45748</v>
      </c>
      <c r="BM114" s="146">
        <v>45778</v>
      </c>
      <c r="BN114" s="146">
        <v>45809</v>
      </c>
      <c r="BO114" s="146">
        <v>45839</v>
      </c>
      <c r="BP114" s="146">
        <v>45870</v>
      </c>
      <c r="BQ114" s="146">
        <v>45901</v>
      </c>
      <c r="BR114" s="146">
        <v>45931</v>
      </c>
      <c r="BS114" s="146">
        <v>45962</v>
      </c>
      <c r="BT114" s="146">
        <v>45992</v>
      </c>
      <c r="BU114" s="146">
        <v>46023</v>
      </c>
      <c r="BV114" s="146">
        <v>46054</v>
      </c>
      <c r="BW114" s="146">
        <v>46082</v>
      </c>
      <c r="BX114" s="147" t="s">
        <v>13</v>
      </c>
      <c r="BY114" s="5"/>
      <c r="BZ114" s="5"/>
      <c r="CA114" s="5"/>
    </row>
    <row r="115" spans="1:79" s="178" customFormat="1">
      <c r="A115" s="234">
        <v>8</v>
      </c>
      <c r="B115" s="227" t="s">
        <v>143</v>
      </c>
      <c r="C115" s="230" t="s">
        <v>369</v>
      </c>
      <c r="D115" s="237" t="s">
        <v>99</v>
      </c>
      <c r="E115" s="237" t="s">
        <v>370</v>
      </c>
      <c r="F115" s="237" t="s">
        <v>370</v>
      </c>
      <c r="G115" s="230"/>
      <c r="H115" s="230"/>
      <c r="I115" s="175" t="s">
        <v>350</v>
      </c>
      <c r="J115" s="175"/>
      <c r="K115" s="175"/>
      <c r="L115" s="175"/>
      <c r="M115" s="180"/>
      <c r="N115" s="180"/>
      <c r="O115" s="180"/>
      <c r="P115" s="180"/>
      <c r="Q115" s="180"/>
      <c r="R115" s="180"/>
      <c r="S115" s="180"/>
      <c r="T115" s="180"/>
      <c r="U115" s="180"/>
      <c r="V115" s="176"/>
      <c r="W115" s="176"/>
      <c r="X115" s="180"/>
      <c r="Y115" s="180"/>
      <c r="Z115" s="180"/>
      <c r="AA115" s="180"/>
      <c r="AB115" s="180"/>
      <c r="AC115" s="180"/>
      <c r="AD115" s="176"/>
      <c r="AE115" s="180"/>
      <c r="AF115" s="180"/>
      <c r="AG115" s="180"/>
      <c r="AH115" s="180"/>
      <c r="AI115" s="180"/>
      <c r="AJ115" s="180"/>
      <c r="AK115" s="180"/>
      <c r="AL115" s="180"/>
      <c r="AM115" s="180"/>
      <c r="AN115" s="180"/>
      <c r="AO115" s="180"/>
      <c r="AP115" s="180"/>
      <c r="AQ115" s="180"/>
      <c r="AR115" s="180"/>
      <c r="AS115" s="180"/>
      <c r="AT115" s="180"/>
      <c r="AU115" s="180"/>
      <c r="AV115" s="180"/>
      <c r="AW115" s="180"/>
      <c r="AX115" s="180"/>
      <c r="AY115" s="180"/>
      <c r="AZ115" s="180"/>
      <c r="BA115" s="180"/>
      <c r="BB115" s="180"/>
      <c r="BC115" s="180"/>
      <c r="BD115" s="180"/>
      <c r="BE115" s="180"/>
      <c r="BF115" s="180"/>
      <c r="BG115" s="180"/>
      <c r="BH115" s="180"/>
      <c r="BI115" s="180"/>
      <c r="BJ115" s="180"/>
      <c r="BK115" s="180"/>
      <c r="BL115" s="180"/>
      <c r="BM115" s="180"/>
      <c r="BN115" s="180"/>
      <c r="BO115" s="180"/>
      <c r="BP115" s="180"/>
      <c r="BQ115" s="180"/>
      <c r="BR115" s="180"/>
      <c r="BS115" s="180"/>
      <c r="BT115" s="180"/>
      <c r="BU115" s="180"/>
      <c r="BV115" s="180"/>
      <c r="BW115" s="180"/>
      <c r="BX115" s="176"/>
      <c r="BY115" s="181"/>
      <c r="BZ115" s="181"/>
      <c r="CA115" s="181"/>
    </row>
    <row r="116" spans="1:79" s="178" customFormat="1">
      <c r="A116" s="235"/>
      <c r="B116" s="227"/>
      <c r="C116" s="231"/>
      <c r="D116" s="238"/>
      <c r="E116" s="238"/>
      <c r="F116" s="238"/>
      <c r="G116" s="231"/>
      <c r="H116" s="231"/>
      <c r="I116" s="175" t="s">
        <v>351</v>
      </c>
      <c r="J116" s="175"/>
      <c r="K116" s="175"/>
      <c r="L116" s="175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76"/>
      <c r="AF116" s="176"/>
      <c r="AG116" s="176"/>
      <c r="AH116" s="176"/>
      <c r="AI116" s="176"/>
      <c r="AJ116" s="176"/>
      <c r="AK116" s="176"/>
      <c r="AL116" s="176"/>
      <c r="AM116" s="176"/>
      <c r="AN116" s="176"/>
      <c r="AO116" s="176"/>
      <c r="AP116" s="176"/>
      <c r="AQ116" s="176"/>
      <c r="AR116" s="176"/>
      <c r="AS116" s="176"/>
      <c r="AT116" s="176"/>
      <c r="AU116" s="176"/>
      <c r="AV116" s="176"/>
      <c r="AW116" s="176"/>
      <c r="AX116" s="176"/>
      <c r="AY116" s="176"/>
      <c r="AZ116" s="176"/>
      <c r="BA116" s="176"/>
      <c r="BB116" s="176"/>
      <c r="BC116" s="176">
        <v>211.8</v>
      </c>
      <c r="BD116" s="176">
        <v>706</v>
      </c>
      <c r="BE116" s="176">
        <v>706</v>
      </c>
      <c r="BF116" s="176">
        <v>706</v>
      </c>
      <c r="BG116" s="176">
        <v>706</v>
      </c>
      <c r="BH116" s="176">
        <v>706</v>
      </c>
      <c r="BI116" s="176">
        <v>706</v>
      </c>
      <c r="BJ116" s="176">
        <v>706</v>
      </c>
      <c r="BK116" s="176">
        <v>706</v>
      </c>
      <c r="BL116" s="176">
        <v>706</v>
      </c>
      <c r="BM116" s="176">
        <v>706</v>
      </c>
      <c r="BN116" s="176">
        <v>706</v>
      </c>
      <c r="BO116" s="176">
        <v>706</v>
      </c>
      <c r="BP116" s="176">
        <v>1000</v>
      </c>
      <c r="BQ116" s="176">
        <v>1000</v>
      </c>
      <c r="BR116" s="176">
        <v>1000</v>
      </c>
      <c r="BS116" s="176">
        <v>1000</v>
      </c>
      <c r="BT116" s="176">
        <v>1000</v>
      </c>
      <c r="BU116" s="176">
        <v>1000</v>
      </c>
      <c r="BV116" s="176">
        <v>1000</v>
      </c>
      <c r="BW116" s="176">
        <v>1000</v>
      </c>
      <c r="BX116" s="176"/>
      <c r="CA116" s="181"/>
    </row>
    <row r="117" spans="1:79" s="178" customFormat="1">
      <c r="A117" s="235"/>
      <c r="B117" s="227"/>
      <c r="C117" s="231"/>
      <c r="D117" s="238"/>
      <c r="E117" s="238"/>
      <c r="F117" s="238"/>
      <c r="G117" s="231"/>
      <c r="H117" s="231"/>
      <c r="I117" s="175" t="s">
        <v>352</v>
      </c>
      <c r="J117" s="175"/>
      <c r="K117" s="175"/>
      <c r="L117" s="175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  <c r="AA117" s="176"/>
      <c r="AB117" s="176"/>
      <c r="AC117" s="176"/>
      <c r="AD117" s="176"/>
      <c r="AE117" s="176"/>
      <c r="AF117" s="176"/>
      <c r="AG117" s="176"/>
      <c r="AH117" s="176"/>
      <c r="AI117" s="176"/>
      <c r="AJ117" s="176"/>
      <c r="AK117" s="176"/>
      <c r="AL117" s="176"/>
      <c r="AM117" s="176"/>
      <c r="AN117" s="176"/>
      <c r="AO117" s="176"/>
      <c r="AP117" s="176"/>
      <c r="AQ117" s="176"/>
      <c r="AR117" s="176"/>
      <c r="AS117" s="176"/>
      <c r="AT117" s="176"/>
      <c r="AU117" s="176"/>
      <c r="AV117" s="176"/>
      <c r="AW117" s="176"/>
      <c r="AX117" s="176"/>
      <c r="AY117" s="176"/>
      <c r="AZ117" s="176"/>
      <c r="BA117" s="176"/>
      <c r="BB117" s="176"/>
      <c r="BC117" s="176"/>
      <c r="BD117" s="176"/>
      <c r="BE117" s="176"/>
      <c r="BF117" s="176"/>
      <c r="BG117" s="176"/>
      <c r="BH117" s="176"/>
      <c r="BI117" s="176"/>
      <c r="BJ117" s="176"/>
      <c r="BK117" s="176"/>
      <c r="BL117" s="176"/>
      <c r="BM117" s="176"/>
      <c r="BN117" s="176"/>
      <c r="BO117" s="176"/>
      <c r="BP117" s="176"/>
      <c r="BQ117" s="176"/>
      <c r="BR117" s="176"/>
      <c r="BS117" s="176"/>
      <c r="BT117" s="176"/>
      <c r="BU117" s="176"/>
      <c r="BV117" s="176"/>
      <c r="BW117" s="176"/>
      <c r="BX117" s="176"/>
      <c r="CA117" s="181"/>
    </row>
    <row r="118" spans="1:79" s="178" customFormat="1">
      <c r="A118" s="235"/>
      <c r="B118" s="227"/>
      <c r="C118" s="231"/>
      <c r="D118" s="238"/>
      <c r="E118" s="238"/>
      <c r="F118" s="238"/>
      <c r="G118" s="231"/>
      <c r="H118" s="231"/>
      <c r="I118" s="175" t="s">
        <v>353</v>
      </c>
      <c r="J118" s="175"/>
      <c r="K118" s="175"/>
      <c r="L118" s="175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  <c r="AC118" s="176"/>
      <c r="AD118" s="176"/>
      <c r="AE118" s="176"/>
      <c r="AF118" s="176"/>
      <c r="AG118" s="176"/>
      <c r="AH118" s="176"/>
      <c r="AI118" s="176"/>
      <c r="AJ118" s="176"/>
      <c r="AK118" s="176"/>
      <c r="AL118" s="176"/>
      <c r="AM118" s="176"/>
      <c r="AN118" s="176"/>
      <c r="AO118" s="176"/>
      <c r="AP118" s="176"/>
      <c r="AQ118" s="176"/>
      <c r="AR118" s="176"/>
      <c r="AS118" s="176"/>
      <c r="AT118" s="176"/>
      <c r="AU118" s="176"/>
      <c r="AV118" s="176"/>
      <c r="AW118" s="176"/>
      <c r="AX118" s="176"/>
      <c r="AY118" s="176"/>
      <c r="AZ118" s="176"/>
      <c r="BA118" s="176"/>
      <c r="BB118" s="176"/>
      <c r="BC118" s="176"/>
      <c r="BD118" s="176"/>
      <c r="BE118" s="176"/>
      <c r="BF118" s="176"/>
      <c r="BG118" s="176"/>
      <c r="BH118" s="176"/>
      <c r="BI118" s="176"/>
      <c r="BJ118" s="176"/>
      <c r="BK118" s="176"/>
      <c r="BL118" s="176"/>
      <c r="BM118" s="176"/>
      <c r="BN118" s="176"/>
      <c r="BO118" s="176"/>
      <c r="BP118" s="176"/>
      <c r="BQ118" s="176"/>
      <c r="BR118" s="176"/>
      <c r="BS118" s="176"/>
      <c r="BT118" s="176"/>
      <c r="BU118" s="176"/>
      <c r="BV118" s="176"/>
      <c r="BW118" s="176"/>
      <c r="BX118" s="176"/>
      <c r="CA118" s="181"/>
    </row>
    <row r="119" spans="1:79" s="178" customFormat="1">
      <c r="A119" s="235"/>
      <c r="B119" s="227"/>
      <c r="C119" s="231"/>
      <c r="D119" s="238"/>
      <c r="E119" s="238"/>
      <c r="F119" s="238"/>
      <c r="G119" s="231"/>
      <c r="H119" s="231"/>
      <c r="I119" s="175" t="s">
        <v>354</v>
      </c>
      <c r="J119" s="175"/>
      <c r="K119" s="175"/>
      <c r="L119" s="175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76"/>
      <c r="AF119" s="176"/>
      <c r="AG119" s="176"/>
      <c r="AH119" s="176"/>
      <c r="AI119" s="176"/>
      <c r="AJ119" s="176"/>
      <c r="AK119" s="176"/>
      <c r="AL119" s="176"/>
      <c r="AM119" s="176"/>
      <c r="AN119" s="176"/>
      <c r="AO119" s="176"/>
      <c r="AP119" s="176"/>
      <c r="AQ119" s="176"/>
      <c r="AR119" s="176"/>
      <c r="AS119" s="176"/>
      <c r="AT119" s="176"/>
      <c r="AU119" s="176"/>
      <c r="AV119" s="176"/>
      <c r="AW119" s="176"/>
      <c r="AX119" s="176"/>
      <c r="AY119" s="176"/>
      <c r="AZ119" s="176"/>
      <c r="BA119" s="176"/>
      <c r="BB119" s="176"/>
      <c r="BC119" s="176"/>
      <c r="BD119" s="176"/>
      <c r="BE119" s="176"/>
      <c r="BF119" s="176"/>
      <c r="BG119" s="176"/>
      <c r="BH119" s="176"/>
      <c r="BI119" s="176"/>
      <c r="BJ119" s="176"/>
      <c r="BK119" s="176"/>
      <c r="BL119" s="176"/>
      <c r="BM119" s="176"/>
      <c r="BN119" s="176"/>
      <c r="BO119" s="176"/>
      <c r="BP119" s="176"/>
      <c r="BQ119" s="176"/>
      <c r="BR119" s="176"/>
      <c r="BS119" s="176"/>
      <c r="BT119" s="176"/>
      <c r="BU119" s="176"/>
      <c r="BV119" s="176"/>
      <c r="BW119" s="176"/>
      <c r="BX119" s="176"/>
      <c r="CA119" s="181"/>
    </row>
    <row r="120" spans="1:79" s="178" customFormat="1">
      <c r="A120" s="235"/>
      <c r="B120" s="227"/>
      <c r="C120" s="231"/>
      <c r="D120" s="238"/>
      <c r="E120" s="238"/>
      <c r="F120" s="238"/>
      <c r="G120" s="231"/>
      <c r="H120" s="231"/>
      <c r="I120" s="175" t="s">
        <v>355</v>
      </c>
      <c r="J120" s="175"/>
      <c r="K120" s="175"/>
      <c r="L120" s="175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  <c r="AC120" s="176"/>
      <c r="AD120" s="176"/>
      <c r="AE120" s="176"/>
      <c r="AF120" s="176"/>
      <c r="AG120" s="176"/>
      <c r="AH120" s="176"/>
      <c r="AI120" s="176"/>
      <c r="AJ120" s="176"/>
      <c r="AK120" s="176"/>
      <c r="AL120" s="176"/>
      <c r="AM120" s="176"/>
      <c r="AN120" s="176"/>
      <c r="AO120" s="176"/>
      <c r="AP120" s="176"/>
      <c r="AQ120" s="176"/>
      <c r="AR120" s="176"/>
      <c r="AS120" s="176"/>
      <c r="AT120" s="176"/>
      <c r="AU120" s="176"/>
      <c r="AV120" s="176"/>
      <c r="AW120" s="176"/>
      <c r="AX120" s="176"/>
      <c r="AY120" s="176"/>
      <c r="AZ120" s="176"/>
      <c r="BA120" s="176"/>
      <c r="BB120" s="176"/>
      <c r="BC120" s="176"/>
      <c r="BD120" s="176"/>
      <c r="BE120" s="176"/>
      <c r="BF120" s="176"/>
      <c r="BG120" s="176"/>
      <c r="BH120" s="176"/>
      <c r="BI120" s="176"/>
      <c r="BJ120" s="176"/>
      <c r="BK120" s="176"/>
      <c r="BL120" s="176"/>
      <c r="BM120" s="176"/>
      <c r="BN120" s="176"/>
      <c r="BO120" s="176"/>
      <c r="BP120" s="176"/>
      <c r="BQ120" s="176"/>
      <c r="BR120" s="176"/>
      <c r="BS120" s="176"/>
      <c r="BT120" s="176"/>
      <c r="BU120" s="176"/>
      <c r="BV120" s="176"/>
      <c r="BW120" s="176"/>
      <c r="BX120" s="176"/>
      <c r="CA120" s="181"/>
    </row>
    <row r="121" spans="1:79" s="178" customFormat="1">
      <c r="A121" s="235"/>
      <c r="B121" s="227"/>
      <c r="C121" s="231"/>
      <c r="D121" s="238"/>
      <c r="E121" s="238"/>
      <c r="F121" s="238"/>
      <c r="G121" s="231"/>
      <c r="H121" s="231"/>
      <c r="I121" s="175" t="s">
        <v>356</v>
      </c>
      <c r="J121" s="175"/>
      <c r="K121" s="175"/>
      <c r="L121" s="175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/>
      <c r="AI121" s="176"/>
      <c r="AJ121" s="176"/>
      <c r="AK121" s="176"/>
      <c r="AL121" s="176"/>
      <c r="AM121" s="176"/>
      <c r="AN121" s="176"/>
      <c r="AO121" s="176"/>
      <c r="AP121" s="176"/>
      <c r="AQ121" s="176"/>
      <c r="AR121" s="176"/>
      <c r="AS121" s="176"/>
      <c r="AT121" s="176"/>
      <c r="AU121" s="176"/>
      <c r="AV121" s="176"/>
      <c r="AW121" s="176"/>
      <c r="AX121" s="176"/>
      <c r="AY121" s="176"/>
      <c r="AZ121" s="176"/>
      <c r="BA121" s="176"/>
      <c r="BB121" s="176"/>
      <c r="BC121" s="176"/>
      <c r="BD121" s="176"/>
      <c r="BE121" s="176"/>
      <c r="BF121" s="176"/>
      <c r="BG121" s="176"/>
      <c r="BH121" s="176"/>
      <c r="BI121" s="176"/>
      <c r="BJ121" s="176"/>
      <c r="BK121" s="176"/>
      <c r="BL121" s="176"/>
      <c r="BM121" s="176"/>
      <c r="BN121" s="176"/>
      <c r="BO121" s="176"/>
      <c r="BP121" s="176"/>
      <c r="BQ121" s="176"/>
      <c r="BR121" s="176"/>
      <c r="BS121" s="176"/>
      <c r="BT121" s="176"/>
      <c r="BU121" s="176"/>
      <c r="BV121" s="176"/>
      <c r="BW121" s="176"/>
      <c r="BX121" s="176"/>
      <c r="CA121" s="181"/>
    </row>
    <row r="122" spans="1:79" s="178" customFormat="1">
      <c r="A122" s="235"/>
      <c r="B122" s="227"/>
      <c r="C122" s="231"/>
      <c r="D122" s="238"/>
      <c r="E122" s="238"/>
      <c r="F122" s="238"/>
      <c r="G122" s="231"/>
      <c r="H122" s="231"/>
      <c r="I122" s="175" t="s">
        <v>357</v>
      </c>
      <c r="J122" s="175"/>
      <c r="K122" s="175"/>
      <c r="L122" s="175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  <c r="AA122" s="176"/>
      <c r="AB122" s="176"/>
      <c r="AC122" s="176"/>
      <c r="AD122" s="176"/>
      <c r="AE122" s="176"/>
      <c r="AF122" s="176"/>
      <c r="AG122" s="176"/>
      <c r="AH122" s="176"/>
      <c r="AI122" s="176"/>
      <c r="AJ122" s="176"/>
      <c r="AK122" s="176"/>
      <c r="AL122" s="176"/>
      <c r="AM122" s="176"/>
      <c r="AN122" s="176"/>
      <c r="AO122" s="176"/>
      <c r="AP122" s="176"/>
      <c r="AQ122" s="176"/>
      <c r="AR122" s="176"/>
      <c r="AS122" s="176"/>
      <c r="AT122" s="176"/>
      <c r="AU122" s="176"/>
      <c r="AV122" s="176"/>
      <c r="AW122" s="176"/>
      <c r="AX122" s="176"/>
      <c r="AY122" s="176"/>
      <c r="AZ122" s="176"/>
      <c r="BA122" s="176"/>
      <c r="BB122" s="176"/>
      <c r="BC122" s="176"/>
      <c r="BD122" s="176"/>
      <c r="BE122" s="176"/>
      <c r="BF122" s="176"/>
      <c r="BG122" s="176"/>
      <c r="BH122" s="176"/>
      <c r="BI122" s="176"/>
      <c r="BJ122" s="176"/>
      <c r="BK122" s="176"/>
      <c r="BL122" s="176"/>
      <c r="BM122" s="176"/>
      <c r="BN122" s="176"/>
      <c r="BO122" s="176"/>
      <c r="BP122" s="176"/>
      <c r="BQ122" s="176"/>
      <c r="BR122" s="176"/>
      <c r="BS122" s="176"/>
      <c r="BT122" s="176"/>
      <c r="BU122" s="176"/>
      <c r="BV122" s="176"/>
      <c r="BW122" s="176"/>
      <c r="BX122" s="176"/>
      <c r="CA122" s="181"/>
    </row>
    <row r="123" spans="1:79" s="178" customFormat="1">
      <c r="A123" s="235"/>
      <c r="B123" s="227"/>
      <c r="C123" s="231"/>
      <c r="D123" s="238"/>
      <c r="E123" s="238"/>
      <c r="F123" s="238"/>
      <c r="G123" s="231"/>
      <c r="H123" s="231"/>
      <c r="I123" s="175" t="s">
        <v>358</v>
      </c>
      <c r="J123" s="175"/>
      <c r="K123" s="175"/>
      <c r="L123" s="175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6"/>
      <c r="AT123" s="176"/>
      <c r="AU123" s="176"/>
      <c r="AV123" s="176"/>
      <c r="AW123" s="176"/>
      <c r="AX123" s="176"/>
      <c r="AY123" s="176"/>
      <c r="AZ123" s="176"/>
      <c r="BA123" s="176"/>
      <c r="BB123" s="176"/>
      <c r="BC123" s="176"/>
      <c r="BD123" s="176"/>
      <c r="BE123" s="176"/>
      <c r="BF123" s="176"/>
      <c r="BG123" s="176"/>
      <c r="BH123" s="176"/>
      <c r="BI123" s="176"/>
      <c r="BJ123" s="176"/>
      <c r="BK123" s="176"/>
      <c r="BL123" s="176"/>
      <c r="BM123" s="176"/>
      <c r="BN123" s="176"/>
      <c r="BO123" s="176"/>
      <c r="BP123" s="176"/>
      <c r="BQ123" s="176"/>
      <c r="BR123" s="176"/>
      <c r="BS123" s="176"/>
      <c r="BT123" s="176"/>
      <c r="BU123" s="176"/>
      <c r="BV123" s="176"/>
      <c r="BW123" s="176"/>
      <c r="BX123" s="176"/>
      <c r="CA123" s="181"/>
    </row>
    <row r="124" spans="1:79" s="178" customFormat="1">
      <c r="A124" s="235"/>
      <c r="B124" s="227"/>
      <c r="C124" s="231"/>
      <c r="D124" s="238"/>
      <c r="E124" s="238"/>
      <c r="F124" s="238"/>
      <c r="G124" s="231"/>
      <c r="H124" s="231"/>
      <c r="I124" s="175" t="s">
        <v>360</v>
      </c>
      <c r="J124" s="175"/>
      <c r="K124" s="175"/>
      <c r="L124" s="175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6"/>
      <c r="AT124" s="176"/>
      <c r="AU124" s="176"/>
      <c r="AV124" s="176"/>
      <c r="AW124" s="176"/>
      <c r="AX124" s="176"/>
      <c r="AY124" s="176"/>
      <c r="AZ124" s="176"/>
      <c r="BA124" s="176"/>
      <c r="BB124" s="176"/>
      <c r="BC124" s="176"/>
      <c r="BD124" s="176"/>
      <c r="BE124" s="176"/>
      <c r="BF124" s="176"/>
      <c r="BG124" s="176"/>
      <c r="BH124" s="176"/>
      <c r="BI124" s="176"/>
      <c r="BJ124" s="176"/>
      <c r="BK124" s="176"/>
      <c r="BL124" s="176"/>
      <c r="BM124" s="176"/>
      <c r="BN124" s="176"/>
      <c r="BO124" s="176"/>
      <c r="BP124" s="176"/>
      <c r="BQ124" s="176"/>
      <c r="BR124" s="176"/>
      <c r="BS124" s="176"/>
      <c r="BT124" s="176"/>
      <c r="BU124" s="176"/>
      <c r="BV124" s="176"/>
      <c r="BW124" s="176"/>
      <c r="BX124" s="176"/>
      <c r="CA124" s="181"/>
    </row>
    <row r="125" spans="1:79" s="178" customFormat="1">
      <c r="A125" s="235"/>
      <c r="B125" s="227"/>
      <c r="C125" s="231"/>
      <c r="D125" s="238"/>
      <c r="E125" s="238"/>
      <c r="F125" s="238"/>
      <c r="G125" s="231"/>
      <c r="H125" s="231"/>
      <c r="I125" s="175" t="s">
        <v>368</v>
      </c>
      <c r="J125" s="175"/>
      <c r="K125" s="175"/>
      <c r="L125" s="175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6"/>
      <c r="AT125" s="176"/>
      <c r="AU125" s="176"/>
      <c r="AV125" s="176"/>
      <c r="AW125" s="176"/>
      <c r="AX125" s="176"/>
      <c r="AY125" s="176"/>
      <c r="AZ125" s="176"/>
      <c r="BA125" s="176"/>
      <c r="BB125" s="176"/>
      <c r="BC125" s="176"/>
      <c r="BD125" s="176"/>
      <c r="BE125" s="176"/>
      <c r="BF125" s="176"/>
      <c r="BG125" s="176"/>
      <c r="BH125" s="176"/>
      <c r="BI125" s="176"/>
      <c r="BJ125" s="176"/>
      <c r="BK125" s="176"/>
      <c r="BL125" s="176"/>
      <c r="BM125" s="176"/>
      <c r="BN125" s="176"/>
      <c r="BO125" s="176"/>
      <c r="BP125" s="176"/>
      <c r="BQ125" s="176"/>
      <c r="BR125" s="176"/>
      <c r="BS125" s="176"/>
      <c r="BT125" s="176"/>
      <c r="BU125" s="176"/>
      <c r="BV125" s="176"/>
      <c r="BW125" s="176"/>
      <c r="BX125" s="176"/>
      <c r="CA125" s="181"/>
    </row>
    <row r="126" spans="1:79" s="189" customFormat="1">
      <c r="A126" s="235"/>
      <c r="B126" s="227"/>
      <c r="C126" s="231"/>
      <c r="D126" s="238"/>
      <c r="E126" s="238"/>
      <c r="F126" s="238"/>
      <c r="G126" s="231"/>
      <c r="H126" s="231"/>
      <c r="I126" s="184" t="s">
        <v>362</v>
      </c>
      <c r="J126" s="184"/>
      <c r="K126" s="184"/>
      <c r="L126" s="184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6"/>
      <c r="Y126" s="185"/>
      <c r="Z126" s="185"/>
      <c r="AA126" s="185"/>
      <c r="AB126" s="185"/>
      <c r="AC126" s="185"/>
      <c r="AD126" s="185"/>
      <c r="AE126" s="185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  <c r="BM126" s="185"/>
      <c r="BN126" s="185"/>
      <c r="BO126" s="185"/>
      <c r="BP126" s="185"/>
      <c r="BQ126" s="185"/>
      <c r="BR126" s="185"/>
      <c r="BS126" s="185"/>
      <c r="BT126" s="185"/>
      <c r="BU126" s="185"/>
      <c r="BV126" s="185"/>
      <c r="BW126" s="185"/>
      <c r="BX126" s="185"/>
      <c r="BY126" s="187"/>
      <c r="BZ126" s="187"/>
      <c r="CA126" s="188"/>
    </row>
    <row r="127" spans="1:79" s="178" customFormat="1">
      <c r="A127" s="235"/>
      <c r="B127" s="227"/>
      <c r="C127" s="231"/>
      <c r="D127" s="238"/>
      <c r="E127" s="238"/>
      <c r="F127" s="238"/>
      <c r="G127" s="231"/>
      <c r="H127" s="231"/>
      <c r="I127" s="190" t="s">
        <v>363</v>
      </c>
      <c r="J127" s="190"/>
      <c r="K127" s="190"/>
      <c r="L127" s="190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6"/>
      <c r="AT127" s="176"/>
      <c r="AU127" s="176"/>
      <c r="AV127" s="186"/>
      <c r="AW127" s="176"/>
      <c r="AX127" s="176"/>
      <c r="AY127" s="176"/>
      <c r="AZ127" s="176"/>
      <c r="BA127" s="176"/>
      <c r="BB127" s="176"/>
      <c r="BC127" s="176"/>
      <c r="BD127" s="176"/>
      <c r="BE127" s="176"/>
      <c r="BF127" s="176"/>
      <c r="BG127" s="176"/>
      <c r="BH127" s="176"/>
      <c r="BI127" s="176"/>
      <c r="BJ127" s="176"/>
      <c r="BK127" s="176"/>
      <c r="BL127" s="176"/>
      <c r="BM127" s="176"/>
      <c r="BN127" s="176"/>
      <c r="BO127" s="176"/>
      <c r="BP127" s="176"/>
      <c r="BQ127" s="176"/>
      <c r="BR127" s="176"/>
      <c r="BS127" s="176"/>
      <c r="BT127" s="176"/>
      <c r="BU127" s="176"/>
      <c r="BV127" s="176"/>
      <c r="BW127" s="176"/>
      <c r="BX127" s="176"/>
      <c r="BY127" s="191"/>
      <c r="BZ127" s="191"/>
      <c r="CA127" s="181"/>
    </row>
    <row r="128" spans="1:79" s="178" customFormat="1">
      <c r="A128" s="235"/>
      <c r="B128" s="227"/>
      <c r="C128" s="231"/>
      <c r="D128" s="238"/>
      <c r="E128" s="238"/>
      <c r="F128" s="238"/>
      <c r="G128" s="231"/>
      <c r="H128" s="231"/>
      <c r="I128" s="175" t="s">
        <v>364</v>
      </c>
      <c r="J128" s="175"/>
      <c r="K128" s="175"/>
      <c r="L128" s="175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6"/>
      <c r="AT128" s="176"/>
      <c r="AU128" s="176"/>
      <c r="AV128" s="176"/>
      <c r="AW128" s="176"/>
      <c r="AX128" s="176"/>
      <c r="AY128" s="176"/>
      <c r="AZ128" s="176"/>
      <c r="BA128" s="176"/>
      <c r="BC128" s="176"/>
      <c r="BD128" s="176">
        <v>305.93</v>
      </c>
      <c r="BE128" s="176"/>
      <c r="BF128" s="176"/>
      <c r="BG128" s="176"/>
      <c r="BH128" s="176"/>
      <c r="BI128" s="176"/>
      <c r="BJ128" s="176"/>
      <c r="BK128" s="176"/>
      <c r="BL128" s="176"/>
      <c r="BM128" s="176"/>
      <c r="BN128" s="176"/>
      <c r="BO128" s="176"/>
      <c r="BP128" s="176"/>
      <c r="BQ128" s="176"/>
      <c r="BR128" s="176"/>
      <c r="BS128" s="176"/>
      <c r="BT128" s="176"/>
      <c r="BU128" s="176"/>
      <c r="BV128" s="176"/>
      <c r="BW128" s="176"/>
      <c r="BX128" s="176"/>
      <c r="BY128" s="191"/>
      <c r="BZ128" s="191"/>
      <c r="CA128" s="181"/>
    </row>
    <row r="129" spans="1:79" s="191" customFormat="1">
      <c r="A129" s="236"/>
      <c r="B129" s="227"/>
      <c r="C129" s="232"/>
      <c r="D129" s="239"/>
      <c r="E129" s="239"/>
      <c r="F129" s="239"/>
      <c r="G129" s="232"/>
      <c r="H129" s="232"/>
      <c r="I129" s="192"/>
      <c r="J129" s="176">
        <f>SUM(J115:J127)-J128</f>
        <v>0</v>
      </c>
      <c r="K129" s="176">
        <f t="shared" ref="K129:V129" si="38">SUM(K115:K127)-K128</f>
        <v>0</v>
      </c>
      <c r="L129" s="176">
        <f t="shared" si="38"/>
        <v>0</v>
      </c>
      <c r="M129" s="176">
        <f t="shared" si="38"/>
        <v>0</v>
      </c>
      <c r="N129" s="176">
        <f t="shared" si="38"/>
        <v>0</v>
      </c>
      <c r="O129" s="176">
        <f t="shared" si="38"/>
        <v>0</v>
      </c>
      <c r="P129" s="176">
        <f t="shared" si="38"/>
        <v>0</v>
      </c>
      <c r="Q129" s="176">
        <f t="shared" si="38"/>
        <v>0</v>
      </c>
      <c r="R129" s="176">
        <f t="shared" si="38"/>
        <v>0</v>
      </c>
      <c r="S129" s="176">
        <f t="shared" si="38"/>
        <v>0</v>
      </c>
      <c r="T129" s="176">
        <f t="shared" si="38"/>
        <v>0</v>
      </c>
      <c r="U129" s="176">
        <f t="shared" si="38"/>
        <v>0</v>
      </c>
      <c r="V129" s="176">
        <f t="shared" si="38"/>
        <v>0</v>
      </c>
      <c r="W129" s="176">
        <f>SUM(W115:W127)-W128</f>
        <v>0</v>
      </c>
      <c r="X129" s="176">
        <f>SUM(X115:X127)-X128</f>
        <v>0</v>
      </c>
      <c r="Y129" s="176">
        <f t="shared" ref="Y129" si="39">SUM(Y115:Y127)-Y128</f>
        <v>0</v>
      </c>
      <c r="Z129" s="176">
        <f>SUM(Z115:Z127)-Z128</f>
        <v>0</v>
      </c>
      <c r="AA129" s="176">
        <f t="shared" ref="AA129:AC129" si="40">SUM(AA115:AA127)-AA128</f>
        <v>0</v>
      </c>
      <c r="AB129" s="176">
        <f t="shared" si="40"/>
        <v>0</v>
      </c>
      <c r="AC129" s="176">
        <f t="shared" si="40"/>
        <v>0</v>
      </c>
      <c r="AD129" s="176"/>
      <c r="AE129" s="176">
        <f>SUM(AE115:AE127)-AE128</f>
        <v>0</v>
      </c>
      <c r="AF129" s="176">
        <f>SUM(AF115:AF127)-AF128</f>
        <v>0</v>
      </c>
      <c r="AG129" s="176">
        <f>SUM(AG115:AG127)-AG128</f>
        <v>0</v>
      </c>
      <c r="AH129" s="176">
        <f t="shared" ref="AH129" si="41">SUM(AH115:AH127)-AH128</f>
        <v>0</v>
      </c>
      <c r="AI129" s="176">
        <f>SUM(AI115:AI127)-AI128</f>
        <v>0</v>
      </c>
      <c r="AJ129" s="176">
        <f t="shared" ref="AJ129" si="42">SUM(AJ115:AJ127)-AJ128</f>
        <v>0</v>
      </c>
      <c r="AK129" s="176">
        <f>SUM(AK115:AK127)-AK128</f>
        <v>0</v>
      </c>
      <c r="AL129" s="176">
        <f t="shared" ref="AL129:AM129" si="43">SUM(AL115:AL127)-AL128</f>
        <v>0</v>
      </c>
      <c r="AM129" s="176">
        <f t="shared" si="43"/>
        <v>0</v>
      </c>
      <c r="AN129" s="176">
        <f>SUM(AN115:AN127)-AN128</f>
        <v>0</v>
      </c>
      <c r="AO129" s="176">
        <f t="shared" ref="AO129:AT129" si="44">SUM(AO115:AO127)-AO128</f>
        <v>0</v>
      </c>
      <c r="AP129" s="176">
        <f t="shared" si="44"/>
        <v>0</v>
      </c>
      <c r="AQ129" s="176">
        <f t="shared" si="44"/>
        <v>0</v>
      </c>
      <c r="AR129" s="176">
        <f t="shared" si="44"/>
        <v>0</v>
      </c>
      <c r="AS129" s="176">
        <f t="shared" si="44"/>
        <v>0</v>
      </c>
      <c r="AT129" s="176">
        <f t="shared" si="44"/>
        <v>0</v>
      </c>
      <c r="AU129" s="176">
        <f>SUM(AU115:AU127)-AU128</f>
        <v>0</v>
      </c>
      <c r="AV129" s="176">
        <f t="shared" ref="AV129:BB129" si="45">SUM(AV115:AV127)-AV128</f>
        <v>0</v>
      </c>
      <c r="AW129" s="176">
        <f t="shared" si="45"/>
        <v>0</v>
      </c>
      <c r="AX129" s="176">
        <f t="shared" si="45"/>
        <v>0</v>
      </c>
      <c r="AY129" s="176">
        <f t="shared" si="45"/>
        <v>0</v>
      </c>
      <c r="AZ129" s="176">
        <f t="shared" si="45"/>
        <v>0</v>
      </c>
      <c r="BA129" s="176">
        <f t="shared" si="45"/>
        <v>0</v>
      </c>
      <c r="BB129" s="176">
        <f t="shared" si="45"/>
        <v>0</v>
      </c>
      <c r="BC129" s="176">
        <f>BC116</f>
        <v>211.8</v>
      </c>
      <c r="BD129" s="176">
        <f>BD116-BD128</f>
        <v>400.07</v>
      </c>
      <c r="BE129" s="176">
        <f>BE116</f>
        <v>706</v>
      </c>
      <c r="BF129" s="176">
        <f>BF116</f>
        <v>706</v>
      </c>
      <c r="BG129" s="176">
        <v>706</v>
      </c>
      <c r="BH129" s="176">
        <v>706</v>
      </c>
      <c r="BI129" s="176">
        <v>706</v>
      </c>
      <c r="BJ129" s="176">
        <v>706</v>
      </c>
      <c r="BK129" s="176">
        <v>706</v>
      </c>
      <c r="BL129" s="176">
        <v>706</v>
      </c>
      <c r="BM129" s="176">
        <v>706</v>
      </c>
      <c r="BN129" s="176">
        <v>706</v>
      </c>
      <c r="BO129" s="176">
        <v>706</v>
      </c>
      <c r="BP129" s="176">
        <v>1000</v>
      </c>
      <c r="BQ129" s="176">
        <v>1000</v>
      </c>
      <c r="BR129" s="176">
        <v>1000</v>
      </c>
      <c r="BS129" s="176">
        <v>1000</v>
      </c>
      <c r="BT129" s="176">
        <v>1000</v>
      </c>
      <c r="BU129" s="176">
        <v>1000</v>
      </c>
      <c r="BV129" s="176">
        <v>1000</v>
      </c>
      <c r="BW129" s="176">
        <v>1000</v>
      </c>
      <c r="BX129" s="176">
        <f>SUM(L129:BW129)</f>
        <v>16377.869999999999</v>
      </c>
    </row>
    <row r="130" spans="1:79" ht="15.6" customHeight="1">
      <c r="A130" s="148" t="s">
        <v>346</v>
      </c>
      <c r="B130" s="148" t="s">
        <v>347</v>
      </c>
      <c r="C130" s="145" t="s">
        <v>310</v>
      </c>
      <c r="D130" s="145" t="s">
        <v>311</v>
      </c>
      <c r="E130" s="148" t="s">
        <v>312</v>
      </c>
      <c r="F130" s="148" t="s">
        <v>348</v>
      </c>
      <c r="G130" s="145" t="s">
        <v>314</v>
      </c>
      <c r="H130" s="145" t="s">
        <v>315</v>
      </c>
      <c r="I130" s="145" t="s">
        <v>349</v>
      </c>
      <c r="J130" s="146">
        <v>44105</v>
      </c>
      <c r="K130" s="146">
        <v>44136</v>
      </c>
      <c r="L130" s="146">
        <v>44166</v>
      </c>
      <c r="M130" s="146">
        <v>44197</v>
      </c>
      <c r="N130" s="146">
        <v>44228</v>
      </c>
      <c r="O130" s="146">
        <v>44256</v>
      </c>
      <c r="P130" s="146">
        <v>44287</v>
      </c>
      <c r="Q130" s="146">
        <v>44317</v>
      </c>
      <c r="R130" s="146">
        <v>44348</v>
      </c>
      <c r="S130" s="146">
        <v>44378</v>
      </c>
      <c r="T130" s="146">
        <v>44409</v>
      </c>
      <c r="U130" s="146">
        <v>44440</v>
      </c>
      <c r="V130" s="146">
        <v>44470</v>
      </c>
      <c r="W130" s="146">
        <v>44501</v>
      </c>
      <c r="X130" s="146">
        <v>44531</v>
      </c>
      <c r="Y130" s="146">
        <v>44562</v>
      </c>
      <c r="Z130" s="146">
        <v>44593</v>
      </c>
      <c r="AA130" s="146">
        <v>44621</v>
      </c>
      <c r="AB130" s="146">
        <v>44652</v>
      </c>
      <c r="AC130" s="146">
        <v>44682</v>
      </c>
      <c r="AD130" s="146">
        <v>44713</v>
      </c>
      <c r="AE130" s="146">
        <v>44743</v>
      </c>
      <c r="AF130" s="146">
        <v>44774</v>
      </c>
      <c r="AG130" s="146">
        <v>44805</v>
      </c>
      <c r="AH130" s="146">
        <v>44835</v>
      </c>
      <c r="AI130" s="146">
        <v>44866</v>
      </c>
      <c r="AJ130" s="146">
        <v>44896</v>
      </c>
      <c r="AK130" s="146">
        <v>44927</v>
      </c>
      <c r="AL130" s="146">
        <v>44958</v>
      </c>
      <c r="AM130" s="146">
        <v>44986</v>
      </c>
      <c r="AN130" s="146">
        <v>45017</v>
      </c>
      <c r="AO130" s="146">
        <v>45047</v>
      </c>
      <c r="AP130" s="146">
        <v>45078</v>
      </c>
      <c r="AQ130" s="146">
        <v>45108</v>
      </c>
      <c r="AR130" s="146">
        <v>45139</v>
      </c>
      <c r="AS130" s="146">
        <v>45170</v>
      </c>
      <c r="AT130" s="146">
        <v>45200</v>
      </c>
      <c r="AU130" s="146">
        <v>45231</v>
      </c>
      <c r="AV130" s="146">
        <v>45261</v>
      </c>
      <c r="AW130" s="146">
        <v>45292</v>
      </c>
      <c r="AX130" s="146">
        <v>45323</v>
      </c>
      <c r="AY130" s="146">
        <v>45352</v>
      </c>
      <c r="AZ130" s="146">
        <v>45383</v>
      </c>
      <c r="BA130" s="146">
        <v>45413</v>
      </c>
      <c r="BB130" s="146">
        <v>45444</v>
      </c>
      <c r="BC130" s="146">
        <v>45474</v>
      </c>
      <c r="BD130" s="146">
        <v>45505</v>
      </c>
      <c r="BE130" s="146">
        <v>45536</v>
      </c>
      <c r="BF130" s="146">
        <v>45566</v>
      </c>
      <c r="BG130" s="146">
        <v>45597</v>
      </c>
      <c r="BH130" s="146">
        <v>45627</v>
      </c>
      <c r="BI130" s="146">
        <v>45658</v>
      </c>
      <c r="BJ130" s="146">
        <v>45689</v>
      </c>
      <c r="BK130" s="146"/>
      <c r="BL130" s="146"/>
      <c r="BM130" s="146"/>
      <c r="BN130" s="146"/>
      <c r="BO130" s="146"/>
      <c r="BP130" s="146"/>
      <c r="BQ130" s="146"/>
      <c r="BR130" s="146"/>
      <c r="BS130" s="146"/>
      <c r="BT130" s="146"/>
      <c r="BU130" s="146"/>
      <c r="BV130" s="146"/>
      <c r="BW130" s="146"/>
      <c r="BX130" s="147" t="s">
        <v>13</v>
      </c>
      <c r="BY130" s="5"/>
      <c r="BZ130" s="5"/>
      <c r="CA130" s="5"/>
    </row>
    <row r="131" spans="1:79" ht="14.45" customHeight="1">
      <c r="A131" s="264">
        <v>9</v>
      </c>
      <c r="B131" s="241" t="s">
        <v>75</v>
      </c>
      <c r="C131" s="253" t="s">
        <v>92</v>
      </c>
      <c r="D131" s="250" t="s">
        <v>121</v>
      </c>
      <c r="E131" s="250" t="s">
        <v>367</v>
      </c>
      <c r="F131" s="250" t="s">
        <v>367</v>
      </c>
      <c r="G131" s="256">
        <f>'CONSOLIDADO ATIVO INATIVO NOVO'!J17</f>
        <v>44593</v>
      </c>
      <c r="H131" s="256">
        <f>'CONSOLIDADO ATIVO INATIVO NOVO'!K17</f>
        <v>45337</v>
      </c>
      <c r="I131" s="21" t="s">
        <v>350</v>
      </c>
      <c r="J131" s="21"/>
      <c r="K131" s="21"/>
      <c r="L131" s="21"/>
      <c r="M131" s="53"/>
      <c r="N131" s="53"/>
      <c r="O131" s="53"/>
      <c r="P131" s="53"/>
      <c r="Q131" s="53"/>
      <c r="R131" s="53"/>
      <c r="S131" s="53"/>
      <c r="T131" s="53"/>
      <c r="U131" s="53"/>
      <c r="V131" s="3"/>
      <c r="W131" s="3"/>
      <c r="X131" s="53"/>
      <c r="Y131" s="53"/>
      <c r="Z131" s="53"/>
      <c r="AA131" s="53"/>
      <c r="AB131" s="53"/>
      <c r="AC131" s="53"/>
      <c r="AD131" s="19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110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19"/>
      <c r="BY131" s="5"/>
      <c r="BZ131" s="5"/>
      <c r="CA131" s="5"/>
    </row>
    <row r="132" spans="1:79">
      <c r="A132" s="265"/>
      <c r="B132" s="241"/>
      <c r="C132" s="254"/>
      <c r="D132" s="251"/>
      <c r="E132" s="251"/>
      <c r="F132" s="251"/>
      <c r="G132" s="254"/>
      <c r="H132" s="254"/>
      <c r="I132" s="21" t="s">
        <v>351</v>
      </c>
      <c r="J132" s="21"/>
      <c r="K132" s="21"/>
      <c r="L132" s="2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>
        <v>673.09</v>
      </c>
      <c r="X132" s="3">
        <v>1346.18</v>
      </c>
      <c r="Y132" s="3">
        <v>1492.75</v>
      </c>
      <c r="Z132" s="3">
        <v>1492.75</v>
      </c>
      <c r="AA132" s="3">
        <v>1867.75</v>
      </c>
      <c r="AB132" s="3">
        <v>1492.75</v>
      </c>
      <c r="AC132" s="3">
        <v>1492.75</v>
      </c>
      <c r="AD132" s="3">
        <v>1492.75</v>
      </c>
      <c r="AE132" s="3">
        <v>1492.75</v>
      </c>
      <c r="AF132" s="3">
        <v>1492.75</v>
      </c>
      <c r="AG132" s="3">
        <v>1492.75</v>
      </c>
      <c r="AH132" s="3">
        <v>1615.9</v>
      </c>
      <c r="AI132" s="3">
        <f>1615.9</f>
        <v>1615.9</v>
      </c>
      <c r="AJ132" s="3">
        <v>1615.9</v>
      </c>
      <c r="AK132" s="3">
        <v>1615.9</v>
      </c>
      <c r="AL132" s="3">
        <v>4010.45</v>
      </c>
      <c r="AM132" s="3">
        <v>1615.9</v>
      </c>
      <c r="AN132" s="3">
        <v>1615.9</v>
      </c>
      <c r="AO132" s="3">
        <v>1615.9</v>
      </c>
      <c r="AP132" s="3">
        <v>1615.9</v>
      </c>
      <c r="AQ132" s="3">
        <f>2424.24</f>
        <v>2424.2399999999998</v>
      </c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05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19"/>
      <c r="CA132" s="5"/>
    </row>
    <row r="133" spans="1:79">
      <c r="A133" s="265"/>
      <c r="B133" s="241"/>
      <c r="C133" s="254"/>
      <c r="D133" s="251"/>
      <c r="E133" s="251"/>
      <c r="F133" s="251"/>
      <c r="G133" s="254"/>
      <c r="H133" s="254"/>
      <c r="I133" s="21" t="s">
        <v>352</v>
      </c>
      <c r="J133" s="21"/>
      <c r="K133" s="21"/>
      <c r="L133" s="2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05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19"/>
      <c r="CA133" s="5"/>
    </row>
    <row r="134" spans="1:79">
      <c r="A134" s="265"/>
      <c r="B134" s="241"/>
      <c r="C134" s="254"/>
      <c r="D134" s="251"/>
      <c r="E134" s="251"/>
      <c r="F134" s="251"/>
      <c r="G134" s="254"/>
      <c r="H134" s="254"/>
      <c r="I134" s="21" t="s">
        <v>353</v>
      </c>
      <c r="J134" s="21"/>
      <c r="K134" s="21"/>
      <c r="L134" s="2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>
        <f>296.28+74.07</f>
        <v>370.34999999999997</v>
      </c>
      <c r="Z134" s="3"/>
      <c r="AA134" s="3"/>
      <c r="AB134" s="3"/>
      <c r="AC134" s="3"/>
      <c r="AD134" s="3">
        <f>994.68+198.94</f>
        <v>1193.6199999999999</v>
      </c>
      <c r="AE134" s="3"/>
      <c r="AF134" s="3"/>
      <c r="AG134" s="3"/>
      <c r="AH134" s="3">
        <f>197.02+788.08</f>
        <v>985.1</v>
      </c>
      <c r="AI134" s="3"/>
      <c r="AJ134" s="3"/>
      <c r="AK134" s="3"/>
      <c r="AL134" s="3"/>
      <c r="AM134" s="3"/>
      <c r="AN134" s="3"/>
      <c r="AO134" s="3"/>
      <c r="AP134" s="3">
        <f>119.32+596.6</f>
        <v>715.92000000000007</v>
      </c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05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19"/>
      <c r="CA134" s="5"/>
    </row>
    <row r="135" spans="1:79">
      <c r="A135" s="265"/>
      <c r="B135" s="241"/>
      <c r="C135" s="254"/>
      <c r="D135" s="251"/>
      <c r="E135" s="251"/>
      <c r="F135" s="251"/>
      <c r="G135" s="254"/>
      <c r="H135" s="254"/>
      <c r="I135" s="21" t="s">
        <v>354</v>
      </c>
      <c r="J135" s="21"/>
      <c r="K135" s="21"/>
      <c r="L135" s="2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05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19"/>
      <c r="CA135" s="5"/>
    </row>
    <row r="136" spans="1:79">
      <c r="A136" s="265"/>
      <c r="B136" s="241"/>
      <c r="C136" s="254"/>
      <c r="D136" s="251"/>
      <c r="E136" s="251"/>
      <c r="F136" s="251"/>
      <c r="G136" s="254"/>
      <c r="H136" s="254"/>
      <c r="I136" s="21" t="s">
        <v>355</v>
      </c>
      <c r="J136" s="21"/>
      <c r="K136" s="21"/>
      <c r="L136" s="2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>
        <f>143</f>
        <v>143</v>
      </c>
      <c r="X136" s="3">
        <v>273</v>
      </c>
      <c r="Y136" s="3">
        <v>273</v>
      </c>
      <c r="Z136" s="3">
        <v>397</v>
      </c>
      <c r="AA136" s="3">
        <v>270</v>
      </c>
      <c r="AB136" s="3">
        <v>270</v>
      </c>
      <c r="AC136" s="3">
        <v>270</v>
      </c>
      <c r="AD136" s="3">
        <v>270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05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19"/>
      <c r="CA136" s="5"/>
    </row>
    <row r="137" spans="1:79">
      <c r="A137" s="265"/>
      <c r="B137" s="241"/>
      <c r="C137" s="254"/>
      <c r="D137" s="251"/>
      <c r="E137" s="251"/>
      <c r="F137" s="251"/>
      <c r="G137" s="254"/>
      <c r="H137" s="254"/>
      <c r="I137" s="21" t="s">
        <v>356</v>
      </c>
      <c r="J137" s="21"/>
      <c r="K137" s="21"/>
      <c r="L137" s="2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>
        <v>120.9</v>
      </c>
      <c r="X137" s="3">
        <v>223.2</v>
      </c>
      <c r="Y137" s="3">
        <v>232.5</v>
      </c>
      <c r="Z137" s="3">
        <v>223.2</v>
      </c>
      <c r="AA137" s="3">
        <v>263.10000000000002</v>
      </c>
      <c r="AB137" s="3">
        <v>249.6</v>
      </c>
      <c r="AC137" s="3">
        <v>249.6</v>
      </c>
      <c r="AD137" s="3">
        <v>249.6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05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19"/>
      <c r="CA137" s="5"/>
    </row>
    <row r="138" spans="1:79">
      <c r="A138" s="265"/>
      <c r="B138" s="241"/>
      <c r="C138" s="254"/>
      <c r="D138" s="251"/>
      <c r="E138" s="251"/>
      <c r="F138" s="251"/>
      <c r="G138" s="254"/>
      <c r="H138" s="254"/>
      <c r="I138" s="21" t="s">
        <v>357</v>
      </c>
      <c r="J138" s="21"/>
      <c r="K138" s="21"/>
      <c r="L138" s="2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430.03</v>
      </c>
      <c r="AF138" s="3">
        <v>439.63</v>
      </c>
      <c r="AG138" s="3">
        <v>420.43</v>
      </c>
      <c r="AH138" s="3">
        <v>421.28</v>
      </c>
      <c r="AI138" s="3">
        <v>433.83</v>
      </c>
      <c r="AJ138" s="3">
        <v>447.86</v>
      </c>
      <c r="AK138" s="3">
        <v>445.65</v>
      </c>
      <c r="AL138" s="3">
        <v>426.45</v>
      </c>
      <c r="AM138" s="3">
        <v>455.25</v>
      </c>
      <c r="AN138" s="3">
        <v>416.85</v>
      </c>
      <c r="AO138" s="3">
        <v>445.7</v>
      </c>
      <c r="AP138" s="3">
        <v>436.05</v>
      </c>
      <c r="AQ138" s="3">
        <v>293</v>
      </c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05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19"/>
      <c r="CA138" s="5"/>
    </row>
    <row r="139" spans="1:79">
      <c r="A139" s="265"/>
      <c r="B139" s="241"/>
      <c r="C139" s="254"/>
      <c r="D139" s="251"/>
      <c r="E139" s="251"/>
      <c r="F139" s="251"/>
      <c r="G139" s="254"/>
      <c r="H139" s="254"/>
      <c r="I139" s="21" t="s">
        <v>358</v>
      </c>
      <c r="J139" s="21"/>
      <c r="K139" s="21"/>
      <c r="L139" s="2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>
        <v>400</v>
      </c>
      <c r="Y139" s="3">
        <v>400</v>
      </c>
      <c r="Z139" s="3">
        <v>400</v>
      </c>
      <c r="AA139" s="3">
        <v>400</v>
      </c>
      <c r="AB139" s="3">
        <v>400</v>
      </c>
      <c r="AC139" s="3">
        <v>400</v>
      </c>
      <c r="AD139" s="3">
        <v>400</v>
      </c>
      <c r="AE139" s="3">
        <v>400</v>
      </c>
      <c r="AF139" s="3">
        <v>400</v>
      </c>
      <c r="AG139" s="3">
        <v>400</v>
      </c>
      <c r="AH139" s="3">
        <v>400</v>
      </c>
      <c r="AI139" s="3">
        <v>400</v>
      </c>
      <c r="AJ139" s="3">
        <v>400</v>
      </c>
      <c r="AK139" s="3">
        <v>400</v>
      </c>
      <c r="AL139" s="3">
        <v>400</v>
      </c>
      <c r="AM139" s="3">
        <v>400</v>
      </c>
      <c r="AN139" s="3">
        <v>400</v>
      </c>
      <c r="AO139" s="3">
        <v>400</v>
      </c>
      <c r="AP139" s="3">
        <v>400</v>
      </c>
      <c r="AQ139" s="3">
        <v>400</v>
      </c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05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19"/>
      <c r="CA139" s="5"/>
    </row>
    <row r="140" spans="1:79">
      <c r="A140" s="265"/>
      <c r="B140" s="241"/>
      <c r="C140" s="254"/>
      <c r="D140" s="251"/>
      <c r="E140" s="251"/>
      <c r="F140" s="251"/>
      <c r="G140" s="254"/>
      <c r="H140" s="254"/>
      <c r="I140" s="21" t="s">
        <v>360</v>
      </c>
      <c r="J140" s="21"/>
      <c r="K140" s="21"/>
      <c r="L140" s="2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>
        <v>400</v>
      </c>
      <c r="Y140" s="3"/>
      <c r="Z140" s="3"/>
      <c r="AA140" s="3"/>
      <c r="AB140" s="3"/>
      <c r="AC140" s="3">
        <v>375</v>
      </c>
      <c r="AD140" s="3">
        <v>281.5</v>
      </c>
      <c r="AE140" s="3"/>
      <c r="AF140" s="3"/>
      <c r="AG140" s="3"/>
      <c r="AH140" s="3">
        <v>875</v>
      </c>
      <c r="AI140" s="3"/>
      <c r="AJ140" s="3"/>
      <c r="AK140" s="3"/>
      <c r="AL140" s="3">
        <v>1032.5</v>
      </c>
      <c r="AM140" s="3"/>
      <c r="AN140" s="3"/>
      <c r="AO140" s="3"/>
      <c r="AP140" s="3">
        <v>239.15</v>
      </c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05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19"/>
      <c r="CA140" s="5"/>
    </row>
    <row r="141" spans="1:79">
      <c r="A141" s="265"/>
      <c r="B141" s="241"/>
      <c r="C141" s="254"/>
      <c r="D141" s="251"/>
      <c r="E141" s="251"/>
      <c r="F141" s="251"/>
      <c r="G141" s="254"/>
      <c r="H141" s="254"/>
      <c r="I141" s="21" t="s">
        <v>368</v>
      </c>
      <c r="J141" s="21"/>
      <c r="K141" s="21"/>
      <c r="L141" s="2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>
        <v>2251.23</v>
      </c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05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19"/>
      <c r="CA141" s="5"/>
    </row>
    <row r="142" spans="1:79" s="17" customFormat="1">
      <c r="A142" s="265"/>
      <c r="B142" s="241"/>
      <c r="C142" s="254"/>
      <c r="D142" s="251"/>
      <c r="E142" s="251"/>
      <c r="F142" s="251"/>
      <c r="G142" s="254"/>
      <c r="H142" s="254"/>
      <c r="I142" s="23" t="s">
        <v>362</v>
      </c>
      <c r="J142" s="23"/>
      <c r="K142" s="23"/>
      <c r="L142" s="2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4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>
        <f>5026.86+1645.49</f>
        <v>6672.3499999999995</v>
      </c>
      <c r="AS142" s="13"/>
      <c r="AT142" s="13"/>
      <c r="AU142" s="13"/>
      <c r="AV142" s="13"/>
      <c r="AW142" s="13"/>
      <c r="AX142" s="13"/>
      <c r="AY142" s="13"/>
      <c r="AZ142" s="13"/>
      <c r="BA142" s="13"/>
      <c r="BB142" s="1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42"/>
      <c r="BY142" s="15"/>
      <c r="BZ142" s="15"/>
      <c r="CA142" s="16"/>
    </row>
    <row r="143" spans="1:79">
      <c r="A143" s="265"/>
      <c r="B143" s="241"/>
      <c r="C143" s="254"/>
      <c r="D143" s="251"/>
      <c r="E143" s="251"/>
      <c r="F143" s="251"/>
      <c r="G143" s="254"/>
      <c r="H143" s="254"/>
      <c r="I143" s="22" t="s">
        <v>363</v>
      </c>
      <c r="J143" s="22"/>
      <c r="K143" s="22"/>
      <c r="L143" s="2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>
        <v>112.18</v>
      </c>
      <c r="X143" s="3">
        <v>112.18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>
        <v>807.95</v>
      </c>
      <c r="AJ143" s="3">
        <v>680.7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05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19"/>
      <c r="BY143" s="1"/>
      <c r="BZ143" s="1"/>
      <c r="CA143" s="5"/>
    </row>
    <row r="144" spans="1:79">
      <c r="A144" s="265"/>
      <c r="B144" s="241"/>
      <c r="C144" s="254"/>
      <c r="D144" s="251"/>
      <c r="E144" s="251"/>
      <c r="F144" s="251"/>
      <c r="G144" s="254"/>
      <c r="H144" s="254"/>
      <c r="I144" s="21" t="s">
        <v>364</v>
      </c>
      <c r="J144" s="21"/>
      <c r="K144" s="21"/>
      <c r="L144" s="2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>
        <v>50.48</v>
      </c>
      <c r="X144" s="3">
        <f>104.65+80.77+16.82</f>
        <v>202.24</v>
      </c>
      <c r="Y144" s="3">
        <f>149.49+89.57</f>
        <v>239.06</v>
      </c>
      <c r="Z144" s="3">
        <f>116.16+89.57</f>
        <v>205.73</v>
      </c>
      <c r="AA144" s="3">
        <f>116.16+89.57+375</f>
        <v>580.73</v>
      </c>
      <c r="AB144" s="3">
        <f>116.16+89.57</f>
        <v>205.73</v>
      </c>
      <c r="AC144" s="3">
        <f>116.16+89.57</f>
        <v>205.73</v>
      </c>
      <c r="AD144" s="3">
        <f>231.36+41.33+89.57</f>
        <v>362.26</v>
      </c>
      <c r="AE144" s="3">
        <v>116.16</v>
      </c>
      <c r="AF144" s="3">
        <v>116.16</v>
      </c>
      <c r="AG144" s="3">
        <v>116.16</v>
      </c>
      <c r="AH144" s="3">
        <f>221.11+35.69</f>
        <v>256.8</v>
      </c>
      <c r="AI144" s="3">
        <v>127.25</v>
      </c>
      <c r="AJ144" s="3">
        <v>127.25</v>
      </c>
      <c r="AK144" s="3">
        <v>125.9</v>
      </c>
      <c r="AL144" s="3">
        <v>158.47999999999999</v>
      </c>
      <c r="AM144" s="3">
        <v>125.9</v>
      </c>
      <c r="AN144" s="3">
        <v>125.9</v>
      </c>
      <c r="AO144" s="3">
        <v>125.63</v>
      </c>
      <c r="AP144" s="3">
        <v>190.06</v>
      </c>
      <c r="AQ144" s="3">
        <v>2374.5700000000002</v>
      </c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05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1"/>
      <c r="BZ144" s="1"/>
      <c r="CA144" s="5"/>
    </row>
    <row r="145" spans="1:81" s="1" customFormat="1">
      <c r="A145" s="266"/>
      <c r="B145" s="241"/>
      <c r="C145" s="255"/>
      <c r="D145" s="252"/>
      <c r="E145" s="252"/>
      <c r="F145" s="252"/>
      <c r="G145" s="255"/>
      <c r="H145" s="255"/>
      <c r="I145" s="54"/>
      <c r="J145" s="3">
        <f>SUM(J131:J143)-J144</f>
        <v>0</v>
      </c>
      <c r="K145" s="3">
        <f t="shared" ref="K145:V145" si="46">SUM(K131:K143)-K144</f>
        <v>0</v>
      </c>
      <c r="L145" s="3">
        <f t="shared" si="46"/>
        <v>0</v>
      </c>
      <c r="M145" s="3">
        <f t="shared" si="46"/>
        <v>0</v>
      </c>
      <c r="N145" s="3">
        <f t="shared" si="46"/>
        <v>0</v>
      </c>
      <c r="O145" s="3">
        <f t="shared" si="46"/>
        <v>0</v>
      </c>
      <c r="P145" s="3">
        <f t="shared" si="46"/>
        <v>0</v>
      </c>
      <c r="Q145" s="3">
        <f t="shared" si="46"/>
        <v>0</v>
      </c>
      <c r="R145" s="3">
        <f t="shared" si="46"/>
        <v>0</v>
      </c>
      <c r="S145" s="3">
        <f t="shared" si="46"/>
        <v>0</v>
      </c>
      <c r="T145" s="3">
        <f t="shared" si="46"/>
        <v>0</v>
      </c>
      <c r="U145" s="3">
        <f t="shared" si="46"/>
        <v>0</v>
      </c>
      <c r="V145" s="3">
        <f t="shared" si="46"/>
        <v>0</v>
      </c>
      <c r="W145" s="3">
        <f>SUM(W131:W143)-W144</f>
        <v>998.69</v>
      </c>
      <c r="X145" s="3">
        <f>SUM(X131:X143)-X144</f>
        <v>2552.3199999999997</v>
      </c>
      <c r="Y145" s="3">
        <f t="shared" ref="Y145:AD145" si="47">SUM(Y131:Y143)-Y144</f>
        <v>2529.54</v>
      </c>
      <c r="Z145" s="3">
        <f t="shared" si="47"/>
        <v>2307.2199999999998</v>
      </c>
      <c r="AA145" s="3">
        <f t="shared" si="47"/>
        <v>2220.12</v>
      </c>
      <c r="AB145" s="3">
        <f t="shared" si="47"/>
        <v>2206.62</v>
      </c>
      <c r="AC145" s="3">
        <f t="shared" si="47"/>
        <v>2581.62</v>
      </c>
      <c r="AD145" s="3">
        <f t="shared" si="47"/>
        <v>3525.21</v>
      </c>
      <c r="AE145" s="3">
        <f>SUM(AE131:AE143)-AE144</f>
        <v>2206.62</v>
      </c>
      <c r="AF145" s="3">
        <f>SUM(AF131:AF143)-AF144</f>
        <v>2216.2200000000003</v>
      </c>
      <c r="AG145" s="3">
        <f>SUM(AG131:AG143)-AG144</f>
        <v>2197.0200000000004</v>
      </c>
      <c r="AH145" s="3">
        <f t="shared" ref="AH145" si="48">SUM(AH131:AH143)-AH144</f>
        <v>4040.4799999999996</v>
      </c>
      <c r="AI145" s="3">
        <f>SUM(AI131:AI143)-AI144</f>
        <v>3130.4300000000003</v>
      </c>
      <c r="AJ145" s="3">
        <f t="shared" ref="AJ145" si="49">SUM(AJ131:AJ143)-AJ144</f>
        <v>3017.21</v>
      </c>
      <c r="AK145" s="3">
        <f>SUM(AK131:AK143)-AK144</f>
        <v>2335.65</v>
      </c>
      <c r="AL145" s="3">
        <f t="shared" ref="AL145:AT145" si="50">SUM(AL131:AL143)-AL144</f>
        <v>5710.92</v>
      </c>
      <c r="AM145" s="3">
        <f t="shared" si="50"/>
        <v>2345.25</v>
      </c>
      <c r="AN145" s="3">
        <f>SUM(AN131:AN143)-AN144</f>
        <v>2306.85</v>
      </c>
      <c r="AO145" s="3">
        <f t="shared" si="50"/>
        <v>2335.9699999999998</v>
      </c>
      <c r="AP145" s="3">
        <f t="shared" si="50"/>
        <v>5468.19</v>
      </c>
      <c r="AQ145" s="3">
        <f t="shared" si="50"/>
        <v>742.66999999999962</v>
      </c>
      <c r="AR145" s="3">
        <f t="shared" si="50"/>
        <v>6672.3499999999995</v>
      </c>
      <c r="AS145" s="3">
        <f t="shared" si="50"/>
        <v>0</v>
      </c>
      <c r="AT145" s="3">
        <f t="shared" si="50"/>
        <v>0</v>
      </c>
      <c r="AU145" s="3">
        <f>SUM(AU131:AU143)-AU144</f>
        <v>0</v>
      </c>
      <c r="AV145" s="3">
        <f t="shared" ref="AV145:AY145" si="51">SUM(AV131:AV143)-AV144</f>
        <v>0</v>
      </c>
      <c r="AW145" s="3">
        <f t="shared" si="51"/>
        <v>0</v>
      </c>
      <c r="AX145" s="3">
        <f t="shared" si="51"/>
        <v>0</v>
      </c>
      <c r="AY145" s="3">
        <f t="shared" si="51"/>
        <v>0</v>
      </c>
      <c r="AZ145" s="3">
        <f t="shared" ref="AZ145:BC145" si="52">SUM(AZ131:AZ143)-AZ144</f>
        <v>0</v>
      </c>
      <c r="BA145" s="3">
        <f t="shared" si="52"/>
        <v>0</v>
      </c>
      <c r="BB145" s="105">
        <f t="shared" si="52"/>
        <v>0</v>
      </c>
      <c r="BC145" s="3">
        <f t="shared" si="52"/>
        <v>0</v>
      </c>
      <c r="BD145" s="3">
        <f t="shared" ref="BD145" si="53">SUM(BD131:BD143)-BD144</f>
        <v>0</v>
      </c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105">
        <f>SUM(J145:AY145)</f>
        <v>63647.17</v>
      </c>
    </row>
    <row r="146" spans="1:81" ht="15.6" customHeight="1">
      <c r="A146" s="148" t="s">
        <v>346</v>
      </c>
      <c r="B146" s="148" t="s">
        <v>347</v>
      </c>
      <c r="C146" s="145" t="s">
        <v>310</v>
      </c>
      <c r="D146" s="145" t="s">
        <v>311</v>
      </c>
      <c r="E146" s="148" t="s">
        <v>312</v>
      </c>
      <c r="F146" s="148" t="s">
        <v>348</v>
      </c>
      <c r="G146" s="145" t="s">
        <v>314</v>
      </c>
      <c r="H146" s="145" t="s">
        <v>315</v>
      </c>
      <c r="I146" s="145" t="s">
        <v>349</v>
      </c>
      <c r="J146" s="146">
        <v>44105</v>
      </c>
      <c r="K146" s="146">
        <v>44136</v>
      </c>
      <c r="L146" s="146">
        <v>44166</v>
      </c>
      <c r="M146" s="146">
        <v>44197</v>
      </c>
      <c r="N146" s="146">
        <v>44228</v>
      </c>
      <c r="O146" s="146">
        <v>44256</v>
      </c>
      <c r="P146" s="146">
        <v>44287</v>
      </c>
      <c r="Q146" s="146">
        <v>44317</v>
      </c>
      <c r="R146" s="146">
        <v>44348</v>
      </c>
      <c r="S146" s="146">
        <v>44378</v>
      </c>
      <c r="T146" s="146">
        <v>44409</v>
      </c>
      <c r="U146" s="146">
        <v>44440</v>
      </c>
      <c r="V146" s="146">
        <v>44470</v>
      </c>
      <c r="W146" s="146">
        <v>44501</v>
      </c>
      <c r="X146" s="146">
        <v>44531</v>
      </c>
      <c r="Y146" s="146">
        <v>44562</v>
      </c>
      <c r="Z146" s="146">
        <v>44593</v>
      </c>
      <c r="AA146" s="146">
        <v>44621</v>
      </c>
      <c r="AB146" s="146">
        <v>44652</v>
      </c>
      <c r="AC146" s="146">
        <v>44682</v>
      </c>
      <c r="AD146" s="146">
        <v>44713</v>
      </c>
      <c r="AE146" s="146">
        <v>44743</v>
      </c>
      <c r="AF146" s="146">
        <v>44774</v>
      </c>
      <c r="AG146" s="146">
        <v>44805</v>
      </c>
      <c r="AH146" s="146">
        <v>44835</v>
      </c>
      <c r="AI146" s="146">
        <v>44866</v>
      </c>
      <c r="AJ146" s="146">
        <v>44896</v>
      </c>
      <c r="AK146" s="146">
        <v>44927</v>
      </c>
      <c r="AL146" s="146">
        <v>44958</v>
      </c>
      <c r="AM146" s="146">
        <v>44986</v>
      </c>
      <c r="AN146" s="146">
        <v>45017</v>
      </c>
      <c r="AO146" s="146">
        <v>45047</v>
      </c>
      <c r="AP146" s="146">
        <v>45078</v>
      </c>
      <c r="AQ146" s="146">
        <v>45108</v>
      </c>
      <c r="AR146" s="146">
        <v>45139</v>
      </c>
      <c r="AS146" s="146">
        <v>45170</v>
      </c>
      <c r="AT146" s="146">
        <v>45200</v>
      </c>
      <c r="AU146" s="146">
        <v>45231</v>
      </c>
      <c r="AV146" s="146">
        <v>45261</v>
      </c>
      <c r="AW146" s="146">
        <v>45292</v>
      </c>
      <c r="AX146" s="146">
        <v>45323</v>
      </c>
      <c r="AY146" s="146">
        <v>45352</v>
      </c>
      <c r="AZ146" s="146">
        <v>45383</v>
      </c>
      <c r="BA146" s="146">
        <v>45413</v>
      </c>
      <c r="BB146" s="146">
        <v>45444</v>
      </c>
      <c r="BC146" s="146">
        <v>45474</v>
      </c>
      <c r="BD146" s="146">
        <v>45505</v>
      </c>
      <c r="BE146" s="146">
        <v>45536</v>
      </c>
      <c r="BF146" s="146">
        <v>45566</v>
      </c>
      <c r="BG146" s="146">
        <v>45597</v>
      </c>
      <c r="BH146" s="146">
        <v>45627</v>
      </c>
      <c r="BI146" s="146">
        <v>45658</v>
      </c>
      <c r="BJ146" s="146">
        <v>45689</v>
      </c>
      <c r="BK146" s="146"/>
      <c r="BL146" s="146"/>
      <c r="BM146" s="146"/>
      <c r="BN146" s="146"/>
      <c r="BO146" s="146"/>
      <c r="BP146" s="146"/>
      <c r="BQ146" s="146"/>
      <c r="BR146" s="146"/>
      <c r="BS146" s="146"/>
      <c r="BT146" s="146"/>
      <c r="BU146" s="146"/>
      <c r="BV146" s="146"/>
      <c r="BW146" s="146"/>
      <c r="BX146" s="147" t="s">
        <v>13</v>
      </c>
      <c r="BY146" s="5"/>
      <c r="BZ146" s="5"/>
      <c r="CA146" s="5"/>
    </row>
    <row r="147" spans="1:81" ht="15.75" customHeight="1">
      <c r="A147" s="264">
        <v>10</v>
      </c>
      <c r="B147" s="241" t="s">
        <v>159</v>
      </c>
      <c r="C147" s="253" t="s">
        <v>92</v>
      </c>
      <c r="D147" s="253" t="s">
        <v>89</v>
      </c>
      <c r="E147" s="250" t="s">
        <v>150</v>
      </c>
      <c r="F147" s="250" t="s">
        <v>150</v>
      </c>
      <c r="G147" s="256">
        <f>'CONSOLIDADO ATIVO INATIVO NOVO'!J12</f>
        <v>44138</v>
      </c>
      <c r="H147" s="256">
        <f>'CONSOLIDADO ATIVO INATIVO NOVO'!K12</f>
        <v>45027</v>
      </c>
      <c r="I147" s="21" t="s">
        <v>350</v>
      </c>
      <c r="J147" s="21"/>
      <c r="K147" s="21"/>
      <c r="L147" s="2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05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1"/>
      <c r="BZ147" s="1"/>
      <c r="CA147" s="1"/>
      <c r="CC147" s="6"/>
    </row>
    <row r="148" spans="1:81" ht="15.75" customHeight="1">
      <c r="A148" s="265"/>
      <c r="B148" s="241"/>
      <c r="C148" s="254"/>
      <c r="D148" s="254"/>
      <c r="E148" s="251"/>
      <c r="F148" s="251"/>
      <c r="G148" s="254"/>
      <c r="H148" s="254"/>
      <c r="I148" s="21" t="s">
        <v>351</v>
      </c>
      <c r="J148" s="21"/>
      <c r="K148" s="21"/>
      <c r="L148" s="2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>
        <v>911.38</v>
      </c>
      <c r="AM148" s="3">
        <v>1708.83</v>
      </c>
      <c r="AN148" s="3">
        <v>1708.83</v>
      </c>
      <c r="AO148" s="3">
        <v>1708.83</v>
      </c>
      <c r="AP148" s="3">
        <v>1708.83</v>
      </c>
      <c r="AQ148" s="3">
        <v>1708.83</v>
      </c>
      <c r="AR148" s="3">
        <v>1708.83</v>
      </c>
      <c r="AS148" s="3">
        <v>1708.83</v>
      </c>
      <c r="AT148" s="3">
        <v>2008.57</v>
      </c>
      <c r="AU148" s="3">
        <v>1849.81</v>
      </c>
      <c r="AV148" s="3">
        <v>1849.81</v>
      </c>
      <c r="AW148" s="3"/>
      <c r="AX148" s="3"/>
      <c r="AY148" s="3"/>
      <c r="AZ148" s="3"/>
      <c r="BA148" s="3"/>
      <c r="BB148" s="105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1"/>
      <c r="BZ148" s="1"/>
      <c r="CA148" s="1"/>
      <c r="CC148" s="6"/>
    </row>
    <row r="149" spans="1:81" ht="15.75" customHeight="1">
      <c r="A149" s="265"/>
      <c r="B149" s="241"/>
      <c r="C149" s="254"/>
      <c r="D149" s="254"/>
      <c r="E149" s="251"/>
      <c r="F149" s="251"/>
      <c r="G149" s="254"/>
      <c r="H149" s="254"/>
      <c r="I149" s="21" t="s">
        <v>371</v>
      </c>
      <c r="J149" s="21"/>
      <c r="K149" s="21"/>
      <c r="L149" s="2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>
        <v>400</v>
      </c>
      <c r="AU149" s="3">
        <v>200</v>
      </c>
      <c r="AV149" s="3">
        <v>200</v>
      </c>
      <c r="AW149" s="3"/>
      <c r="AX149" s="3"/>
      <c r="AY149" s="3"/>
      <c r="AZ149" s="3"/>
      <c r="BA149" s="3"/>
      <c r="BB149" s="105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1"/>
      <c r="BZ149" s="1"/>
      <c r="CA149" s="1"/>
      <c r="CC149" s="6"/>
    </row>
    <row r="150" spans="1:81" ht="15.75" customHeight="1">
      <c r="A150" s="265"/>
      <c r="B150" s="241"/>
      <c r="C150" s="254"/>
      <c r="D150" s="254"/>
      <c r="E150" s="251"/>
      <c r="F150" s="251"/>
      <c r="G150" s="254"/>
      <c r="H150" s="254"/>
      <c r="I150" s="21" t="s">
        <v>353</v>
      </c>
      <c r="J150" s="21"/>
      <c r="K150" s="21"/>
      <c r="L150" s="2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05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1"/>
      <c r="BZ150" s="1"/>
      <c r="CA150" s="1"/>
      <c r="CC150" s="6"/>
    </row>
    <row r="151" spans="1:81" ht="15.75" customHeight="1">
      <c r="A151" s="265"/>
      <c r="B151" s="241"/>
      <c r="C151" s="254"/>
      <c r="D151" s="254"/>
      <c r="E151" s="251"/>
      <c r="F151" s="251"/>
      <c r="G151" s="254"/>
      <c r="H151" s="254"/>
      <c r="I151" s="21" t="s">
        <v>354</v>
      </c>
      <c r="J151" s="21"/>
      <c r="K151" s="21"/>
      <c r="L151" s="2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05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1"/>
      <c r="BZ151" s="1"/>
      <c r="CA151" s="1"/>
      <c r="CC151" s="6"/>
    </row>
    <row r="152" spans="1:81" ht="15.75" customHeight="1">
      <c r="A152" s="265"/>
      <c r="B152" s="241"/>
      <c r="C152" s="254"/>
      <c r="D152" s="254"/>
      <c r="E152" s="251"/>
      <c r="F152" s="251"/>
      <c r="G152" s="254"/>
      <c r="H152" s="254"/>
      <c r="I152" s="21" t="s">
        <v>355</v>
      </c>
      <c r="J152" s="21"/>
      <c r="K152" s="21"/>
      <c r="L152" s="21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05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1"/>
      <c r="BZ152" s="1"/>
      <c r="CA152" s="1"/>
      <c r="CC152" s="6"/>
    </row>
    <row r="153" spans="1:81" ht="15.75" customHeight="1">
      <c r="A153" s="265"/>
      <c r="B153" s="241"/>
      <c r="C153" s="254"/>
      <c r="D153" s="254"/>
      <c r="E153" s="251"/>
      <c r="F153" s="251"/>
      <c r="G153" s="254"/>
      <c r="H153" s="254"/>
      <c r="I153" s="21" t="s">
        <v>356</v>
      </c>
      <c r="J153" s="21"/>
      <c r="K153" s="21"/>
      <c r="L153" s="21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05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1"/>
      <c r="BZ153" s="1"/>
      <c r="CA153" s="1"/>
      <c r="CC153" s="6"/>
    </row>
    <row r="154" spans="1:81" ht="15.75" customHeight="1">
      <c r="A154" s="265"/>
      <c r="B154" s="241"/>
      <c r="C154" s="254"/>
      <c r="D154" s="254"/>
      <c r="E154" s="251"/>
      <c r="F154" s="251"/>
      <c r="G154" s="254"/>
      <c r="H154" s="254"/>
      <c r="I154" s="21" t="s">
        <v>357</v>
      </c>
      <c r="J154" s="21"/>
      <c r="K154" s="21"/>
      <c r="L154" s="21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>
        <v>237.49</v>
      </c>
      <c r="AM154" s="3">
        <v>487.48</v>
      </c>
      <c r="AN154" s="3">
        <v>443.48</v>
      </c>
      <c r="AO154" s="3">
        <v>476.58</v>
      </c>
      <c r="AP154" s="3">
        <v>465.5</v>
      </c>
      <c r="AQ154" s="3">
        <v>476.48</v>
      </c>
      <c r="AR154" s="3">
        <v>487.59</v>
      </c>
      <c r="AS154" s="3">
        <v>465.59</v>
      </c>
      <c r="AT154" s="3">
        <v>467.58</v>
      </c>
      <c r="AU154" s="3">
        <v>444.51</v>
      </c>
      <c r="AV154" s="3">
        <v>521.07000000000005</v>
      </c>
      <c r="AW154" s="3">
        <v>496.02</v>
      </c>
      <c r="AX154" s="3"/>
      <c r="AY154" s="3"/>
      <c r="AZ154" s="3"/>
      <c r="BA154" s="3"/>
      <c r="BB154" s="105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1"/>
      <c r="BZ154" s="1"/>
      <c r="CA154" s="1"/>
      <c r="CC154" s="6"/>
    </row>
    <row r="155" spans="1:81" ht="15.75" customHeight="1">
      <c r="A155" s="265"/>
      <c r="B155" s="241"/>
      <c r="C155" s="254"/>
      <c r="D155" s="254"/>
      <c r="E155" s="251"/>
      <c r="F155" s="251"/>
      <c r="G155" s="254"/>
      <c r="H155" s="254"/>
      <c r="I155" s="23" t="s">
        <v>362</v>
      </c>
      <c r="J155" s="23"/>
      <c r="K155" s="23"/>
      <c r="L155" s="2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05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1"/>
      <c r="BZ155" s="1"/>
      <c r="CA155" s="1"/>
      <c r="CC155" s="6"/>
    </row>
    <row r="156" spans="1:81" ht="15.75" customHeight="1">
      <c r="A156" s="265"/>
      <c r="B156" s="241"/>
      <c r="C156" s="254"/>
      <c r="D156" s="254"/>
      <c r="E156" s="251"/>
      <c r="F156" s="251"/>
      <c r="G156" s="254"/>
      <c r="H156" s="254"/>
      <c r="I156" s="22" t="s">
        <v>363</v>
      </c>
      <c r="J156" s="22"/>
      <c r="K156" s="22"/>
      <c r="L156" s="2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693.68</v>
      </c>
      <c r="AV156" s="3">
        <v>728.9</v>
      </c>
      <c r="AW156" s="3"/>
      <c r="AX156" s="3"/>
      <c r="AY156" s="3"/>
      <c r="AZ156" s="3"/>
      <c r="BA156" s="3"/>
      <c r="BB156" s="105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1"/>
      <c r="BZ156" s="1"/>
      <c r="CA156" s="1"/>
      <c r="CC156" s="6"/>
    </row>
    <row r="157" spans="1:81" ht="15.75" customHeight="1">
      <c r="A157" s="265"/>
      <c r="B157" s="241"/>
      <c r="C157" s="254"/>
      <c r="D157" s="254"/>
      <c r="E157" s="251"/>
      <c r="F157" s="251"/>
      <c r="G157" s="254"/>
      <c r="H157" s="254"/>
      <c r="I157" s="44" t="s">
        <v>364</v>
      </c>
      <c r="J157" s="44"/>
      <c r="K157" s="44"/>
      <c r="L157" s="4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>
        <v>68.349999999999994</v>
      </c>
      <c r="AM157" s="3">
        <v>134.26</v>
      </c>
      <c r="AN157" s="3">
        <v>134.26</v>
      </c>
      <c r="AO157" s="3">
        <v>133.99</v>
      </c>
      <c r="AP157" s="3">
        <v>133.99</v>
      </c>
      <c r="AQ157" s="3">
        <v>133.99</v>
      </c>
      <c r="AR157" s="3">
        <v>133.99</v>
      </c>
      <c r="AS157" s="3">
        <v>133.99</v>
      </c>
      <c r="AT157" s="3">
        <v>270.97000000000003</v>
      </c>
      <c r="AU157" s="3">
        <v>146.68</v>
      </c>
      <c r="AV157" s="3">
        <f>146.68</f>
        <v>146.68</v>
      </c>
      <c r="AW157" s="3"/>
      <c r="AX157" s="3"/>
      <c r="AY157" s="3"/>
      <c r="AZ157" s="3"/>
      <c r="BA157" s="3"/>
      <c r="BB157" s="105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1"/>
      <c r="BZ157" s="1"/>
      <c r="CA157" s="1"/>
      <c r="CC157" s="6"/>
    </row>
    <row r="158" spans="1:81" ht="15.75" customHeight="1">
      <c r="A158" s="266"/>
      <c r="B158" s="241"/>
      <c r="C158" s="255"/>
      <c r="D158" s="255"/>
      <c r="E158" s="252"/>
      <c r="F158" s="251"/>
      <c r="G158" s="255"/>
      <c r="H158" s="255"/>
      <c r="I158" s="52"/>
      <c r="J158" s="3">
        <f>SUM(J147:J156)-J157</f>
        <v>0</v>
      </c>
      <c r="K158" s="3">
        <f t="shared" ref="K158:AC158" si="54">SUM(K147:K156)-K157</f>
        <v>0</v>
      </c>
      <c r="L158" s="3">
        <f t="shared" si="54"/>
        <v>0</v>
      </c>
      <c r="M158" s="3">
        <f t="shared" si="54"/>
        <v>0</v>
      </c>
      <c r="N158" s="3">
        <f t="shared" si="54"/>
        <v>0</v>
      </c>
      <c r="O158" s="3">
        <f t="shared" si="54"/>
        <v>0</v>
      </c>
      <c r="P158" s="3">
        <f t="shared" si="54"/>
        <v>0</v>
      </c>
      <c r="Q158" s="3">
        <f t="shared" si="54"/>
        <v>0</v>
      </c>
      <c r="R158" s="3">
        <f t="shared" si="54"/>
        <v>0</v>
      </c>
      <c r="S158" s="3">
        <f t="shared" si="54"/>
        <v>0</v>
      </c>
      <c r="T158" s="3">
        <f t="shared" si="54"/>
        <v>0</v>
      </c>
      <c r="U158" s="3">
        <f t="shared" si="54"/>
        <v>0</v>
      </c>
      <c r="V158" s="3">
        <f t="shared" si="54"/>
        <v>0</v>
      </c>
      <c r="W158" s="3">
        <f t="shared" si="54"/>
        <v>0</v>
      </c>
      <c r="X158" s="3">
        <f t="shared" si="54"/>
        <v>0</v>
      </c>
      <c r="Y158" s="3">
        <f t="shared" si="54"/>
        <v>0</v>
      </c>
      <c r="Z158" s="3">
        <f t="shared" si="54"/>
        <v>0</v>
      </c>
      <c r="AA158" s="3">
        <f t="shared" si="54"/>
        <v>0</v>
      </c>
      <c r="AB158" s="3">
        <f t="shared" si="54"/>
        <v>0</v>
      </c>
      <c r="AC158" s="3">
        <f t="shared" si="54"/>
        <v>0</v>
      </c>
      <c r="AD158" s="3">
        <f>SUM(AD147:AD156)-AD157</f>
        <v>0</v>
      </c>
      <c r="AE158" s="3">
        <f>SUM(AE147:AE156)-AE157</f>
        <v>0</v>
      </c>
      <c r="AF158" s="3">
        <f>SUM(AF147:AF156)-AF157</f>
        <v>0</v>
      </c>
      <c r="AG158" s="3">
        <f t="shared" ref="AG158:AH158" si="55">SUM(AG147:AG156)-AG157</f>
        <v>0</v>
      </c>
      <c r="AH158" s="3">
        <f t="shared" si="55"/>
        <v>0</v>
      </c>
      <c r="AI158" s="3">
        <f>SUM(AI147:AI156)-AI157</f>
        <v>0</v>
      </c>
      <c r="AJ158" s="3">
        <f t="shared" ref="AJ158:AP158" si="56">SUM(AJ147:AJ156)-AJ157</f>
        <v>0</v>
      </c>
      <c r="AK158" s="3">
        <f t="shared" si="56"/>
        <v>0</v>
      </c>
      <c r="AL158" s="3">
        <f t="shared" si="56"/>
        <v>1080.52</v>
      </c>
      <c r="AM158" s="3">
        <f t="shared" si="56"/>
        <v>2062.0500000000002</v>
      </c>
      <c r="AN158" s="3">
        <f t="shared" si="56"/>
        <v>2018.05</v>
      </c>
      <c r="AO158" s="3">
        <f t="shared" si="56"/>
        <v>2051.42</v>
      </c>
      <c r="AP158" s="3">
        <f t="shared" si="56"/>
        <v>2040.34</v>
      </c>
      <c r="AQ158" s="3">
        <f>SUM(AQ147:AQ156)-AQ157</f>
        <v>2051.3199999999997</v>
      </c>
      <c r="AR158" s="3">
        <f t="shared" ref="AR158:AT158" si="57">SUM(AR147:AR156)-AR157</f>
        <v>2062.4300000000003</v>
      </c>
      <c r="AS158" s="3">
        <f t="shared" si="57"/>
        <v>2040.43</v>
      </c>
      <c r="AT158" s="3">
        <f t="shared" si="57"/>
        <v>2605.1799999999994</v>
      </c>
      <c r="AU158" s="3">
        <f>SUM(AU147:AU156)-AU157</f>
        <v>3041.3199999999997</v>
      </c>
      <c r="AV158" s="3">
        <f t="shared" ref="AV158:AW158" si="58">SUM(AV147:AV156)-AV157</f>
        <v>3153.1000000000004</v>
      </c>
      <c r="AW158" s="3">
        <f t="shared" si="58"/>
        <v>496.02</v>
      </c>
      <c r="AX158" s="3">
        <f t="shared" ref="AX158:AY158" si="59">SUM(AX147:AX156)-AX157</f>
        <v>0</v>
      </c>
      <c r="AY158" s="3">
        <f t="shared" si="59"/>
        <v>0</v>
      </c>
      <c r="AZ158" s="3">
        <f t="shared" ref="AZ158:BD158" si="60">SUM(AZ144:AZ156)-AZ157</f>
        <v>45383</v>
      </c>
      <c r="BA158" s="3">
        <f t="shared" si="60"/>
        <v>45413</v>
      </c>
      <c r="BB158" s="105">
        <f t="shared" si="60"/>
        <v>45444</v>
      </c>
      <c r="BC158" s="3">
        <f t="shared" si="60"/>
        <v>45474</v>
      </c>
      <c r="BD158" s="3">
        <f t="shared" si="60"/>
        <v>45505</v>
      </c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105">
        <f>SUM(J158:AY158)</f>
        <v>24702.179999999997</v>
      </c>
      <c r="BY158" s="1"/>
      <c r="BZ158" s="1"/>
      <c r="CA158" s="1"/>
      <c r="CC158" s="6"/>
    </row>
    <row r="159" spans="1:81" ht="15.6" customHeight="1">
      <c r="A159" s="148" t="s">
        <v>346</v>
      </c>
      <c r="B159" s="148" t="s">
        <v>347</v>
      </c>
      <c r="C159" s="145" t="s">
        <v>310</v>
      </c>
      <c r="D159" s="145" t="s">
        <v>311</v>
      </c>
      <c r="E159" s="148" t="s">
        <v>312</v>
      </c>
      <c r="F159" s="148" t="s">
        <v>348</v>
      </c>
      <c r="G159" s="145" t="s">
        <v>314</v>
      </c>
      <c r="H159" s="145" t="s">
        <v>315</v>
      </c>
      <c r="I159" s="145" t="s">
        <v>349</v>
      </c>
      <c r="J159" s="146">
        <v>44105</v>
      </c>
      <c r="K159" s="146">
        <v>44136</v>
      </c>
      <c r="L159" s="146">
        <v>44166</v>
      </c>
      <c r="M159" s="146">
        <v>44197</v>
      </c>
      <c r="N159" s="146">
        <v>44228</v>
      </c>
      <c r="O159" s="146">
        <v>44256</v>
      </c>
      <c r="P159" s="146">
        <v>44287</v>
      </c>
      <c r="Q159" s="146">
        <v>44317</v>
      </c>
      <c r="R159" s="146">
        <v>44348</v>
      </c>
      <c r="S159" s="146">
        <v>44378</v>
      </c>
      <c r="T159" s="146">
        <v>44409</v>
      </c>
      <c r="U159" s="146">
        <v>44440</v>
      </c>
      <c r="V159" s="146">
        <v>44470</v>
      </c>
      <c r="W159" s="146">
        <v>44501</v>
      </c>
      <c r="X159" s="146">
        <v>44531</v>
      </c>
      <c r="Y159" s="146">
        <v>44562</v>
      </c>
      <c r="Z159" s="146">
        <v>44593</v>
      </c>
      <c r="AA159" s="146">
        <v>44621</v>
      </c>
      <c r="AB159" s="146">
        <v>44652</v>
      </c>
      <c r="AC159" s="146">
        <v>44682</v>
      </c>
      <c r="AD159" s="146">
        <v>44713</v>
      </c>
      <c r="AE159" s="146">
        <v>44743</v>
      </c>
      <c r="AF159" s="146">
        <v>44774</v>
      </c>
      <c r="AG159" s="146">
        <v>44805</v>
      </c>
      <c r="AH159" s="146">
        <v>44835</v>
      </c>
      <c r="AI159" s="146">
        <v>44866</v>
      </c>
      <c r="AJ159" s="146">
        <v>44896</v>
      </c>
      <c r="AK159" s="146">
        <v>44927</v>
      </c>
      <c r="AL159" s="146">
        <v>44958</v>
      </c>
      <c r="AM159" s="146">
        <v>44986</v>
      </c>
      <c r="AN159" s="146">
        <v>45017</v>
      </c>
      <c r="AO159" s="146">
        <v>45047</v>
      </c>
      <c r="AP159" s="146">
        <v>45078</v>
      </c>
      <c r="AQ159" s="146">
        <v>45108</v>
      </c>
      <c r="AR159" s="146">
        <v>45139</v>
      </c>
      <c r="AS159" s="146">
        <v>45170</v>
      </c>
      <c r="AT159" s="146">
        <v>45200</v>
      </c>
      <c r="AU159" s="146">
        <v>45231</v>
      </c>
      <c r="AV159" s="146">
        <v>45261</v>
      </c>
      <c r="AW159" s="146">
        <v>45292</v>
      </c>
      <c r="AX159" s="146">
        <v>45323</v>
      </c>
      <c r="AY159" s="146">
        <v>45352</v>
      </c>
      <c r="AZ159" s="146">
        <v>45383</v>
      </c>
      <c r="BA159" s="146">
        <v>45413</v>
      </c>
      <c r="BB159" s="146">
        <v>45444</v>
      </c>
      <c r="BC159" s="146">
        <v>45474</v>
      </c>
      <c r="BD159" s="146">
        <v>45505</v>
      </c>
      <c r="BE159" s="146">
        <v>45536</v>
      </c>
      <c r="BF159" s="146">
        <v>45566</v>
      </c>
      <c r="BG159" s="146">
        <v>45597</v>
      </c>
      <c r="BH159" s="146">
        <v>45627</v>
      </c>
      <c r="BI159" s="146">
        <v>45658</v>
      </c>
      <c r="BJ159" s="146">
        <v>45689</v>
      </c>
      <c r="BK159" s="146"/>
      <c r="BL159" s="146"/>
      <c r="BM159" s="146"/>
      <c r="BN159" s="146"/>
      <c r="BO159" s="146"/>
      <c r="BP159" s="146"/>
      <c r="BQ159" s="146"/>
      <c r="BR159" s="146"/>
      <c r="BS159" s="146"/>
      <c r="BT159" s="146"/>
      <c r="BU159" s="146"/>
      <c r="BV159" s="146"/>
      <c r="BW159" s="146"/>
      <c r="BX159" s="147" t="s">
        <v>13</v>
      </c>
      <c r="BY159" s="5"/>
      <c r="BZ159" s="5"/>
      <c r="CA159" s="5"/>
    </row>
    <row r="160" spans="1:81" ht="15.75" customHeight="1">
      <c r="A160" s="264">
        <v>11</v>
      </c>
      <c r="B160" s="250" t="s">
        <v>264</v>
      </c>
      <c r="C160" s="253" t="s">
        <v>92</v>
      </c>
      <c r="D160" s="253" t="s">
        <v>121</v>
      </c>
      <c r="E160" s="250" t="s">
        <v>367</v>
      </c>
      <c r="F160" s="250" t="s">
        <v>367</v>
      </c>
      <c r="G160" s="256">
        <f>'CONSOLIDADO ATIVO INATIVO NOVO'!J13</f>
        <v>44185</v>
      </c>
      <c r="H160" s="256">
        <f>'CONSOLIDADO ATIVO INATIVO NOVO'!K13</f>
        <v>45061</v>
      </c>
      <c r="I160" s="21" t="s">
        <v>350</v>
      </c>
      <c r="J160" s="21"/>
      <c r="K160" s="21"/>
      <c r="L160" s="21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>
        <v>400</v>
      </c>
      <c r="AU160" s="3"/>
      <c r="AV160" s="3"/>
      <c r="AW160" s="3"/>
      <c r="AX160" s="3"/>
      <c r="AY160" s="3"/>
      <c r="AZ160" s="3"/>
      <c r="BA160" s="3"/>
      <c r="BB160" s="105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1"/>
      <c r="BZ160" s="1"/>
      <c r="CA160" s="1"/>
      <c r="CC160" s="6"/>
    </row>
    <row r="161" spans="1:81" ht="15.75" customHeight="1">
      <c r="A161" s="265"/>
      <c r="B161" s="251"/>
      <c r="C161" s="254"/>
      <c r="D161" s="254"/>
      <c r="E161" s="251"/>
      <c r="F161" s="251"/>
      <c r="G161" s="254"/>
      <c r="H161" s="254"/>
      <c r="I161" s="21" t="s">
        <v>351</v>
      </c>
      <c r="J161" s="21"/>
      <c r="K161" s="21"/>
      <c r="L161" s="21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>
        <v>1565.95</v>
      </c>
      <c r="AU161" s="3"/>
      <c r="AV161" s="3"/>
      <c r="AW161" s="3"/>
      <c r="AX161" s="3"/>
      <c r="AY161" s="3"/>
      <c r="AZ161" s="3"/>
      <c r="BA161" s="3"/>
      <c r="BB161" s="105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1"/>
      <c r="BZ161" s="1"/>
      <c r="CA161" s="1"/>
      <c r="CC161" s="6"/>
    </row>
    <row r="162" spans="1:81" ht="15.75" customHeight="1">
      <c r="A162" s="265"/>
      <c r="B162" s="251"/>
      <c r="C162" s="254"/>
      <c r="D162" s="254"/>
      <c r="E162" s="251"/>
      <c r="F162" s="251"/>
      <c r="G162" s="254"/>
      <c r="H162" s="254"/>
      <c r="I162" s="21" t="s">
        <v>371</v>
      </c>
      <c r="J162" s="21"/>
      <c r="K162" s="21"/>
      <c r="L162" s="21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05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1"/>
      <c r="BZ162" s="1"/>
      <c r="CA162" s="1"/>
      <c r="CC162" s="6"/>
    </row>
    <row r="163" spans="1:81" ht="15.75" customHeight="1">
      <c r="A163" s="265"/>
      <c r="B163" s="251"/>
      <c r="C163" s="254"/>
      <c r="D163" s="254"/>
      <c r="E163" s="251"/>
      <c r="F163" s="251"/>
      <c r="G163" s="254"/>
      <c r="H163" s="254"/>
      <c r="I163" s="21" t="s">
        <v>353</v>
      </c>
      <c r="J163" s="21"/>
      <c r="K163" s="21"/>
      <c r="L163" s="21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05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1"/>
      <c r="BZ163" s="1"/>
      <c r="CA163" s="1"/>
      <c r="CC163" s="6"/>
    </row>
    <row r="164" spans="1:81" ht="15.75" customHeight="1">
      <c r="A164" s="265"/>
      <c r="B164" s="251"/>
      <c r="C164" s="254"/>
      <c r="D164" s="254"/>
      <c r="E164" s="251"/>
      <c r="F164" s="251"/>
      <c r="G164" s="254"/>
      <c r="H164" s="254"/>
      <c r="I164" s="21" t="s">
        <v>354</v>
      </c>
      <c r="J164" s="21"/>
      <c r="K164" s="21"/>
      <c r="L164" s="21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05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1"/>
      <c r="BZ164" s="1"/>
      <c r="CA164" s="1"/>
      <c r="CC164" s="6"/>
    </row>
    <row r="165" spans="1:81" ht="15.75" customHeight="1">
      <c r="A165" s="265"/>
      <c r="B165" s="251"/>
      <c r="C165" s="254"/>
      <c r="D165" s="254"/>
      <c r="E165" s="251"/>
      <c r="F165" s="251"/>
      <c r="G165" s="254"/>
      <c r="H165" s="254"/>
      <c r="I165" s="21" t="s">
        <v>355</v>
      </c>
      <c r="J165" s="21"/>
      <c r="K165" s="21"/>
      <c r="L165" s="21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05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1"/>
      <c r="BZ165" s="1"/>
      <c r="CA165" s="1"/>
      <c r="CC165" s="6"/>
    </row>
    <row r="166" spans="1:81" ht="15.75" customHeight="1">
      <c r="A166" s="265"/>
      <c r="B166" s="251"/>
      <c r="C166" s="254"/>
      <c r="D166" s="254"/>
      <c r="E166" s="251"/>
      <c r="F166" s="251"/>
      <c r="G166" s="254"/>
      <c r="H166" s="254"/>
      <c r="I166" s="21" t="s">
        <v>356</v>
      </c>
      <c r="J166" s="21"/>
      <c r="K166" s="21"/>
      <c r="L166" s="21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>
        <v>299.2</v>
      </c>
      <c r="AU166" s="3">
        <v>312.8</v>
      </c>
      <c r="AV166" s="3"/>
      <c r="AW166" s="3"/>
      <c r="AX166" s="3"/>
      <c r="AY166" s="3"/>
      <c r="AZ166" s="3"/>
      <c r="BA166" s="3"/>
      <c r="BB166" s="105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1"/>
      <c r="BZ166" s="1"/>
      <c r="CA166" s="1"/>
      <c r="CC166" s="6"/>
    </row>
    <row r="167" spans="1:81" ht="15.75" customHeight="1">
      <c r="A167" s="265"/>
      <c r="B167" s="251"/>
      <c r="C167" s="254"/>
      <c r="D167" s="254"/>
      <c r="E167" s="251"/>
      <c r="F167" s="251"/>
      <c r="G167" s="254"/>
      <c r="H167" s="254"/>
      <c r="I167" s="21" t="s">
        <v>357</v>
      </c>
      <c r="J167" s="21"/>
      <c r="K167" s="21"/>
      <c r="L167" s="21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05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1"/>
      <c r="BZ167" s="1"/>
      <c r="CA167" s="1"/>
      <c r="CC167" s="6"/>
    </row>
    <row r="168" spans="1:81" ht="15.75" customHeight="1">
      <c r="A168" s="265"/>
      <c r="B168" s="251"/>
      <c r="C168" s="254"/>
      <c r="D168" s="254"/>
      <c r="E168" s="251"/>
      <c r="F168" s="251"/>
      <c r="G168" s="254"/>
      <c r="H168" s="254"/>
      <c r="I168" s="23" t="s">
        <v>362</v>
      </c>
      <c r="J168" s="23"/>
      <c r="K168" s="23"/>
      <c r="L168" s="2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05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1"/>
      <c r="BZ168" s="1"/>
      <c r="CA168" s="1"/>
      <c r="CC168" s="6"/>
    </row>
    <row r="169" spans="1:81" ht="15.75" customHeight="1">
      <c r="A169" s="265"/>
      <c r="B169" s="251"/>
      <c r="C169" s="254"/>
      <c r="D169" s="254"/>
      <c r="E169" s="251"/>
      <c r="F169" s="251"/>
      <c r="G169" s="254"/>
      <c r="H169" s="254"/>
      <c r="I169" s="22" t="s">
        <v>363</v>
      </c>
      <c r="J169" s="22"/>
      <c r="K169" s="22"/>
      <c r="L169" s="2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05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1"/>
      <c r="BZ169" s="1"/>
      <c r="CA169" s="1"/>
      <c r="CC169" s="6"/>
    </row>
    <row r="170" spans="1:81" ht="15.75" customHeight="1">
      <c r="A170" s="265"/>
      <c r="B170" s="251"/>
      <c r="C170" s="254"/>
      <c r="D170" s="254"/>
      <c r="E170" s="251"/>
      <c r="F170" s="251"/>
      <c r="G170" s="254"/>
      <c r="H170" s="254"/>
      <c r="I170" s="44" t="s">
        <v>364</v>
      </c>
      <c r="J170" s="44"/>
      <c r="K170" s="44"/>
      <c r="L170" s="4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>
        <v>213.62</v>
      </c>
      <c r="AU170" s="3"/>
      <c r="AV170" s="3"/>
      <c r="AW170" s="3"/>
      <c r="AX170" s="3"/>
      <c r="AY170" s="3"/>
      <c r="AZ170" s="3"/>
      <c r="BA170" s="3"/>
      <c r="BB170" s="105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1"/>
      <c r="BZ170" s="1"/>
      <c r="CA170" s="1"/>
      <c r="CC170" s="6"/>
    </row>
    <row r="171" spans="1:81" ht="15.75" customHeight="1">
      <c r="A171" s="265"/>
      <c r="B171" s="251"/>
      <c r="C171" s="254"/>
      <c r="D171" s="254"/>
      <c r="E171" s="251"/>
      <c r="F171" s="251"/>
      <c r="G171" s="254"/>
      <c r="H171" s="254"/>
      <c r="I171" s="52"/>
      <c r="J171" s="3">
        <f>SUM(J160:J169)-J170</f>
        <v>0</v>
      </c>
      <c r="K171" s="3">
        <f t="shared" ref="K171:AC171" si="61">SUM(K160:K169)-K170</f>
        <v>0</v>
      </c>
      <c r="L171" s="3">
        <f t="shared" si="61"/>
        <v>0</v>
      </c>
      <c r="M171" s="3">
        <f t="shared" si="61"/>
        <v>0</v>
      </c>
      <c r="N171" s="3">
        <f t="shared" si="61"/>
        <v>0</v>
      </c>
      <c r="O171" s="3">
        <f t="shared" si="61"/>
        <v>0</v>
      </c>
      <c r="P171" s="3">
        <f t="shared" si="61"/>
        <v>0</v>
      </c>
      <c r="Q171" s="3">
        <f t="shared" si="61"/>
        <v>0</v>
      </c>
      <c r="R171" s="3">
        <f t="shared" si="61"/>
        <v>0</v>
      </c>
      <c r="S171" s="3">
        <f t="shared" si="61"/>
        <v>0</v>
      </c>
      <c r="T171" s="3">
        <f t="shared" si="61"/>
        <v>0</v>
      </c>
      <c r="U171" s="3">
        <f t="shared" si="61"/>
        <v>0</v>
      </c>
      <c r="V171" s="3">
        <f t="shared" si="61"/>
        <v>0</v>
      </c>
      <c r="W171" s="3">
        <f t="shared" si="61"/>
        <v>0</v>
      </c>
      <c r="X171" s="3">
        <f t="shared" si="61"/>
        <v>0</v>
      </c>
      <c r="Y171" s="3">
        <f t="shared" si="61"/>
        <v>0</v>
      </c>
      <c r="Z171" s="3">
        <f t="shared" si="61"/>
        <v>0</v>
      </c>
      <c r="AA171" s="3">
        <f t="shared" si="61"/>
        <v>0</v>
      </c>
      <c r="AB171" s="3">
        <f t="shared" si="61"/>
        <v>0</v>
      </c>
      <c r="AC171" s="3">
        <f t="shared" si="61"/>
        <v>0</v>
      </c>
      <c r="AD171" s="3">
        <f>SUM(AD160:AD169)-AD170</f>
        <v>0</v>
      </c>
      <c r="AE171" s="3">
        <f>SUM(AE160:AE169)-AE170</f>
        <v>0</v>
      </c>
      <c r="AF171" s="3">
        <f>SUM(AF160:AF169)-AF170</f>
        <v>0</v>
      </c>
      <c r="AG171" s="3">
        <f t="shared" ref="AG171:AH171" si="62">SUM(AG160:AG169)-AG170</f>
        <v>0</v>
      </c>
      <c r="AH171" s="3">
        <f t="shared" si="62"/>
        <v>0</v>
      </c>
      <c r="AI171" s="3">
        <f>SUM(AI160:AI169)-AI170</f>
        <v>0</v>
      </c>
      <c r="AJ171" s="3">
        <f t="shared" ref="AJ171:AP171" si="63">SUM(AJ160:AJ169)-AJ170</f>
        <v>0</v>
      </c>
      <c r="AK171" s="3">
        <f t="shared" si="63"/>
        <v>0</v>
      </c>
      <c r="AL171" s="3">
        <f t="shared" si="63"/>
        <v>0</v>
      </c>
      <c r="AM171" s="3">
        <f t="shared" si="63"/>
        <v>0</v>
      </c>
      <c r="AN171" s="3">
        <f t="shared" si="63"/>
        <v>0</v>
      </c>
      <c r="AO171" s="3">
        <f t="shared" si="63"/>
        <v>0</v>
      </c>
      <c r="AP171" s="3">
        <f t="shared" si="63"/>
        <v>0</v>
      </c>
      <c r="AQ171" s="3">
        <f>SUM(AQ160:AQ169)-AQ170</f>
        <v>0</v>
      </c>
      <c r="AR171" s="3">
        <f t="shared" ref="AR171:AT171" si="64">SUM(AR160:AR169)-AR170</f>
        <v>0</v>
      </c>
      <c r="AS171" s="3">
        <f t="shared" si="64"/>
        <v>0</v>
      </c>
      <c r="AT171" s="3">
        <f t="shared" si="64"/>
        <v>2051.5300000000002</v>
      </c>
      <c r="AU171" s="3">
        <f>SUM(AU160:AU169)-AU170</f>
        <v>312.8</v>
      </c>
      <c r="AV171" s="3">
        <f t="shared" ref="AV171:AY171" si="65">SUM(AV160:AV169)-AV170</f>
        <v>0</v>
      </c>
      <c r="AW171" s="3">
        <f t="shared" si="65"/>
        <v>0</v>
      </c>
      <c r="AX171" s="3">
        <f t="shared" si="65"/>
        <v>0</v>
      </c>
      <c r="AY171" s="3">
        <f t="shared" si="65"/>
        <v>0</v>
      </c>
      <c r="AZ171" s="3">
        <f t="shared" ref="AZ171:BC171" si="66">SUM(AZ157:AZ169)-AZ170</f>
        <v>90766</v>
      </c>
      <c r="BA171" s="3">
        <f t="shared" si="66"/>
        <v>90826</v>
      </c>
      <c r="BB171" s="105">
        <f t="shared" si="66"/>
        <v>90888</v>
      </c>
      <c r="BC171" s="3">
        <f t="shared" si="66"/>
        <v>90948</v>
      </c>
      <c r="BD171" s="3">
        <f t="shared" ref="BD171" si="67">SUM(BD157:BD169)-BD170</f>
        <v>91010</v>
      </c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105">
        <f>SUM(J171:AY171)</f>
        <v>2364.3300000000004</v>
      </c>
      <c r="BY171" s="1"/>
      <c r="BZ171" s="1"/>
      <c r="CA171" s="1"/>
      <c r="CC171" s="6"/>
    </row>
    <row r="172" spans="1:81" ht="15.6" customHeight="1">
      <c r="A172" s="148" t="s">
        <v>346</v>
      </c>
      <c r="B172" s="148" t="s">
        <v>347</v>
      </c>
      <c r="C172" s="145" t="s">
        <v>310</v>
      </c>
      <c r="D172" s="145" t="s">
        <v>311</v>
      </c>
      <c r="E172" s="148" t="s">
        <v>312</v>
      </c>
      <c r="F172" s="148" t="s">
        <v>348</v>
      </c>
      <c r="G172" s="145" t="s">
        <v>314</v>
      </c>
      <c r="H172" s="145" t="s">
        <v>315</v>
      </c>
      <c r="I172" s="145" t="s">
        <v>349</v>
      </c>
      <c r="J172" s="146">
        <v>44105</v>
      </c>
      <c r="K172" s="146">
        <v>44136</v>
      </c>
      <c r="L172" s="146">
        <v>44166</v>
      </c>
      <c r="M172" s="146">
        <v>44197</v>
      </c>
      <c r="N172" s="146">
        <v>44228</v>
      </c>
      <c r="O172" s="146">
        <v>44256</v>
      </c>
      <c r="P172" s="146">
        <v>44287</v>
      </c>
      <c r="Q172" s="146">
        <v>44317</v>
      </c>
      <c r="R172" s="146">
        <v>44348</v>
      </c>
      <c r="S172" s="146">
        <v>44378</v>
      </c>
      <c r="T172" s="146">
        <v>44409</v>
      </c>
      <c r="U172" s="146">
        <v>44440</v>
      </c>
      <c r="V172" s="146">
        <v>44470</v>
      </c>
      <c r="W172" s="146">
        <v>44501</v>
      </c>
      <c r="X172" s="146">
        <v>44531</v>
      </c>
      <c r="Y172" s="146">
        <v>44562</v>
      </c>
      <c r="Z172" s="146">
        <v>44593</v>
      </c>
      <c r="AA172" s="146">
        <v>44621</v>
      </c>
      <c r="AB172" s="146">
        <v>44652</v>
      </c>
      <c r="AC172" s="146">
        <v>44682</v>
      </c>
      <c r="AD172" s="146">
        <v>44713</v>
      </c>
      <c r="AE172" s="146">
        <v>44743</v>
      </c>
      <c r="AF172" s="146">
        <v>44774</v>
      </c>
      <c r="AG172" s="146">
        <v>44805</v>
      </c>
      <c r="AH172" s="146">
        <v>44835</v>
      </c>
      <c r="AI172" s="146">
        <v>44866</v>
      </c>
      <c r="AJ172" s="146">
        <v>44896</v>
      </c>
      <c r="AK172" s="146">
        <v>44927</v>
      </c>
      <c r="AL172" s="146">
        <v>44958</v>
      </c>
      <c r="AM172" s="146">
        <v>44986</v>
      </c>
      <c r="AN172" s="146">
        <v>45017</v>
      </c>
      <c r="AO172" s="146">
        <v>45047</v>
      </c>
      <c r="AP172" s="146">
        <v>45078</v>
      </c>
      <c r="AQ172" s="146">
        <v>45108</v>
      </c>
      <c r="AR172" s="146">
        <v>45139</v>
      </c>
      <c r="AS172" s="146">
        <v>45170</v>
      </c>
      <c r="AT172" s="146">
        <v>45200</v>
      </c>
      <c r="AU172" s="146">
        <v>45231</v>
      </c>
      <c r="AV172" s="146">
        <v>45261</v>
      </c>
      <c r="AW172" s="146">
        <v>45292</v>
      </c>
      <c r="AX172" s="146">
        <v>45323</v>
      </c>
      <c r="AY172" s="146">
        <v>45352</v>
      </c>
      <c r="AZ172" s="146">
        <v>45383</v>
      </c>
      <c r="BA172" s="146">
        <v>45413</v>
      </c>
      <c r="BB172" s="146">
        <v>45444</v>
      </c>
      <c r="BC172" s="146">
        <v>45474</v>
      </c>
      <c r="BD172" s="146">
        <v>45505</v>
      </c>
      <c r="BE172" s="146">
        <v>45536</v>
      </c>
      <c r="BF172" s="146">
        <v>45566</v>
      </c>
      <c r="BG172" s="146">
        <v>45597</v>
      </c>
      <c r="BH172" s="146">
        <v>45627</v>
      </c>
      <c r="BI172" s="146">
        <v>45658</v>
      </c>
      <c r="BJ172" s="146">
        <v>45689</v>
      </c>
      <c r="BK172" s="146"/>
      <c r="BL172" s="146"/>
      <c r="BM172" s="146"/>
      <c r="BN172" s="146"/>
      <c r="BO172" s="146"/>
      <c r="BP172" s="146"/>
      <c r="BQ172" s="146"/>
      <c r="BR172" s="146"/>
      <c r="BS172" s="146"/>
      <c r="BT172" s="146"/>
      <c r="BU172" s="146"/>
      <c r="BV172" s="146"/>
      <c r="BW172" s="146"/>
      <c r="BX172" s="147" t="s">
        <v>13</v>
      </c>
      <c r="BY172" s="5"/>
      <c r="BZ172" s="5"/>
      <c r="CA172" s="5"/>
    </row>
    <row r="173" spans="1:81" ht="15.75" customHeight="1">
      <c r="A173" s="264">
        <v>12</v>
      </c>
      <c r="B173" s="241" t="s">
        <v>238</v>
      </c>
      <c r="C173" s="253" t="s">
        <v>92</v>
      </c>
      <c r="D173" s="253" t="s">
        <v>89</v>
      </c>
      <c r="E173" s="250" t="s">
        <v>150</v>
      </c>
      <c r="F173" s="250" t="s">
        <v>150</v>
      </c>
      <c r="G173" s="256">
        <f>'CONSOLIDADO ATIVO INATIVO NOVO'!J14</f>
        <v>44516</v>
      </c>
      <c r="H173" s="256">
        <f>'CONSOLIDADO ATIVO INATIVO NOVO'!K14</f>
        <v>45342</v>
      </c>
      <c r="I173" s="21" t="s">
        <v>350</v>
      </c>
      <c r="J173" s="21"/>
      <c r="K173" s="21"/>
      <c r="L173" s="2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105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1"/>
      <c r="BZ173" s="1"/>
      <c r="CA173" s="1"/>
      <c r="CC173" s="6"/>
    </row>
    <row r="174" spans="1:81" ht="15.75" customHeight="1">
      <c r="A174" s="265"/>
      <c r="B174" s="241"/>
      <c r="C174" s="254"/>
      <c r="D174" s="254"/>
      <c r="E174" s="251"/>
      <c r="F174" s="251"/>
      <c r="G174" s="254"/>
      <c r="H174" s="254"/>
      <c r="I174" s="21" t="s">
        <v>351</v>
      </c>
      <c r="J174" s="21"/>
      <c r="K174" s="21"/>
      <c r="L174" s="2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>
        <v>1310.0999999999999</v>
      </c>
      <c r="AJ174" s="3">
        <v>1708.83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105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1"/>
      <c r="BZ174" s="1"/>
      <c r="CA174" s="1"/>
      <c r="CC174" s="6"/>
    </row>
    <row r="175" spans="1:81" ht="15.75" customHeight="1">
      <c r="A175" s="265"/>
      <c r="B175" s="241"/>
      <c r="C175" s="254"/>
      <c r="D175" s="254"/>
      <c r="E175" s="251"/>
      <c r="F175" s="251"/>
      <c r="G175" s="254"/>
      <c r="H175" s="254"/>
      <c r="I175" s="21" t="s">
        <v>371</v>
      </c>
      <c r="J175" s="21"/>
      <c r="K175" s="21"/>
      <c r="L175" s="2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105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1"/>
      <c r="BZ175" s="1"/>
      <c r="CA175" s="1"/>
      <c r="CC175" s="6"/>
    </row>
    <row r="176" spans="1:81" ht="15.75" customHeight="1">
      <c r="A176" s="265"/>
      <c r="B176" s="241"/>
      <c r="C176" s="254"/>
      <c r="D176" s="254"/>
      <c r="E176" s="251"/>
      <c r="F176" s="251"/>
      <c r="G176" s="254"/>
      <c r="H176" s="254"/>
      <c r="I176" s="21" t="s">
        <v>353</v>
      </c>
      <c r="J176" s="21"/>
      <c r="K176" s="21"/>
      <c r="L176" s="21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105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1"/>
      <c r="BZ176" s="1"/>
      <c r="CA176" s="1"/>
      <c r="CC176" s="6"/>
    </row>
    <row r="177" spans="1:81" ht="15.75" customHeight="1">
      <c r="A177" s="265"/>
      <c r="B177" s="241"/>
      <c r="C177" s="254"/>
      <c r="D177" s="254"/>
      <c r="E177" s="251"/>
      <c r="F177" s="251"/>
      <c r="G177" s="254"/>
      <c r="H177" s="254"/>
      <c r="I177" s="21" t="s">
        <v>354</v>
      </c>
      <c r="J177" s="21"/>
      <c r="K177" s="21"/>
      <c r="L177" s="21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>
        <f>0.2+0.03</f>
        <v>0.23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105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1"/>
      <c r="BZ177" s="1"/>
      <c r="CA177" s="1"/>
      <c r="CC177" s="6"/>
    </row>
    <row r="178" spans="1:81" ht="15.75" customHeight="1">
      <c r="A178" s="265"/>
      <c r="B178" s="241"/>
      <c r="C178" s="254"/>
      <c r="D178" s="254"/>
      <c r="E178" s="251"/>
      <c r="F178" s="251"/>
      <c r="G178" s="254"/>
      <c r="H178" s="254"/>
      <c r="I178" s="21" t="s">
        <v>355</v>
      </c>
      <c r="J178" s="21"/>
      <c r="K178" s="21"/>
      <c r="L178" s="21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105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1"/>
      <c r="BZ178" s="1"/>
      <c r="CA178" s="1"/>
      <c r="CC178" s="6"/>
    </row>
    <row r="179" spans="1:81" ht="15.75" customHeight="1">
      <c r="A179" s="265"/>
      <c r="B179" s="241"/>
      <c r="C179" s="254"/>
      <c r="D179" s="254"/>
      <c r="E179" s="251"/>
      <c r="F179" s="251"/>
      <c r="G179" s="254"/>
      <c r="H179" s="254"/>
      <c r="I179" s="21" t="s">
        <v>356</v>
      </c>
      <c r="J179" s="21"/>
      <c r="K179" s="21"/>
      <c r="L179" s="21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105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1"/>
      <c r="BZ179" s="1"/>
      <c r="CA179" s="1"/>
      <c r="CC179" s="6"/>
    </row>
    <row r="180" spans="1:81" ht="15.75" customHeight="1">
      <c r="A180" s="265"/>
      <c r="B180" s="241"/>
      <c r="C180" s="254"/>
      <c r="D180" s="254"/>
      <c r="E180" s="251"/>
      <c r="F180" s="251"/>
      <c r="G180" s="254"/>
      <c r="H180" s="254"/>
      <c r="I180" s="21" t="s">
        <v>357</v>
      </c>
      <c r="J180" s="21"/>
      <c r="K180" s="21"/>
      <c r="L180" s="21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>
        <v>356.82</v>
      </c>
      <c r="AJ180" s="3">
        <v>447.15</v>
      </c>
      <c r="AK180" s="3">
        <v>424.48</v>
      </c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105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1"/>
      <c r="BZ180" s="1"/>
      <c r="CA180" s="1"/>
      <c r="CC180" s="6"/>
    </row>
    <row r="181" spans="1:81" ht="15.75" customHeight="1">
      <c r="A181" s="265"/>
      <c r="B181" s="241"/>
      <c r="C181" s="254"/>
      <c r="D181" s="254"/>
      <c r="E181" s="251"/>
      <c r="F181" s="251"/>
      <c r="G181" s="254"/>
      <c r="H181" s="254"/>
      <c r="I181" s="23" t="s">
        <v>362</v>
      </c>
      <c r="J181" s="23"/>
      <c r="K181" s="23"/>
      <c r="L181" s="2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>
        <f>2563.28+313.25</f>
        <v>2876.53</v>
      </c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105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1"/>
      <c r="BZ181" s="1"/>
      <c r="CA181" s="1"/>
      <c r="CC181" s="6"/>
    </row>
    <row r="182" spans="1:81" ht="15.75" customHeight="1">
      <c r="A182" s="265"/>
      <c r="B182" s="241"/>
      <c r="C182" s="254"/>
      <c r="D182" s="254"/>
      <c r="E182" s="251"/>
      <c r="F182" s="251"/>
      <c r="G182" s="254"/>
      <c r="H182" s="254"/>
      <c r="I182" s="22" t="s">
        <v>363</v>
      </c>
      <c r="J182" s="22"/>
      <c r="K182" s="22"/>
      <c r="L182" s="2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>
        <v>71.2</v>
      </c>
      <c r="AJ182" s="3">
        <v>192.25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105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1"/>
      <c r="BZ182" s="1"/>
      <c r="CA182" s="1"/>
      <c r="CC182" s="6"/>
    </row>
    <row r="183" spans="1:81" ht="15.75" customHeight="1">
      <c r="A183" s="265"/>
      <c r="B183" s="241"/>
      <c r="C183" s="254"/>
      <c r="D183" s="254"/>
      <c r="E183" s="251"/>
      <c r="F183" s="251"/>
      <c r="G183" s="254"/>
      <c r="H183" s="254"/>
      <c r="I183" s="44" t="s">
        <v>364</v>
      </c>
      <c r="J183" s="44"/>
      <c r="K183" s="44"/>
      <c r="L183" s="4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>
        <v>99.72</v>
      </c>
      <c r="AJ183" s="3">
        <v>135.63</v>
      </c>
      <c r="AK183" s="3">
        <v>294.94</v>
      </c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105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1"/>
      <c r="BZ183" s="1"/>
      <c r="CA183" s="1"/>
      <c r="CC183" s="6"/>
    </row>
    <row r="184" spans="1:81" ht="15.75" customHeight="1">
      <c r="A184" s="266"/>
      <c r="B184" s="241"/>
      <c r="C184" s="255"/>
      <c r="D184" s="255"/>
      <c r="E184" s="252"/>
      <c r="F184" s="252"/>
      <c r="G184" s="255"/>
      <c r="H184" s="255"/>
      <c r="I184" s="52"/>
      <c r="J184" s="3">
        <f>SUM(J173:J182)-J183</f>
        <v>0</v>
      </c>
      <c r="K184" s="3">
        <f t="shared" ref="K184:AC184" si="68">SUM(K173:K182)-K183</f>
        <v>0</v>
      </c>
      <c r="L184" s="3">
        <f t="shared" si="68"/>
        <v>0</v>
      </c>
      <c r="M184" s="3">
        <f t="shared" si="68"/>
        <v>0</v>
      </c>
      <c r="N184" s="3">
        <f t="shared" si="68"/>
        <v>0</v>
      </c>
      <c r="O184" s="3">
        <f t="shared" si="68"/>
        <v>0</v>
      </c>
      <c r="P184" s="3">
        <f t="shared" si="68"/>
        <v>0</v>
      </c>
      <c r="Q184" s="3">
        <f t="shared" si="68"/>
        <v>0</v>
      </c>
      <c r="R184" s="3">
        <f t="shared" si="68"/>
        <v>0</v>
      </c>
      <c r="S184" s="3">
        <f t="shared" si="68"/>
        <v>0</v>
      </c>
      <c r="T184" s="3">
        <f t="shared" si="68"/>
        <v>0</v>
      </c>
      <c r="U184" s="3">
        <f t="shared" si="68"/>
        <v>0</v>
      </c>
      <c r="V184" s="3">
        <f t="shared" si="68"/>
        <v>0</v>
      </c>
      <c r="W184" s="3">
        <f t="shared" si="68"/>
        <v>0</v>
      </c>
      <c r="X184" s="3">
        <f t="shared" si="68"/>
        <v>0</v>
      </c>
      <c r="Y184" s="3">
        <f t="shared" si="68"/>
        <v>0</v>
      </c>
      <c r="Z184" s="3">
        <f t="shared" si="68"/>
        <v>0</v>
      </c>
      <c r="AA184" s="3">
        <f t="shared" si="68"/>
        <v>0</v>
      </c>
      <c r="AB184" s="3">
        <f t="shared" si="68"/>
        <v>0</v>
      </c>
      <c r="AC184" s="3">
        <f t="shared" si="68"/>
        <v>0</v>
      </c>
      <c r="AD184" s="3">
        <f>SUM(AD173:AD182)-AD183</f>
        <v>0</v>
      </c>
      <c r="AE184" s="3">
        <f>SUM(AE173:AE182)-AE183</f>
        <v>0</v>
      </c>
      <c r="AF184" s="3">
        <f>SUM(AF173:AF182)-AF183</f>
        <v>0</v>
      </c>
      <c r="AG184" s="3">
        <f t="shared" ref="AG184:AH184" si="69">SUM(AG173:AG182)-AG183</f>
        <v>0</v>
      </c>
      <c r="AH184" s="3">
        <f t="shared" si="69"/>
        <v>0</v>
      </c>
      <c r="AI184" s="3">
        <f>SUM(AI173:AI182)-AI183</f>
        <v>1638.3999999999999</v>
      </c>
      <c r="AJ184" s="3">
        <f t="shared" ref="AJ184:AK184" si="70">SUM(AJ173:AJ182)-AJ183</f>
        <v>2212.83</v>
      </c>
      <c r="AK184" s="3">
        <f t="shared" si="70"/>
        <v>3006.07</v>
      </c>
      <c r="AL184" s="3">
        <f t="shared" ref="AL184:AP184" si="71">SUM(AL173:AL182)-AL183</f>
        <v>0</v>
      </c>
      <c r="AM184" s="3">
        <f t="shared" si="71"/>
        <v>0</v>
      </c>
      <c r="AN184" s="3">
        <f t="shared" si="71"/>
        <v>0</v>
      </c>
      <c r="AO184" s="3">
        <f t="shared" si="71"/>
        <v>0</v>
      </c>
      <c r="AP184" s="3">
        <f t="shared" si="71"/>
        <v>0</v>
      </c>
      <c r="AQ184" s="3">
        <f t="shared" ref="AQ184:AT184" si="72">SUM(AQ173:AQ182)-AQ183</f>
        <v>0</v>
      </c>
      <c r="AR184" s="3">
        <f t="shared" si="72"/>
        <v>0</v>
      </c>
      <c r="AS184" s="3">
        <f t="shared" si="72"/>
        <v>0</v>
      </c>
      <c r="AT184" s="3">
        <f t="shared" si="72"/>
        <v>0</v>
      </c>
      <c r="AU184" s="3">
        <f>SUM(AU173:AU182)-AU183</f>
        <v>0</v>
      </c>
      <c r="AV184" s="3">
        <f t="shared" ref="AV184:AY184" si="73">SUM(AV173:AV182)-AV183</f>
        <v>0</v>
      </c>
      <c r="AW184" s="3">
        <f t="shared" si="73"/>
        <v>0</v>
      </c>
      <c r="AX184" s="3">
        <f t="shared" si="73"/>
        <v>0</v>
      </c>
      <c r="AY184" s="3">
        <f t="shared" si="73"/>
        <v>0</v>
      </c>
      <c r="AZ184" s="3"/>
      <c r="BA184" s="3"/>
      <c r="BB184" s="105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105">
        <f>SUM(J184:AY184)</f>
        <v>6857.2999999999993</v>
      </c>
      <c r="BY184" s="1"/>
      <c r="BZ184" s="1"/>
      <c r="CA184" s="1"/>
      <c r="CC184" s="6"/>
    </row>
    <row r="185" spans="1:81" ht="15.6" customHeight="1">
      <c r="A185" s="148" t="s">
        <v>346</v>
      </c>
      <c r="B185" s="148" t="s">
        <v>347</v>
      </c>
      <c r="C185" s="145" t="s">
        <v>310</v>
      </c>
      <c r="D185" s="145" t="s">
        <v>311</v>
      </c>
      <c r="E185" s="148" t="s">
        <v>312</v>
      </c>
      <c r="F185" s="148" t="s">
        <v>348</v>
      </c>
      <c r="G185" s="145" t="s">
        <v>314</v>
      </c>
      <c r="H185" s="145" t="s">
        <v>315</v>
      </c>
      <c r="I185" s="145" t="s">
        <v>349</v>
      </c>
      <c r="J185" s="146">
        <v>44105</v>
      </c>
      <c r="K185" s="146">
        <v>44136</v>
      </c>
      <c r="L185" s="146">
        <v>44166</v>
      </c>
      <c r="M185" s="146">
        <v>44197</v>
      </c>
      <c r="N185" s="146">
        <v>44228</v>
      </c>
      <c r="O185" s="146">
        <v>44256</v>
      </c>
      <c r="P185" s="146">
        <v>44287</v>
      </c>
      <c r="Q185" s="146">
        <v>44317</v>
      </c>
      <c r="R185" s="146">
        <v>44348</v>
      </c>
      <c r="S185" s="146">
        <v>44378</v>
      </c>
      <c r="T185" s="146">
        <v>44409</v>
      </c>
      <c r="U185" s="146">
        <v>44440</v>
      </c>
      <c r="V185" s="146">
        <v>44470</v>
      </c>
      <c r="W185" s="146">
        <v>44501</v>
      </c>
      <c r="X185" s="146">
        <v>44531</v>
      </c>
      <c r="Y185" s="146">
        <v>44562</v>
      </c>
      <c r="Z185" s="146">
        <v>44593</v>
      </c>
      <c r="AA185" s="146">
        <v>44621</v>
      </c>
      <c r="AB185" s="146">
        <v>44652</v>
      </c>
      <c r="AC185" s="146">
        <v>44682</v>
      </c>
      <c r="AD185" s="146">
        <v>44713</v>
      </c>
      <c r="AE185" s="146">
        <v>44743</v>
      </c>
      <c r="AF185" s="146">
        <v>44774</v>
      </c>
      <c r="AG185" s="146">
        <v>44805</v>
      </c>
      <c r="AH185" s="146">
        <v>44835</v>
      </c>
      <c r="AI185" s="146">
        <v>44866</v>
      </c>
      <c r="AJ185" s="146">
        <v>44896</v>
      </c>
      <c r="AK185" s="146">
        <v>44927</v>
      </c>
      <c r="AL185" s="146">
        <v>44958</v>
      </c>
      <c r="AM185" s="146">
        <v>44986</v>
      </c>
      <c r="AN185" s="146">
        <v>45017</v>
      </c>
      <c r="AO185" s="146">
        <v>45047</v>
      </c>
      <c r="AP185" s="146">
        <v>45078</v>
      </c>
      <c r="AQ185" s="146">
        <v>45108</v>
      </c>
      <c r="AR185" s="146">
        <v>45139</v>
      </c>
      <c r="AS185" s="146">
        <v>45170</v>
      </c>
      <c r="AT185" s="146">
        <v>45200</v>
      </c>
      <c r="AU185" s="146">
        <v>45231</v>
      </c>
      <c r="AV185" s="146">
        <v>45261</v>
      </c>
      <c r="AW185" s="146">
        <v>45292</v>
      </c>
      <c r="AX185" s="146">
        <v>45323</v>
      </c>
      <c r="AY185" s="146">
        <v>45352</v>
      </c>
      <c r="AZ185" s="146">
        <v>45383</v>
      </c>
      <c r="BA185" s="146">
        <v>45413</v>
      </c>
      <c r="BB185" s="146">
        <v>45444</v>
      </c>
      <c r="BC185" s="146">
        <v>45474</v>
      </c>
      <c r="BD185" s="146">
        <v>45505</v>
      </c>
      <c r="BE185" s="146">
        <v>45536</v>
      </c>
      <c r="BF185" s="146">
        <v>45566</v>
      </c>
      <c r="BG185" s="146">
        <v>45597</v>
      </c>
      <c r="BH185" s="146">
        <v>45627</v>
      </c>
      <c r="BI185" s="146">
        <v>45658</v>
      </c>
      <c r="BJ185" s="146">
        <v>45689</v>
      </c>
      <c r="BK185" s="146"/>
      <c r="BL185" s="146"/>
      <c r="BM185" s="146"/>
      <c r="BN185" s="146"/>
      <c r="BO185" s="146"/>
      <c r="BP185" s="146"/>
      <c r="BQ185" s="146"/>
      <c r="BR185" s="146"/>
      <c r="BS185" s="146"/>
      <c r="BT185" s="146"/>
      <c r="BU185" s="146"/>
      <c r="BV185" s="146"/>
      <c r="BW185" s="146"/>
      <c r="BX185" s="147" t="s">
        <v>13</v>
      </c>
      <c r="BY185" s="5"/>
      <c r="BZ185" s="5"/>
      <c r="CA185" s="5"/>
    </row>
    <row r="186" spans="1:81" s="107" customFormat="1" ht="15.75" customHeight="1">
      <c r="A186" s="267">
        <v>13</v>
      </c>
      <c r="B186" s="241" t="s">
        <v>372</v>
      </c>
      <c r="C186" s="253" t="s">
        <v>92</v>
      </c>
      <c r="D186" s="253" t="s">
        <v>89</v>
      </c>
      <c r="E186" s="250" t="s">
        <v>150</v>
      </c>
      <c r="F186" s="250" t="s">
        <v>150</v>
      </c>
      <c r="G186" s="256">
        <f>'CONSOLIDADO ATIVO INATIVO NOVO'!J15</f>
        <v>44305</v>
      </c>
      <c r="H186" s="256">
        <f>'CONSOLIDADO ATIVO INATIVO NOVO'!K15</f>
        <v>45111</v>
      </c>
      <c r="I186" s="106" t="s">
        <v>350</v>
      </c>
      <c r="J186" s="106"/>
      <c r="K186" s="106"/>
      <c r="L186" s="106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5"/>
      <c r="BM186" s="105"/>
      <c r="BN186" s="105"/>
      <c r="BO186" s="105"/>
      <c r="BP186" s="105"/>
      <c r="BQ186" s="105"/>
      <c r="BR186" s="105"/>
      <c r="BS186" s="105"/>
      <c r="BT186" s="105"/>
      <c r="BU186" s="105"/>
      <c r="BV186" s="105"/>
      <c r="BW186" s="105"/>
      <c r="BX186" s="105"/>
      <c r="BY186" s="117"/>
      <c r="BZ186" s="117"/>
      <c r="CA186" s="117"/>
      <c r="CC186" s="118"/>
    </row>
    <row r="187" spans="1:81" s="107" customFormat="1" ht="15.75" customHeight="1">
      <c r="A187" s="268"/>
      <c r="B187" s="241"/>
      <c r="C187" s="254"/>
      <c r="D187" s="254"/>
      <c r="E187" s="251"/>
      <c r="F187" s="251"/>
      <c r="G187" s="254"/>
      <c r="H187" s="254"/>
      <c r="I187" s="106" t="s">
        <v>351</v>
      </c>
      <c r="J187" s="106"/>
      <c r="K187" s="106"/>
      <c r="L187" s="106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5"/>
      <c r="BN187" s="105"/>
      <c r="BO187" s="105"/>
      <c r="BP187" s="105"/>
      <c r="BQ187" s="105"/>
      <c r="BR187" s="105"/>
      <c r="BS187" s="105"/>
      <c r="BT187" s="105"/>
      <c r="BU187" s="105"/>
      <c r="BV187" s="105"/>
      <c r="BW187" s="105"/>
      <c r="BX187" s="105"/>
      <c r="BY187" s="117"/>
      <c r="BZ187" s="117"/>
      <c r="CA187" s="117"/>
      <c r="CC187" s="118"/>
    </row>
    <row r="188" spans="1:81" s="107" customFormat="1" ht="15.75" customHeight="1">
      <c r="A188" s="268"/>
      <c r="B188" s="241"/>
      <c r="C188" s="254"/>
      <c r="D188" s="254"/>
      <c r="E188" s="251"/>
      <c r="F188" s="251"/>
      <c r="G188" s="254"/>
      <c r="H188" s="254"/>
      <c r="I188" s="106" t="s">
        <v>371</v>
      </c>
      <c r="J188" s="106"/>
      <c r="K188" s="106"/>
      <c r="L188" s="106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  <c r="BO188" s="105"/>
      <c r="BP188" s="105"/>
      <c r="BQ188" s="105"/>
      <c r="BR188" s="105"/>
      <c r="BS188" s="105"/>
      <c r="BT188" s="105"/>
      <c r="BU188" s="105"/>
      <c r="BV188" s="105"/>
      <c r="BW188" s="105"/>
      <c r="BX188" s="105"/>
      <c r="BY188" s="117"/>
      <c r="BZ188" s="117"/>
      <c r="CA188" s="117"/>
      <c r="CC188" s="118"/>
    </row>
    <row r="189" spans="1:81" s="107" customFormat="1" ht="15.75" customHeight="1">
      <c r="A189" s="268"/>
      <c r="B189" s="241"/>
      <c r="C189" s="254"/>
      <c r="D189" s="254"/>
      <c r="E189" s="251"/>
      <c r="F189" s="251"/>
      <c r="G189" s="254"/>
      <c r="H189" s="254"/>
      <c r="I189" s="106" t="s">
        <v>353</v>
      </c>
      <c r="J189" s="106"/>
      <c r="K189" s="106"/>
      <c r="L189" s="106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  <c r="BO189" s="105"/>
      <c r="BP189" s="105"/>
      <c r="BQ189" s="105"/>
      <c r="BR189" s="105"/>
      <c r="BS189" s="105"/>
      <c r="BT189" s="105"/>
      <c r="BU189" s="105"/>
      <c r="BV189" s="105"/>
      <c r="BW189" s="105"/>
      <c r="BX189" s="105"/>
      <c r="BY189" s="117"/>
      <c r="BZ189" s="117"/>
      <c r="CA189" s="117"/>
      <c r="CC189" s="118"/>
    </row>
    <row r="190" spans="1:81" s="107" customFormat="1" ht="15.75" customHeight="1">
      <c r="A190" s="268"/>
      <c r="B190" s="241"/>
      <c r="C190" s="254"/>
      <c r="D190" s="254"/>
      <c r="E190" s="251"/>
      <c r="F190" s="251"/>
      <c r="G190" s="254"/>
      <c r="H190" s="254"/>
      <c r="I190" s="106" t="s">
        <v>354</v>
      </c>
      <c r="J190" s="106"/>
      <c r="K190" s="106"/>
      <c r="L190" s="106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5"/>
      <c r="BN190" s="105"/>
      <c r="BO190" s="105"/>
      <c r="BP190" s="105"/>
      <c r="BQ190" s="105"/>
      <c r="BR190" s="105"/>
      <c r="BS190" s="105"/>
      <c r="BT190" s="105"/>
      <c r="BU190" s="105"/>
      <c r="BV190" s="105"/>
      <c r="BW190" s="105"/>
      <c r="BX190" s="105"/>
      <c r="BY190" s="117"/>
      <c r="BZ190" s="117"/>
      <c r="CA190" s="117"/>
      <c r="CC190" s="118"/>
    </row>
    <row r="191" spans="1:81" s="107" customFormat="1" ht="15.75" customHeight="1">
      <c r="A191" s="268"/>
      <c r="B191" s="241"/>
      <c r="C191" s="254"/>
      <c r="D191" s="254"/>
      <c r="E191" s="251"/>
      <c r="F191" s="251"/>
      <c r="G191" s="254"/>
      <c r="H191" s="254"/>
      <c r="I191" s="106" t="s">
        <v>355</v>
      </c>
      <c r="J191" s="106"/>
      <c r="K191" s="106"/>
      <c r="L191" s="106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  <c r="BO191" s="105"/>
      <c r="BP191" s="105"/>
      <c r="BQ191" s="105"/>
      <c r="BR191" s="105"/>
      <c r="BS191" s="105"/>
      <c r="BT191" s="105"/>
      <c r="BU191" s="105"/>
      <c r="BV191" s="105"/>
      <c r="BW191" s="105"/>
      <c r="BX191" s="105"/>
      <c r="BY191" s="117"/>
      <c r="BZ191" s="117"/>
      <c r="CA191" s="117"/>
      <c r="CC191" s="118"/>
    </row>
    <row r="192" spans="1:81" s="107" customFormat="1" ht="15.75" customHeight="1">
      <c r="A192" s="268"/>
      <c r="B192" s="241"/>
      <c r="C192" s="254"/>
      <c r="D192" s="254"/>
      <c r="E192" s="251"/>
      <c r="F192" s="251"/>
      <c r="G192" s="254"/>
      <c r="H192" s="254"/>
      <c r="I192" s="106" t="s">
        <v>356</v>
      </c>
      <c r="J192" s="106"/>
      <c r="K192" s="106"/>
      <c r="L192" s="106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>
        <v>333.04</v>
      </c>
      <c r="BH192" s="105"/>
      <c r="BI192" s="105"/>
      <c r="BJ192" s="105"/>
      <c r="BK192" s="105"/>
      <c r="BL192" s="105"/>
      <c r="BM192" s="105"/>
      <c r="BN192" s="105"/>
      <c r="BO192" s="105"/>
      <c r="BP192" s="105"/>
      <c r="BQ192" s="105"/>
      <c r="BR192" s="105"/>
      <c r="BS192" s="105"/>
      <c r="BT192" s="105"/>
      <c r="BU192" s="105"/>
      <c r="BV192" s="105"/>
      <c r="BW192" s="105"/>
      <c r="BX192" s="105"/>
      <c r="BY192" s="117"/>
      <c r="BZ192" s="117"/>
      <c r="CA192" s="117"/>
      <c r="CC192" s="118"/>
    </row>
    <row r="193" spans="1:81" s="107" customFormat="1" ht="15.75" customHeight="1">
      <c r="A193" s="268"/>
      <c r="B193" s="241"/>
      <c r="C193" s="254"/>
      <c r="D193" s="254"/>
      <c r="E193" s="251"/>
      <c r="F193" s="251"/>
      <c r="G193" s="254"/>
      <c r="H193" s="254"/>
      <c r="I193" s="106" t="s">
        <v>357</v>
      </c>
      <c r="J193" s="106"/>
      <c r="K193" s="106"/>
      <c r="L193" s="106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5"/>
      <c r="BN193" s="105"/>
      <c r="BO193" s="105"/>
      <c r="BP193" s="105"/>
      <c r="BQ193" s="105"/>
      <c r="BR193" s="105"/>
      <c r="BS193" s="105"/>
      <c r="BT193" s="105"/>
      <c r="BU193" s="105"/>
      <c r="BV193" s="105"/>
      <c r="BW193" s="105"/>
      <c r="BX193" s="105"/>
      <c r="BY193" s="117"/>
      <c r="BZ193" s="117"/>
      <c r="CA193" s="117"/>
      <c r="CC193" s="118"/>
    </row>
    <row r="194" spans="1:81" s="107" customFormat="1" ht="15.75" customHeight="1">
      <c r="A194" s="268"/>
      <c r="B194" s="241"/>
      <c r="C194" s="254"/>
      <c r="D194" s="254"/>
      <c r="E194" s="251"/>
      <c r="F194" s="251"/>
      <c r="G194" s="254"/>
      <c r="H194" s="254"/>
      <c r="I194" s="131" t="s">
        <v>362</v>
      </c>
      <c r="J194" s="131"/>
      <c r="K194" s="131"/>
      <c r="L194" s="131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>
        <v>2973.32</v>
      </c>
      <c r="BH194" s="105"/>
      <c r="BI194" s="105"/>
      <c r="BJ194" s="105"/>
      <c r="BK194" s="105"/>
      <c r="BL194" s="105"/>
      <c r="BM194" s="105"/>
      <c r="BN194" s="105"/>
      <c r="BO194" s="105"/>
      <c r="BP194" s="105"/>
      <c r="BQ194" s="105"/>
      <c r="BR194" s="105"/>
      <c r="BS194" s="105"/>
      <c r="BT194" s="105"/>
      <c r="BU194" s="105"/>
      <c r="BV194" s="105"/>
      <c r="BW194" s="105"/>
      <c r="BX194" s="105"/>
      <c r="BY194" s="117"/>
      <c r="BZ194" s="117"/>
      <c r="CA194" s="117"/>
      <c r="CC194" s="118"/>
    </row>
    <row r="195" spans="1:81" s="107" customFormat="1" ht="15.75" customHeight="1">
      <c r="A195" s="268"/>
      <c r="B195" s="241"/>
      <c r="C195" s="254"/>
      <c r="D195" s="254"/>
      <c r="E195" s="251"/>
      <c r="F195" s="251"/>
      <c r="G195" s="254"/>
      <c r="H195" s="254"/>
      <c r="I195" s="132" t="s">
        <v>363</v>
      </c>
      <c r="J195" s="132"/>
      <c r="K195" s="132"/>
      <c r="L195" s="132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17"/>
      <c r="BZ195" s="117"/>
      <c r="CA195" s="117"/>
      <c r="CC195" s="118"/>
    </row>
    <row r="196" spans="1:81" s="107" customFormat="1" ht="15.75" customHeight="1">
      <c r="A196" s="268"/>
      <c r="B196" s="241"/>
      <c r="C196" s="254"/>
      <c r="D196" s="254"/>
      <c r="E196" s="251"/>
      <c r="F196" s="251"/>
      <c r="G196" s="254"/>
      <c r="H196" s="254"/>
      <c r="I196" s="133" t="s">
        <v>364</v>
      </c>
      <c r="J196" s="133"/>
      <c r="K196" s="133"/>
      <c r="L196" s="133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5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105"/>
      <c r="BX196" s="105"/>
      <c r="BY196" s="117"/>
      <c r="BZ196" s="117"/>
      <c r="CA196" s="117"/>
      <c r="CC196" s="118"/>
    </row>
    <row r="197" spans="1:81" s="107" customFormat="1" ht="15.75" customHeight="1">
      <c r="A197" s="269"/>
      <c r="B197" s="241"/>
      <c r="C197" s="255"/>
      <c r="D197" s="255"/>
      <c r="E197" s="252"/>
      <c r="F197" s="252"/>
      <c r="G197" s="255"/>
      <c r="H197" s="255"/>
      <c r="I197" s="130"/>
      <c r="J197" s="105">
        <f>SUM(J186:J195)-J196</f>
        <v>0</v>
      </c>
      <c r="K197" s="105">
        <f t="shared" ref="K197:AC197" si="74">SUM(K186:K195)-K196</f>
        <v>0</v>
      </c>
      <c r="L197" s="105">
        <f t="shared" si="74"/>
        <v>0</v>
      </c>
      <c r="M197" s="105">
        <f t="shared" si="74"/>
        <v>0</v>
      </c>
      <c r="N197" s="105">
        <f t="shared" si="74"/>
        <v>0</v>
      </c>
      <c r="O197" s="105">
        <f t="shared" si="74"/>
        <v>0</v>
      </c>
      <c r="P197" s="105">
        <f t="shared" si="74"/>
        <v>0</v>
      </c>
      <c r="Q197" s="105">
        <f t="shared" si="74"/>
        <v>0</v>
      </c>
      <c r="R197" s="105">
        <f t="shared" si="74"/>
        <v>0</v>
      </c>
      <c r="S197" s="105">
        <f t="shared" si="74"/>
        <v>0</v>
      </c>
      <c r="T197" s="105">
        <f t="shared" si="74"/>
        <v>0</v>
      </c>
      <c r="U197" s="105">
        <f t="shared" si="74"/>
        <v>0</v>
      </c>
      <c r="V197" s="105">
        <f t="shared" si="74"/>
        <v>0</v>
      </c>
      <c r="W197" s="105">
        <f t="shared" si="74"/>
        <v>0</v>
      </c>
      <c r="X197" s="105">
        <f t="shared" si="74"/>
        <v>0</v>
      </c>
      <c r="Y197" s="105">
        <f t="shared" si="74"/>
        <v>0</v>
      </c>
      <c r="Z197" s="105">
        <f t="shared" si="74"/>
        <v>0</v>
      </c>
      <c r="AA197" s="105">
        <f t="shared" si="74"/>
        <v>0</v>
      </c>
      <c r="AB197" s="105">
        <f t="shared" si="74"/>
        <v>0</v>
      </c>
      <c r="AC197" s="105">
        <f t="shared" si="74"/>
        <v>0</v>
      </c>
      <c r="AD197" s="105">
        <f>SUM(AD186:AD195)-AD196</f>
        <v>0</v>
      </c>
      <c r="AE197" s="105">
        <f>SUM(AE186:AE195)-AE196</f>
        <v>0</v>
      </c>
      <c r="AF197" s="105">
        <f>SUM(AF186:AF195)-AF196</f>
        <v>0</v>
      </c>
      <c r="AG197" s="105">
        <f t="shared" ref="AG197:AH197" si="75">SUM(AG186:AG195)-AG196</f>
        <v>0</v>
      </c>
      <c r="AH197" s="105">
        <f t="shared" si="75"/>
        <v>0</v>
      </c>
      <c r="AI197" s="105"/>
      <c r="AJ197" s="105"/>
      <c r="AK197" s="105"/>
      <c r="AL197" s="105">
        <f t="shared" ref="AL197:AP197" si="76">SUM(AL186:AL195)-AL196</f>
        <v>0</v>
      </c>
      <c r="AM197" s="105">
        <f t="shared" si="76"/>
        <v>0</v>
      </c>
      <c r="AN197" s="105">
        <f t="shared" si="76"/>
        <v>0</v>
      </c>
      <c r="AO197" s="105">
        <f t="shared" si="76"/>
        <v>0</v>
      </c>
      <c r="AP197" s="105">
        <f t="shared" si="76"/>
        <v>0</v>
      </c>
      <c r="AQ197" s="105">
        <f t="shared" ref="AQ197:AT197" si="77">SUM(AQ186:AQ195)-AQ196</f>
        <v>0</v>
      </c>
      <c r="AR197" s="105">
        <f t="shared" si="77"/>
        <v>0</v>
      </c>
      <c r="AS197" s="105">
        <f t="shared" si="77"/>
        <v>0</v>
      </c>
      <c r="AT197" s="105">
        <f t="shared" si="77"/>
        <v>0</v>
      </c>
      <c r="AU197" s="105">
        <f>SUM(AU186:AU195)-AU196</f>
        <v>0</v>
      </c>
      <c r="AV197" s="105">
        <f t="shared" ref="AV197:AY197" si="78">SUM(AV186:AV195)-AV196</f>
        <v>0</v>
      </c>
      <c r="AW197" s="105">
        <f t="shared" si="78"/>
        <v>0</v>
      </c>
      <c r="AX197" s="105">
        <f t="shared" si="78"/>
        <v>0</v>
      </c>
      <c r="AY197" s="105">
        <f t="shared" si="78"/>
        <v>0</v>
      </c>
      <c r="AZ197" s="105"/>
      <c r="BA197" s="105"/>
      <c r="BB197" s="105"/>
      <c r="BC197" s="105"/>
      <c r="BD197" s="105"/>
      <c r="BE197" s="105"/>
      <c r="BF197" s="105"/>
      <c r="BG197" s="105">
        <f>BG194+BG192</f>
        <v>3306.36</v>
      </c>
      <c r="BH197" s="105"/>
      <c r="BI197" s="105"/>
      <c r="BJ197" s="105"/>
      <c r="BK197" s="105"/>
      <c r="BL197" s="105"/>
      <c r="BM197" s="105"/>
      <c r="BN197" s="105"/>
      <c r="BO197" s="105"/>
      <c r="BP197" s="105"/>
      <c r="BQ197" s="105"/>
      <c r="BR197" s="105"/>
      <c r="BS197" s="105"/>
      <c r="BT197" s="105"/>
      <c r="BU197" s="105"/>
      <c r="BV197" s="105"/>
      <c r="BW197" s="105"/>
      <c r="BX197" s="105">
        <f>BG197</f>
        <v>3306.36</v>
      </c>
      <c r="BY197" s="117"/>
      <c r="BZ197" s="117"/>
      <c r="CA197" s="117"/>
      <c r="CC197" s="118"/>
    </row>
    <row r="198" spans="1:81" ht="15.6" customHeight="1">
      <c r="A198" s="148" t="s">
        <v>346</v>
      </c>
      <c r="B198" s="148" t="s">
        <v>347</v>
      </c>
      <c r="C198" s="145" t="s">
        <v>310</v>
      </c>
      <c r="D198" s="145" t="s">
        <v>311</v>
      </c>
      <c r="E198" s="148" t="s">
        <v>312</v>
      </c>
      <c r="F198" s="148" t="s">
        <v>348</v>
      </c>
      <c r="G198" s="145" t="s">
        <v>314</v>
      </c>
      <c r="H198" s="145" t="s">
        <v>315</v>
      </c>
      <c r="I198" s="145" t="s">
        <v>349</v>
      </c>
      <c r="J198" s="146">
        <v>44105</v>
      </c>
      <c r="K198" s="146">
        <v>44136</v>
      </c>
      <c r="L198" s="146">
        <v>44166</v>
      </c>
      <c r="M198" s="146">
        <v>44197</v>
      </c>
      <c r="N198" s="146">
        <v>44228</v>
      </c>
      <c r="O198" s="146">
        <v>44256</v>
      </c>
      <c r="P198" s="146">
        <v>44287</v>
      </c>
      <c r="Q198" s="146">
        <v>44317</v>
      </c>
      <c r="R198" s="146">
        <v>44348</v>
      </c>
      <c r="S198" s="146">
        <v>44378</v>
      </c>
      <c r="T198" s="146">
        <v>44409</v>
      </c>
      <c r="U198" s="146">
        <v>44440</v>
      </c>
      <c r="V198" s="146">
        <v>44470</v>
      </c>
      <c r="W198" s="146">
        <v>44501</v>
      </c>
      <c r="X198" s="146">
        <v>44531</v>
      </c>
      <c r="Y198" s="146">
        <v>44562</v>
      </c>
      <c r="Z198" s="146">
        <v>44593</v>
      </c>
      <c r="AA198" s="146">
        <v>44621</v>
      </c>
      <c r="AB198" s="146">
        <v>44652</v>
      </c>
      <c r="AC198" s="146">
        <v>44682</v>
      </c>
      <c r="AD198" s="146">
        <v>44713</v>
      </c>
      <c r="AE198" s="146">
        <v>44743</v>
      </c>
      <c r="AF198" s="146">
        <v>44774</v>
      </c>
      <c r="AG198" s="146">
        <v>44805</v>
      </c>
      <c r="AH198" s="146">
        <v>44835</v>
      </c>
      <c r="AI198" s="146">
        <v>44866</v>
      </c>
      <c r="AJ198" s="146">
        <v>44896</v>
      </c>
      <c r="AK198" s="146">
        <v>44927</v>
      </c>
      <c r="AL198" s="146">
        <v>44958</v>
      </c>
      <c r="AM198" s="146">
        <v>44986</v>
      </c>
      <c r="AN198" s="146">
        <v>45017</v>
      </c>
      <c r="AO198" s="146">
        <v>45047</v>
      </c>
      <c r="AP198" s="146">
        <v>45078</v>
      </c>
      <c r="AQ198" s="146">
        <v>45108</v>
      </c>
      <c r="AR198" s="146">
        <v>45139</v>
      </c>
      <c r="AS198" s="146">
        <v>45170</v>
      </c>
      <c r="AT198" s="146">
        <v>45200</v>
      </c>
      <c r="AU198" s="146">
        <v>45231</v>
      </c>
      <c r="AV198" s="146">
        <v>45261</v>
      </c>
      <c r="AW198" s="146">
        <v>45292</v>
      </c>
      <c r="AX198" s="146">
        <v>45323</v>
      </c>
      <c r="AY198" s="146">
        <v>45352</v>
      </c>
      <c r="AZ198" s="146">
        <v>45383</v>
      </c>
      <c r="BA198" s="146">
        <v>45413</v>
      </c>
      <c r="BB198" s="146">
        <v>45444</v>
      </c>
      <c r="BC198" s="146">
        <v>45474</v>
      </c>
      <c r="BD198" s="146">
        <v>45505</v>
      </c>
      <c r="BE198" s="146">
        <v>45536</v>
      </c>
      <c r="BF198" s="146">
        <v>45566</v>
      </c>
      <c r="BG198" s="146">
        <v>45597</v>
      </c>
      <c r="BH198" s="146">
        <v>45627</v>
      </c>
      <c r="BI198" s="146">
        <v>45658</v>
      </c>
      <c r="BJ198" s="146">
        <v>45689</v>
      </c>
      <c r="BK198" s="146"/>
      <c r="BL198" s="146"/>
      <c r="BM198" s="146"/>
      <c r="BN198" s="146"/>
      <c r="BO198" s="146"/>
      <c r="BP198" s="146"/>
      <c r="BQ198" s="146"/>
      <c r="BR198" s="146"/>
      <c r="BS198" s="146"/>
      <c r="BT198" s="146"/>
      <c r="BU198" s="146"/>
      <c r="BV198" s="146"/>
      <c r="BW198" s="146"/>
      <c r="BX198" s="147" t="s">
        <v>13</v>
      </c>
      <c r="BY198" s="5"/>
      <c r="BZ198" s="5"/>
      <c r="CA198" s="5"/>
    </row>
    <row r="199" spans="1:81">
      <c r="A199" s="264">
        <v>14</v>
      </c>
      <c r="B199" s="241" t="s">
        <v>76</v>
      </c>
      <c r="C199" s="253" t="s">
        <v>92</v>
      </c>
      <c r="D199" s="253" t="s">
        <v>89</v>
      </c>
      <c r="E199" s="250" t="s">
        <v>150</v>
      </c>
      <c r="F199" s="250" t="s">
        <v>150</v>
      </c>
      <c r="G199" s="256">
        <f>'CONSOLIDADO ATIVO INATIVO NOVO'!J18</f>
        <v>45260</v>
      </c>
      <c r="H199" s="256">
        <f>'CONSOLIDADO ATIVO INATIVO NOVO'!K18</f>
        <v>0</v>
      </c>
      <c r="I199" s="21" t="s">
        <v>350</v>
      </c>
      <c r="J199" s="21"/>
      <c r="K199" s="21"/>
      <c r="L199" s="21"/>
      <c r="M199" s="53"/>
      <c r="N199" s="53"/>
      <c r="O199" s="19"/>
      <c r="P199" s="53"/>
      <c r="Q199" s="53"/>
      <c r="R199" s="53"/>
      <c r="S199" s="53"/>
      <c r="T199" s="53"/>
      <c r="U199" s="53"/>
      <c r="V199" s="3"/>
      <c r="W199" s="3">
        <v>195.68</v>
      </c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110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  <c r="BV199" s="53"/>
      <c r="BW199" s="53"/>
      <c r="BX199" s="19"/>
      <c r="BY199" s="5"/>
      <c r="BZ199" s="5"/>
      <c r="CA199" s="5"/>
    </row>
    <row r="200" spans="1:81">
      <c r="A200" s="265"/>
      <c r="B200" s="241"/>
      <c r="C200" s="254"/>
      <c r="D200" s="254"/>
      <c r="E200" s="251"/>
      <c r="F200" s="251"/>
      <c r="G200" s="254"/>
      <c r="H200" s="254"/>
      <c r="I200" s="21" t="s">
        <v>351</v>
      </c>
      <c r="J200" s="21"/>
      <c r="K200" s="21"/>
      <c r="L200" s="21"/>
      <c r="M200" s="3"/>
      <c r="N200" s="3"/>
      <c r="O200" s="3">
        <v>829.68</v>
      </c>
      <c r="P200" s="3">
        <f>1461.67+51.27</f>
        <v>1512.94</v>
      </c>
      <c r="Q200" s="3">
        <f>1461.67+51.27</f>
        <v>1512.94</v>
      </c>
      <c r="R200" s="3">
        <f t="shared" ref="R200:X200" si="79">1461.67+51.27</f>
        <v>1512.94</v>
      </c>
      <c r="S200" s="3">
        <f t="shared" si="79"/>
        <v>1512.94</v>
      </c>
      <c r="T200" s="3">
        <f t="shared" si="79"/>
        <v>1512.94</v>
      </c>
      <c r="U200" s="3">
        <f t="shared" si="79"/>
        <v>1512.94</v>
      </c>
      <c r="V200" s="3">
        <f t="shared" si="79"/>
        <v>1512.94</v>
      </c>
      <c r="W200" s="3">
        <f t="shared" si="79"/>
        <v>1512.94</v>
      </c>
      <c r="X200" s="3">
        <f t="shared" si="79"/>
        <v>1512.94</v>
      </c>
      <c r="Y200" s="3">
        <f t="shared" ref="Y200:AD200" si="80">1578.6+56.47</f>
        <v>1635.07</v>
      </c>
      <c r="Z200" s="3">
        <f t="shared" si="80"/>
        <v>1635.07</v>
      </c>
      <c r="AA200" s="3">
        <f t="shared" si="80"/>
        <v>1635.07</v>
      </c>
      <c r="AB200" s="3">
        <f t="shared" si="80"/>
        <v>1635.07</v>
      </c>
      <c r="AC200" s="3">
        <f t="shared" si="80"/>
        <v>1635.07</v>
      </c>
      <c r="AD200" s="3">
        <f t="shared" si="80"/>
        <v>1635.07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105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19"/>
      <c r="CA200" s="5"/>
    </row>
    <row r="201" spans="1:81">
      <c r="A201" s="265"/>
      <c r="B201" s="241"/>
      <c r="C201" s="254"/>
      <c r="D201" s="254"/>
      <c r="E201" s="251"/>
      <c r="F201" s="251"/>
      <c r="G201" s="254"/>
      <c r="H201" s="254"/>
      <c r="I201" s="21" t="s">
        <v>353</v>
      </c>
      <c r="J201" s="21"/>
      <c r="K201" s="21"/>
      <c r="L201" s="2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105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19"/>
      <c r="CA201" s="5"/>
    </row>
    <row r="202" spans="1:81">
      <c r="A202" s="265"/>
      <c r="B202" s="241"/>
      <c r="C202" s="254"/>
      <c r="D202" s="254"/>
      <c r="E202" s="251"/>
      <c r="F202" s="251"/>
      <c r="G202" s="254"/>
      <c r="H202" s="254"/>
      <c r="I202" s="21" t="s">
        <v>354</v>
      </c>
      <c r="J202" s="21"/>
      <c r="K202" s="21"/>
      <c r="L202" s="2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105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19"/>
      <c r="CA202" s="5"/>
    </row>
    <row r="203" spans="1:81">
      <c r="A203" s="265"/>
      <c r="B203" s="241"/>
      <c r="C203" s="254"/>
      <c r="D203" s="254"/>
      <c r="E203" s="251"/>
      <c r="F203" s="251"/>
      <c r="G203" s="254"/>
      <c r="H203" s="254"/>
      <c r="I203" s="21" t="s">
        <v>355</v>
      </c>
      <c r="J203" s="21"/>
      <c r="K203" s="21"/>
      <c r="L203" s="2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105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19"/>
      <c r="CA203" s="5"/>
    </row>
    <row r="204" spans="1:81">
      <c r="A204" s="265"/>
      <c r="B204" s="241"/>
      <c r="C204" s="254"/>
      <c r="D204" s="254"/>
      <c r="E204" s="251"/>
      <c r="F204" s="251"/>
      <c r="G204" s="254"/>
      <c r="H204" s="254"/>
      <c r="I204" s="21" t="s">
        <v>356</v>
      </c>
      <c r="J204" s="21"/>
      <c r="K204" s="21"/>
      <c r="L204" s="21"/>
      <c r="M204" s="3"/>
      <c r="N204" s="3"/>
      <c r="O204" s="3">
        <v>139.5</v>
      </c>
      <c r="P204" s="3">
        <v>195.3</v>
      </c>
      <c r="Q204" s="3">
        <v>195.3</v>
      </c>
      <c r="R204" s="3">
        <v>186</v>
      </c>
      <c r="S204" s="3">
        <v>195.3</v>
      </c>
      <c r="T204" s="3">
        <v>204.6</v>
      </c>
      <c r="U204" s="3">
        <v>195.3</v>
      </c>
      <c r="V204" s="3">
        <v>186</v>
      </c>
      <c r="W204" s="3">
        <v>195.3</v>
      </c>
      <c r="X204" s="3">
        <v>195.3</v>
      </c>
      <c r="Y204" s="3">
        <v>195.3</v>
      </c>
      <c r="Z204" s="3">
        <v>186</v>
      </c>
      <c r="AA204" s="3">
        <v>224.1</v>
      </c>
      <c r="AB204" s="3">
        <v>201.6</v>
      </c>
      <c r="AC204" s="3">
        <v>211.2</v>
      </c>
      <c r="AD204" s="3">
        <v>211.2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105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19"/>
      <c r="CA204" s="5"/>
    </row>
    <row r="205" spans="1:81" s="17" customFormat="1">
      <c r="A205" s="265"/>
      <c r="B205" s="241"/>
      <c r="C205" s="254"/>
      <c r="D205" s="254"/>
      <c r="E205" s="251"/>
      <c r="F205" s="251"/>
      <c r="G205" s="254"/>
      <c r="H205" s="254"/>
      <c r="I205" s="23" t="s">
        <v>362</v>
      </c>
      <c r="J205" s="23"/>
      <c r="K205" s="23"/>
      <c r="L205" s="2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4"/>
      <c r="Y205" s="13"/>
      <c r="Z205" s="13"/>
      <c r="AA205" s="13"/>
      <c r="AB205" s="13"/>
      <c r="AC205" s="13"/>
      <c r="AD205" s="13">
        <f>3587.72+927.15</f>
        <v>4514.87</v>
      </c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42"/>
      <c r="BY205" s="15"/>
      <c r="BZ205" s="15"/>
      <c r="CA205" s="16"/>
    </row>
    <row r="206" spans="1:81">
      <c r="A206" s="265"/>
      <c r="B206" s="241"/>
      <c r="C206" s="254"/>
      <c r="D206" s="254"/>
      <c r="E206" s="251"/>
      <c r="F206" s="251"/>
      <c r="G206" s="254"/>
      <c r="H206" s="254"/>
      <c r="I206" s="22" t="s">
        <v>363</v>
      </c>
      <c r="J206" s="22"/>
      <c r="K206" s="22"/>
      <c r="L206" s="2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>
        <v>609.03</v>
      </c>
      <c r="X206" s="3">
        <f>515.91+93.12</f>
        <v>609.03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105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19"/>
      <c r="BY206" s="1"/>
      <c r="BZ206" s="1"/>
      <c r="CA206" s="5"/>
    </row>
    <row r="207" spans="1:81">
      <c r="A207" s="265"/>
      <c r="B207" s="241"/>
      <c r="C207" s="254"/>
      <c r="D207" s="254"/>
      <c r="E207" s="251"/>
      <c r="F207" s="251"/>
      <c r="G207" s="254"/>
      <c r="H207" s="254"/>
      <c r="I207" s="44" t="s">
        <v>373</v>
      </c>
      <c r="J207" s="44"/>
      <c r="K207" s="44"/>
      <c r="L207" s="44"/>
      <c r="M207" s="3"/>
      <c r="N207" s="3"/>
      <c r="O207" s="3">
        <v>60.11</v>
      </c>
      <c r="P207" s="3">
        <v>115.05</v>
      </c>
      <c r="Q207" s="3">
        <v>115.05</v>
      </c>
      <c r="R207" s="3">
        <v>115.05</v>
      </c>
      <c r="S207" s="3">
        <v>115.05</v>
      </c>
      <c r="T207" s="3">
        <v>115.05</v>
      </c>
      <c r="U207" s="3">
        <v>115.05</v>
      </c>
      <c r="V207" s="3">
        <v>115.05</v>
      </c>
      <c r="W207" s="3">
        <v>115.05</v>
      </c>
      <c r="X207" s="3">
        <f>93.12+115.05+87.7</f>
        <v>295.87</v>
      </c>
      <c r="Y207" s="3">
        <f t="shared" ref="Y207:AD207" si="81">123.89+94.72</f>
        <v>218.61</v>
      </c>
      <c r="Z207" s="3">
        <f>123.89+94.72</f>
        <v>218.61</v>
      </c>
      <c r="AA207" s="3">
        <f t="shared" si="81"/>
        <v>218.61</v>
      </c>
      <c r="AB207" s="3">
        <f t="shared" si="81"/>
        <v>218.61</v>
      </c>
      <c r="AC207" s="3">
        <f t="shared" si="81"/>
        <v>218.61</v>
      </c>
      <c r="AD207" s="3">
        <f t="shared" si="81"/>
        <v>218.61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105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1"/>
      <c r="BZ207" s="1"/>
      <c r="CA207" s="5"/>
    </row>
    <row r="208" spans="1:81" s="1" customFormat="1">
      <c r="A208" s="266"/>
      <c r="B208" s="241"/>
      <c r="C208" s="255"/>
      <c r="D208" s="255"/>
      <c r="E208" s="252"/>
      <c r="F208" s="252"/>
      <c r="G208" s="255"/>
      <c r="H208" s="255"/>
      <c r="I208" s="54"/>
      <c r="J208" s="3">
        <f>SUM(J199:J206)-J207</f>
        <v>0</v>
      </c>
      <c r="K208" s="3">
        <f t="shared" ref="K208:AE208" si="82">SUM(K199:K206)-K207</f>
        <v>0</v>
      </c>
      <c r="L208" s="3">
        <f t="shared" si="82"/>
        <v>0</v>
      </c>
      <c r="M208" s="3">
        <f t="shared" si="82"/>
        <v>0</v>
      </c>
      <c r="N208" s="3">
        <f t="shared" si="82"/>
        <v>0</v>
      </c>
      <c r="O208" s="3">
        <f t="shared" si="82"/>
        <v>909.06999999999994</v>
      </c>
      <c r="P208" s="3">
        <f t="shared" si="82"/>
        <v>1593.19</v>
      </c>
      <c r="Q208" s="3">
        <f t="shared" si="82"/>
        <v>1593.19</v>
      </c>
      <c r="R208" s="3">
        <f t="shared" si="82"/>
        <v>1583.89</v>
      </c>
      <c r="S208" s="3">
        <f t="shared" si="82"/>
        <v>1593.19</v>
      </c>
      <c r="T208" s="3">
        <f>SUM(T199:T206)-T207</f>
        <v>1602.49</v>
      </c>
      <c r="U208" s="3">
        <f t="shared" si="82"/>
        <v>1593.19</v>
      </c>
      <c r="V208" s="3">
        <f t="shared" si="82"/>
        <v>1583.89</v>
      </c>
      <c r="W208" s="3">
        <f t="shared" si="82"/>
        <v>2397.8999999999996</v>
      </c>
      <c r="X208" s="3">
        <f t="shared" si="82"/>
        <v>2021.4</v>
      </c>
      <c r="Y208" s="3">
        <f t="shared" si="82"/>
        <v>1611.7599999999998</v>
      </c>
      <c r="Z208" s="3">
        <f t="shared" si="82"/>
        <v>1602.46</v>
      </c>
      <c r="AA208" s="3">
        <f t="shared" si="82"/>
        <v>1640.56</v>
      </c>
      <c r="AB208" s="3">
        <f t="shared" si="82"/>
        <v>1618.06</v>
      </c>
      <c r="AC208" s="3">
        <f t="shared" si="82"/>
        <v>1627.6599999999999</v>
      </c>
      <c r="AD208" s="3">
        <f t="shared" si="82"/>
        <v>6142.53</v>
      </c>
      <c r="AE208" s="3">
        <f t="shared" si="82"/>
        <v>0</v>
      </c>
      <c r="AF208" s="3">
        <f>SUM(AF199:AF206)-AF207</f>
        <v>0</v>
      </c>
      <c r="AG208" s="3">
        <f t="shared" ref="AG208:AP208" si="83">SUM(AG199:AG206)-AG207</f>
        <v>0</v>
      </c>
      <c r="AH208" s="3">
        <f t="shared" si="83"/>
        <v>0</v>
      </c>
      <c r="AI208" s="3">
        <f t="shared" si="83"/>
        <v>0</v>
      </c>
      <c r="AJ208" s="3">
        <f t="shared" si="83"/>
        <v>0</v>
      </c>
      <c r="AK208" s="3">
        <f t="shared" si="83"/>
        <v>0</v>
      </c>
      <c r="AL208" s="3">
        <f t="shared" si="83"/>
        <v>0</v>
      </c>
      <c r="AM208" s="3">
        <f t="shared" si="83"/>
        <v>0</v>
      </c>
      <c r="AN208" s="3">
        <f t="shared" si="83"/>
        <v>0</v>
      </c>
      <c r="AO208" s="3">
        <f t="shared" si="83"/>
        <v>0</v>
      </c>
      <c r="AP208" s="3">
        <f t="shared" si="83"/>
        <v>0</v>
      </c>
      <c r="AQ208" s="3">
        <f t="shared" ref="AQ208:AT208" si="84">SUM(AQ199:AQ206)-AQ207</f>
        <v>0</v>
      </c>
      <c r="AR208" s="3">
        <f t="shared" si="84"/>
        <v>0</v>
      </c>
      <c r="AS208" s="3">
        <f t="shared" si="84"/>
        <v>0</v>
      </c>
      <c r="AT208" s="3">
        <f t="shared" si="84"/>
        <v>0</v>
      </c>
      <c r="AU208" s="3">
        <f>SUM(AU199:AU206)-AU207</f>
        <v>0</v>
      </c>
      <c r="AV208" s="3">
        <f t="shared" ref="AV208:AY208" si="85">SUM(AV199:AV206)-AV207</f>
        <v>0</v>
      </c>
      <c r="AW208" s="3">
        <f t="shared" si="85"/>
        <v>0</v>
      </c>
      <c r="AX208" s="3">
        <f t="shared" si="85"/>
        <v>0</v>
      </c>
      <c r="AY208" s="3">
        <f t="shared" si="85"/>
        <v>0</v>
      </c>
      <c r="AZ208" s="3">
        <f t="shared" ref="AZ208:BC208" si="86">SUM(AZ181:AZ206)-AZ207</f>
        <v>90766</v>
      </c>
      <c r="BA208" s="3">
        <f t="shared" si="86"/>
        <v>90826</v>
      </c>
      <c r="BB208" s="105">
        <f t="shared" si="86"/>
        <v>90888</v>
      </c>
      <c r="BC208" s="3">
        <f t="shared" si="86"/>
        <v>90948</v>
      </c>
      <c r="BD208" s="3">
        <f t="shared" ref="BD208" si="87">SUM(BD181:BD206)-BD207</f>
        <v>91010</v>
      </c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105">
        <f>SUM(J208:AY208)</f>
        <v>30714.43</v>
      </c>
    </row>
    <row r="209" spans="1:81" ht="15.6" customHeight="1">
      <c r="A209" s="148" t="s">
        <v>346</v>
      </c>
      <c r="B209" s="148" t="s">
        <v>347</v>
      </c>
      <c r="C209" s="145" t="s">
        <v>310</v>
      </c>
      <c r="D209" s="145" t="s">
        <v>311</v>
      </c>
      <c r="E209" s="148" t="s">
        <v>312</v>
      </c>
      <c r="F209" s="148" t="s">
        <v>348</v>
      </c>
      <c r="G209" s="145" t="s">
        <v>314</v>
      </c>
      <c r="H209" s="145" t="s">
        <v>315</v>
      </c>
      <c r="I209" s="145" t="s">
        <v>349</v>
      </c>
      <c r="J209" s="146">
        <v>44105</v>
      </c>
      <c r="K209" s="146">
        <v>44136</v>
      </c>
      <c r="L209" s="146">
        <v>44166</v>
      </c>
      <c r="M209" s="146">
        <v>44197</v>
      </c>
      <c r="N209" s="146">
        <v>44228</v>
      </c>
      <c r="O209" s="146">
        <v>44256</v>
      </c>
      <c r="P209" s="146">
        <v>44287</v>
      </c>
      <c r="Q209" s="146">
        <v>44317</v>
      </c>
      <c r="R209" s="146">
        <v>44348</v>
      </c>
      <c r="S209" s="146">
        <v>44378</v>
      </c>
      <c r="T209" s="146">
        <v>44409</v>
      </c>
      <c r="U209" s="146">
        <v>44440</v>
      </c>
      <c r="V209" s="146">
        <v>44470</v>
      </c>
      <c r="W209" s="146">
        <v>44501</v>
      </c>
      <c r="X209" s="146">
        <v>44531</v>
      </c>
      <c r="Y209" s="146">
        <v>44562</v>
      </c>
      <c r="Z209" s="146">
        <v>44593</v>
      </c>
      <c r="AA209" s="146">
        <v>44621</v>
      </c>
      <c r="AB209" s="146">
        <v>44652</v>
      </c>
      <c r="AC209" s="146">
        <v>44682</v>
      </c>
      <c r="AD209" s="146">
        <v>44713</v>
      </c>
      <c r="AE209" s="146">
        <v>44743</v>
      </c>
      <c r="AF209" s="146">
        <v>44774</v>
      </c>
      <c r="AG209" s="146">
        <v>44805</v>
      </c>
      <c r="AH209" s="146">
        <v>44835</v>
      </c>
      <c r="AI209" s="146">
        <v>44866</v>
      </c>
      <c r="AJ209" s="146">
        <v>44896</v>
      </c>
      <c r="AK209" s="146">
        <v>44927</v>
      </c>
      <c r="AL209" s="146">
        <v>44958</v>
      </c>
      <c r="AM209" s="146">
        <v>44986</v>
      </c>
      <c r="AN209" s="146">
        <v>45017</v>
      </c>
      <c r="AO209" s="146">
        <v>45047</v>
      </c>
      <c r="AP209" s="146">
        <v>45078</v>
      </c>
      <c r="AQ209" s="146">
        <v>45108</v>
      </c>
      <c r="AR209" s="146">
        <v>45139</v>
      </c>
      <c r="AS209" s="146">
        <v>45170</v>
      </c>
      <c r="AT209" s="146">
        <v>45200</v>
      </c>
      <c r="AU209" s="146">
        <v>45231</v>
      </c>
      <c r="AV209" s="146">
        <v>45261</v>
      </c>
      <c r="AW209" s="146">
        <v>45292</v>
      </c>
      <c r="AX209" s="146">
        <v>45323</v>
      </c>
      <c r="AY209" s="146">
        <v>45352</v>
      </c>
      <c r="AZ209" s="146">
        <v>45383</v>
      </c>
      <c r="BA209" s="146">
        <v>45413</v>
      </c>
      <c r="BB209" s="146">
        <v>45444</v>
      </c>
      <c r="BC209" s="146">
        <v>45474</v>
      </c>
      <c r="BD209" s="146">
        <v>45505</v>
      </c>
      <c r="BE209" s="146">
        <v>45536</v>
      </c>
      <c r="BF209" s="146">
        <v>45566</v>
      </c>
      <c r="BG209" s="146">
        <v>45597</v>
      </c>
      <c r="BH209" s="146">
        <v>45627</v>
      </c>
      <c r="BI209" s="146">
        <v>45658</v>
      </c>
      <c r="BJ209" s="146">
        <v>45689</v>
      </c>
      <c r="BK209" s="146"/>
      <c r="BL209" s="146"/>
      <c r="BM209" s="146"/>
      <c r="BN209" s="146"/>
      <c r="BO209" s="146"/>
      <c r="BP209" s="146"/>
      <c r="BQ209" s="146"/>
      <c r="BR209" s="146"/>
      <c r="BS209" s="146"/>
      <c r="BT209" s="146"/>
      <c r="BU209" s="146"/>
      <c r="BV209" s="146"/>
      <c r="BW209" s="146"/>
      <c r="BX209" s="147" t="s">
        <v>13</v>
      </c>
      <c r="BY209" s="5"/>
      <c r="BZ209" s="5"/>
      <c r="CA209" s="5"/>
    </row>
    <row r="210" spans="1:81" ht="15.6" customHeight="1">
      <c r="A210" s="264">
        <v>15</v>
      </c>
      <c r="B210" s="241" t="s">
        <v>28</v>
      </c>
      <c r="C210" s="250" t="s">
        <v>92</v>
      </c>
      <c r="D210" s="250" t="s">
        <v>374</v>
      </c>
      <c r="E210" s="250" t="s">
        <v>150</v>
      </c>
      <c r="F210" s="250" t="s">
        <v>150</v>
      </c>
      <c r="G210" s="271">
        <f>'CONSOLIDADO ATIVO INATIVO NOVO'!J19</f>
        <v>45264</v>
      </c>
      <c r="H210" s="250"/>
      <c r="I210" s="21" t="s">
        <v>350</v>
      </c>
      <c r="J210" s="21"/>
      <c r="K210" s="21"/>
      <c r="L210" s="21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105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1"/>
      <c r="BZ210" s="1"/>
      <c r="CA210" s="1"/>
      <c r="CC210" s="6"/>
    </row>
    <row r="211" spans="1:81" ht="15.75" customHeight="1">
      <c r="A211" s="265"/>
      <c r="B211" s="241"/>
      <c r="C211" s="251"/>
      <c r="D211" s="251"/>
      <c r="E211" s="251"/>
      <c r="F211" s="251"/>
      <c r="G211" s="251"/>
      <c r="H211" s="251"/>
      <c r="I211" s="21" t="s">
        <v>351</v>
      </c>
      <c r="J211" s="21"/>
      <c r="K211" s="21"/>
      <c r="L211" s="21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>
        <v>1039</v>
      </c>
      <c r="AM211" s="3">
        <f>512.65+239.28+1196.18</f>
        <v>1948.1100000000001</v>
      </c>
      <c r="AN211" s="3">
        <v>239.28</v>
      </c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105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1"/>
      <c r="BZ211" s="1"/>
      <c r="CA211" s="1"/>
      <c r="CC211" s="6"/>
    </row>
    <row r="212" spans="1:81" ht="15.75" customHeight="1">
      <c r="A212" s="265"/>
      <c r="B212" s="241"/>
      <c r="C212" s="251"/>
      <c r="D212" s="251"/>
      <c r="E212" s="251"/>
      <c r="F212" s="251"/>
      <c r="G212" s="251"/>
      <c r="H212" s="251"/>
      <c r="I212" s="21" t="s">
        <v>371</v>
      </c>
      <c r="J212" s="21"/>
      <c r="K212" s="21"/>
      <c r="L212" s="21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>
        <v>50</v>
      </c>
      <c r="AM212" s="3">
        <v>150</v>
      </c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105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1"/>
      <c r="BZ212" s="1"/>
      <c r="CA212" s="1"/>
      <c r="CC212" s="6"/>
    </row>
    <row r="213" spans="1:81" ht="15.75" customHeight="1">
      <c r="A213" s="265"/>
      <c r="B213" s="241"/>
      <c r="C213" s="251"/>
      <c r="D213" s="251"/>
      <c r="E213" s="251"/>
      <c r="F213" s="251"/>
      <c r="G213" s="251"/>
      <c r="H213" s="251"/>
      <c r="I213" s="21" t="s">
        <v>353</v>
      </c>
      <c r="J213" s="21"/>
      <c r="K213" s="21"/>
      <c r="L213" s="21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105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1"/>
      <c r="BZ213" s="1"/>
      <c r="CA213" s="1"/>
      <c r="CC213" s="6"/>
    </row>
    <row r="214" spans="1:81" ht="15.75" customHeight="1">
      <c r="A214" s="265"/>
      <c r="B214" s="241"/>
      <c r="C214" s="251"/>
      <c r="D214" s="251"/>
      <c r="E214" s="251"/>
      <c r="F214" s="251"/>
      <c r="G214" s="251"/>
      <c r="H214" s="251"/>
      <c r="I214" s="21" t="s">
        <v>354</v>
      </c>
      <c r="J214" s="21"/>
      <c r="K214" s="21"/>
      <c r="L214" s="21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105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1"/>
      <c r="BZ214" s="1"/>
      <c r="CA214" s="1"/>
      <c r="CC214" s="6"/>
    </row>
    <row r="215" spans="1:81" ht="15.75" customHeight="1">
      <c r="A215" s="265"/>
      <c r="B215" s="241"/>
      <c r="C215" s="251"/>
      <c r="D215" s="251"/>
      <c r="E215" s="251"/>
      <c r="F215" s="251"/>
      <c r="G215" s="251"/>
      <c r="H215" s="251"/>
      <c r="I215" s="21" t="s">
        <v>355</v>
      </c>
      <c r="J215" s="21"/>
      <c r="K215" s="21"/>
      <c r="L215" s="21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105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1"/>
      <c r="BZ215" s="1"/>
      <c r="CA215" s="1"/>
      <c r="CC215" s="6"/>
    </row>
    <row r="216" spans="1:81" ht="15.75" customHeight="1">
      <c r="A216" s="265"/>
      <c r="B216" s="241"/>
      <c r="C216" s="251"/>
      <c r="D216" s="251"/>
      <c r="E216" s="251"/>
      <c r="F216" s="251"/>
      <c r="G216" s="251"/>
      <c r="H216" s="251"/>
      <c r="I216" s="21" t="s">
        <v>356</v>
      </c>
      <c r="J216" s="21"/>
      <c r="K216" s="21"/>
      <c r="L216" s="21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105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1"/>
      <c r="BZ216" s="1"/>
      <c r="CA216" s="1"/>
      <c r="CC216" s="6"/>
    </row>
    <row r="217" spans="1:81" ht="15.75" customHeight="1">
      <c r="A217" s="265"/>
      <c r="B217" s="241"/>
      <c r="C217" s="251"/>
      <c r="D217" s="251"/>
      <c r="E217" s="251"/>
      <c r="F217" s="251"/>
      <c r="G217" s="251"/>
      <c r="H217" s="251"/>
      <c r="I217" s="21" t="s">
        <v>357</v>
      </c>
      <c r="J217" s="21"/>
      <c r="K217" s="21"/>
      <c r="L217" s="21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>
        <v>220.69</v>
      </c>
      <c r="AM217" s="3">
        <v>449.68</v>
      </c>
      <c r="AN217" s="3">
        <v>293</v>
      </c>
      <c r="AO217" s="3">
        <v>0</v>
      </c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105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1"/>
      <c r="BZ217" s="1"/>
      <c r="CA217" s="1"/>
      <c r="CC217" s="6"/>
    </row>
    <row r="218" spans="1:81" ht="15.75" customHeight="1">
      <c r="A218" s="265"/>
      <c r="B218" s="241"/>
      <c r="C218" s="251"/>
      <c r="D218" s="251"/>
      <c r="E218" s="251"/>
      <c r="F218" s="251"/>
      <c r="G218" s="251"/>
      <c r="H218" s="251"/>
      <c r="I218" s="23" t="s">
        <v>362</v>
      </c>
      <c r="J218" s="23"/>
      <c r="K218" s="23"/>
      <c r="L218" s="2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105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1"/>
      <c r="BZ218" s="1"/>
      <c r="CA218" s="1"/>
      <c r="CC218" s="6"/>
    </row>
    <row r="219" spans="1:81" ht="15.75" customHeight="1">
      <c r="A219" s="265"/>
      <c r="B219" s="241"/>
      <c r="C219" s="251"/>
      <c r="D219" s="251"/>
      <c r="E219" s="251"/>
      <c r="F219" s="251"/>
      <c r="G219" s="251"/>
      <c r="H219" s="251"/>
      <c r="I219" s="22" t="s">
        <v>363</v>
      </c>
      <c r="J219" s="22"/>
      <c r="K219" s="22"/>
      <c r="L219" s="2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77.08</v>
      </c>
      <c r="AV219" s="3">
        <v>65.510000000000005</v>
      </c>
      <c r="AW219" s="3"/>
      <c r="AX219" s="3"/>
      <c r="AY219" s="3"/>
      <c r="AZ219" s="3"/>
      <c r="BA219" s="3"/>
      <c r="BB219" s="105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1"/>
      <c r="BZ219" s="1"/>
      <c r="CA219" s="1"/>
      <c r="CC219" s="6"/>
    </row>
    <row r="220" spans="1:81" ht="15.75" customHeight="1">
      <c r="A220" s="265"/>
      <c r="B220" s="241"/>
      <c r="C220" s="251"/>
      <c r="D220" s="251"/>
      <c r="E220" s="251"/>
      <c r="F220" s="251"/>
      <c r="G220" s="251"/>
      <c r="H220" s="251"/>
      <c r="I220" s="44" t="s">
        <v>364</v>
      </c>
      <c r="J220" s="44"/>
      <c r="K220" s="44"/>
      <c r="L220" s="4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>
        <v>118.35</v>
      </c>
      <c r="AM220" s="3">
        <f>134.26+150</f>
        <v>284.26</v>
      </c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105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1"/>
      <c r="BZ220" s="1"/>
      <c r="CA220" s="1"/>
      <c r="CC220" s="6"/>
    </row>
    <row r="221" spans="1:81" ht="15.75" customHeight="1">
      <c r="A221" s="265"/>
      <c r="B221" s="241"/>
      <c r="C221" s="251"/>
      <c r="D221" s="251"/>
      <c r="E221" s="251"/>
      <c r="F221" s="251"/>
      <c r="G221" s="251"/>
      <c r="H221" s="251"/>
      <c r="I221" s="44" t="s">
        <v>375</v>
      </c>
      <c r="J221" s="44"/>
      <c r="K221" s="44"/>
      <c r="L221" s="4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105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1"/>
      <c r="BZ221" s="1"/>
      <c r="CA221" s="1"/>
      <c r="CC221" s="6"/>
    </row>
    <row r="222" spans="1:81" ht="15.75" customHeight="1">
      <c r="A222" s="266"/>
      <c r="B222" s="241"/>
      <c r="C222" s="252"/>
      <c r="D222" s="252"/>
      <c r="E222" s="252"/>
      <c r="F222" s="252"/>
      <c r="G222" s="252"/>
      <c r="H222" s="252"/>
      <c r="I222" s="52"/>
      <c r="J222" s="3">
        <f>SUM(J210:J219)-J220</f>
        <v>0</v>
      </c>
      <c r="K222" s="3">
        <f t="shared" ref="K222:AC222" si="88">SUM(K210:K219)-K220</f>
        <v>0</v>
      </c>
      <c r="L222" s="3">
        <f t="shared" si="88"/>
        <v>0</v>
      </c>
      <c r="M222" s="3">
        <f t="shared" si="88"/>
        <v>0</v>
      </c>
      <c r="N222" s="3">
        <f t="shared" si="88"/>
        <v>0</v>
      </c>
      <c r="O222" s="3">
        <f t="shared" si="88"/>
        <v>0</v>
      </c>
      <c r="P222" s="3">
        <f t="shared" si="88"/>
        <v>0</v>
      </c>
      <c r="Q222" s="3">
        <f t="shared" si="88"/>
        <v>0</v>
      </c>
      <c r="R222" s="3">
        <f t="shared" si="88"/>
        <v>0</v>
      </c>
      <c r="S222" s="3">
        <f t="shared" si="88"/>
        <v>0</v>
      </c>
      <c r="T222" s="3">
        <f t="shared" si="88"/>
        <v>0</v>
      </c>
      <c r="U222" s="3">
        <f t="shared" si="88"/>
        <v>0</v>
      </c>
      <c r="V222" s="3">
        <f t="shared" si="88"/>
        <v>0</v>
      </c>
      <c r="W222" s="3">
        <f t="shared" si="88"/>
        <v>0</v>
      </c>
      <c r="X222" s="3">
        <f t="shared" si="88"/>
        <v>0</v>
      </c>
      <c r="Y222" s="3">
        <f t="shared" si="88"/>
        <v>0</v>
      </c>
      <c r="Z222" s="3">
        <f t="shared" si="88"/>
        <v>0</v>
      </c>
      <c r="AA222" s="3">
        <f t="shared" si="88"/>
        <v>0</v>
      </c>
      <c r="AB222" s="3">
        <f t="shared" si="88"/>
        <v>0</v>
      </c>
      <c r="AC222" s="3">
        <f t="shared" si="88"/>
        <v>0</v>
      </c>
      <c r="AD222" s="3">
        <f>SUM(AD210:AD219)-AD220</f>
        <v>0</v>
      </c>
      <c r="AE222" s="3">
        <f>SUM(AE210:AE219)-AE220</f>
        <v>0</v>
      </c>
      <c r="AF222" s="3">
        <f>SUM(AF210:AF219)-AF220</f>
        <v>0</v>
      </c>
      <c r="AG222" s="3">
        <f t="shared" ref="AG222" si="89">SUM(AG210:AG219)-AG220</f>
        <v>0</v>
      </c>
      <c r="AH222" s="3">
        <f t="shared" ref="AH222" si="90">SUM(AH210:AH219)-AH220</f>
        <v>0</v>
      </c>
      <c r="AI222" s="3">
        <f>SUM(AI210:AI219)-AI220</f>
        <v>0</v>
      </c>
      <c r="AJ222" s="3">
        <f t="shared" ref="AJ222:AP222" si="91">SUM(AJ210:AJ219)-AJ220</f>
        <v>0</v>
      </c>
      <c r="AK222" s="3">
        <f t="shared" si="91"/>
        <v>0</v>
      </c>
      <c r="AL222" s="3">
        <f t="shared" si="91"/>
        <v>1191.3400000000001</v>
      </c>
      <c r="AM222" s="3">
        <f t="shared" si="91"/>
        <v>2263.5299999999997</v>
      </c>
      <c r="AN222" s="3">
        <f t="shared" si="91"/>
        <v>532.28</v>
      </c>
      <c r="AO222" s="3">
        <f t="shared" si="91"/>
        <v>0</v>
      </c>
      <c r="AP222" s="3">
        <f t="shared" si="91"/>
        <v>0</v>
      </c>
      <c r="AQ222" s="3">
        <f t="shared" ref="AQ222:AT222" si="92">SUM(AQ210:AQ219)-AQ220</f>
        <v>0</v>
      </c>
      <c r="AR222" s="3">
        <f t="shared" si="92"/>
        <v>0</v>
      </c>
      <c r="AS222" s="3">
        <f t="shared" si="92"/>
        <v>0</v>
      </c>
      <c r="AT222" s="3">
        <f t="shared" si="92"/>
        <v>0</v>
      </c>
      <c r="AU222" s="3">
        <f>SUM(AU210:AU219)-AU220</f>
        <v>77.08</v>
      </c>
      <c r="AV222" s="3">
        <f t="shared" ref="AV222:AY222" si="93">SUM(AV210:AV219)-AV220</f>
        <v>65.510000000000005</v>
      </c>
      <c r="AW222" s="3">
        <f t="shared" si="93"/>
        <v>0</v>
      </c>
      <c r="AX222" s="3">
        <f t="shared" si="93"/>
        <v>0</v>
      </c>
      <c r="AY222" s="3">
        <f t="shared" si="93"/>
        <v>0</v>
      </c>
      <c r="AZ222" s="3"/>
      <c r="BA222" s="3"/>
      <c r="BB222" s="105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105">
        <f>SUM(J222:BH222)</f>
        <v>4129.74</v>
      </c>
      <c r="BY222" s="1"/>
      <c r="BZ222" s="1"/>
      <c r="CA222" s="1"/>
      <c r="CC222" s="6"/>
    </row>
    <row r="223" spans="1:81" ht="15.6" customHeight="1">
      <c r="A223" s="148" t="s">
        <v>346</v>
      </c>
      <c r="B223" s="148" t="s">
        <v>347</v>
      </c>
      <c r="C223" s="145" t="s">
        <v>310</v>
      </c>
      <c r="D223" s="145" t="s">
        <v>311</v>
      </c>
      <c r="E223" s="148" t="s">
        <v>312</v>
      </c>
      <c r="F223" s="148" t="s">
        <v>348</v>
      </c>
      <c r="G223" s="145" t="s">
        <v>314</v>
      </c>
      <c r="H223" s="145" t="s">
        <v>315</v>
      </c>
      <c r="I223" s="145" t="s">
        <v>349</v>
      </c>
      <c r="J223" s="146">
        <v>44105</v>
      </c>
      <c r="K223" s="146">
        <v>44136</v>
      </c>
      <c r="L223" s="146">
        <v>44166</v>
      </c>
      <c r="M223" s="146">
        <v>44197</v>
      </c>
      <c r="N223" s="146">
        <v>44228</v>
      </c>
      <c r="O223" s="146">
        <v>44256</v>
      </c>
      <c r="P223" s="146">
        <v>44287</v>
      </c>
      <c r="Q223" s="146">
        <v>44317</v>
      </c>
      <c r="R223" s="146">
        <v>44348</v>
      </c>
      <c r="S223" s="146">
        <v>44378</v>
      </c>
      <c r="T223" s="146">
        <v>44409</v>
      </c>
      <c r="U223" s="146">
        <v>44440</v>
      </c>
      <c r="V223" s="146">
        <v>44470</v>
      </c>
      <c r="W223" s="146">
        <v>44501</v>
      </c>
      <c r="X223" s="146">
        <v>44531</v>
      </c>
      <c r="Y223" s="146">
        <v>44562</v>
      </c>
      <c r="Z223" s="146">
        <v>44593</v>
      </c>
      <c r="AA223" s="146">
        <v>44621</v>
      </c>
      <c r="AB223" s="146">
        <v>44652</v>
      </c>
      <c r="AC223" s="146">
        <v>44682</v>
      </c>
      <c r="AD223" s="146">
        <v>44713</v>
      </c>
      <c r="AE223" s="146">
        <v>44743</v>
      </c>
      <c r="AF223" s="146">
        <v>44774</v>
      </c>
      <c r="AG223" s="146">
        <v>44805</v>
      </c>
      <c r="AH223" s="146">
        <v>44835</v>
      </c>
      <c r="AI223" s="146">
        <v>44866</v>
      </c>
      <c r="AJ223" s="146">
        <v>44896</v>
      </c>
      <c r="AK223" s="146">
        <v>44927</v>
      </c>
      <c r="AL223" s="146">
        <v>44958</v>
      </c>
      <c r="AM223" s="146">
        <v>44986</v>
      </c>
      <c r="AN223" s="146">
        <v>45017</v>
      </c>
      <c r="AO223" s="146">
        <v>45047</v>
      </c>
      <c r="AP223" s="146">
        <v>45078</v>
      </c>
      <c r="AQ223" s="146">
        <v>45108</v>
      </c>
      <c r="AR223" s="146">
        <v>45139</v>
      </c>
      <c r="AS223" s="146">
        <v>45170</v>
      </c>
      <c r="AT223" s="146">
        <v>45200</v>
      </c>
      <c r="AU223" s="146">
        <v>45231</v>
      </c>
      <c r="AV223" s="146">
        <v>45261</v>
      </c>
      <c r="AW223" s="146">
        <v>45292</v>
      </c>
      <c r="AX223" s="146">
        <v>45323</v>
      </c>
      <c r="AY223" s="146">
        <v>45352</v>
      </c>
      <c r="AZ223" s="146">
        <v>45383</v>
      </c>
      <c r="BA223" s="146">
        <v>45413</v>
      </c>
      <c r="BB223" s="146">
        <v>45444</v>
      </c>
      <c r="BC223" s="146">
        <v>45474</v>
      </c>
      <c r="BD223" s="146">
        <v>45505</v>
      </c>
      <c r="BE223" s="146">
        <v>45536</v>
      </c>
      <c r="BF223" s="146">
        <v>45566</v>
      </c>
      <c r="BG223" s="146">
        <v>45597</v>
      </c>
      <c r="BH223" s="146">
        <v>45627</v>
      </c>
      <c r="BI223" s="146">
        <v>45658</v>
      </c>
      <c r="BJ223" s="146">
        <v>45689</v>
      </c>
      <c r="BK223" s="146"/>
      <c r="BL223" s="146"/>
      <c r="BM223" s="146"/>
      <c r="BN223" s="146"/>
      <c r="BO223" s="146"/>
      <c r="BP223" s="146"/>
      <c r="BQ223" s="146"/>
      <c r="BR223" s="146"/>
      <c r="BS223" s="146"/>
      <c r="BT223" s="146"/>
      <c r="BU223" s="146"/>
      <c r="BV223" s="146"/>
      <c r="BW223" s="146"/>
      <c r="BX223" s="147" t="s">
        <v>13</v>
      </c>
      <c r="BY223" s="5"/>
      <c r="BZ223" s="5"/>
      <c r="CA223" s="5"/>
    </row>
    <row r="224" spans="1:81" s="107" customFormat="1" ht="15.6" customHeight="1">
      <c r="A224" s="267">
        <v>16</v>
      </c>
      <c r="B224" s="241" t="s">
        <v>207</v>
      </c>
      <c r="C224" s="253" t="s">
        <v>92</v>
      </c>
      <c r="D224" s="253" t="s">
        <v>89</v>
      </c>
      <c r="E224" s="250" t="s">
        <v>150</v>
      </c>
      <c r="F224" s="250" t="s">
        <v>150</v>
      </c>
      <c r="G224" s="256">
        <f>'CONSOLIDADO ATIVO INATIVO NOVO'!J20</f>
        <v>44774</v>
      </c>
      <c r="H224" s="256">
        <f>'CONSOLIDADO ATIVO INATIVO NOVO'!K20</f>
        <v>45461</v>
      </c>
      <c r="I224" s="106" t="s">
        <v>350</v>
      </c>
      <c r="J224" s="106"/>
      <c r="K224" s="106"/>
      <c r="L224" s="106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5"/>
      <c r="BN224" s="105"/>
      <c r="BO224" s="105"/>
      <c r="BP224" s="105"/>
      <c r="BQ224" s="105"/>
      <c r="BR224" s="105"/>
      <c r="BS224" s="105"/>
      <c r="BT224" s="105"/>
      <c r="BU224" s="105"/>
      <c r="BV224" s="105"/>
      <c r="BW224" s="105"/>
      <c r="BX224" s="105"/>
      <c r="BY224" s="117"/>
      <c r="BZ224" s="117"/>
      <c r="CA224" s="117"/>
      <c r="CC224" s="118"/>
    </row>
    <row r="225" spans="1:81" s="107" customFormat="1" ht="15.75" customHeight="1">
      <c r="A225" s="268"/>
      <c r="B225" s="241"/>
      <c r="C225" s="254"/>
      <c r="D225" s="254"/>
      <c r="E225" s="251"/>
      <c r="F225" s="251"/>
      <c r="G225" s="254"/>
      <c r="H225" s="254"/>
      <c r="I225" s="106" t="s">
        <v>351</v>
      </c>
      <c r="J225" s="106"/>
      <c r="K225" s="106"/>
      <c r="L225" s="106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>
        <v>1603.17</v>
      </c>
      <c r="BC225" s="105">
        <v>1849.81</v>
      </c>
      <c r="BD225" s="105">
        <v>1849.81</v>
      </c>
      <c r="BE225" s="105">
        <v>2149.81</v>
      </c>
      <c r="BF225" s="105">
        <v>1849.81</v>
      </c>
      <c r="BG225" s="105"/>
      <c r="BH225" s="105"/>
      <c r="BI225" s="105"/>
      <c r="BJ225" s="105"/>
      <c r="BK225" s="105"/>
      <c r="BL225" s="105"/>
      <c r="BM225" s="105"/>
      <c r="BN225" s="105"/>
      <c r="BO225" s="105"/>
      <c r="BP225" s="105"/>
      <c r="BQ225" s="105"/>
      <c r="BR225" s="105"/>
      <c r="BS225" s="105"/>
      <c r="BT225" s="105"/>
      <c r="BU225" s="105"/>
      <c r="BV225" s="105"/>
      <c r="BW225" s="105"/>
      <c r="BX225" s="105"/>
      <c r="BY225" s="117"/>
      <c r="BZ225" s="117"/>
      <c r="CA225" s="117"/>
      <c r="CC225" s="118"/>
    </row>
    <row r="226" spans="1:81" s="107" customFormat="1" ht="15.75" customHeight="1">
      <c r="A226" s="268"/>
      <c r="B226" s="241"/>
      <c r="C226" s="254"/>
      <c r="D226" s="254"/>
      <c r="E226" s="251"/>
      <c r="F226" s="251"/>
      <c r="G226" s="254"/>
      <c r="H226" s="254"/>
      <c r="I226" s="106" t="s">
        <v>371</v>
      </c>
      <c r="J226" s="106"/>
      <c r="K226" s="106"/>
      <c r="L226" s="106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  <c r="BL226" s="105"/>
      <c r="BM226" s="105"/>
      <c r="BN226" s="105"/>
      <c r="BO226" s="105"/>
      <c r="BP226" s="105"/>
      <c r="BQ226" s="105"/>
      <c r="BR226" s="105"/>
      <c r="BS226" s="105"/>
      <c r="BT226" s="105"/>
      <c r="BU226" s="105"/>
      <c r="BV226" s="105"/>
      <c r="BW226" s="105"/>
      <c r="BX226" s="105"/>
      <c r="BY226" s="117"/>
      <c r="BZ226" s="117"/>
      <c r="CA226" s="117"/>
      <c r="CC226" s="118"/>
    </row>
    <row r="227" spans="1:81" s="107" customFormat="1" ht="15.75" customHeight="1">
      <c r="A227" s="268"/>
      <c r="B227" s="241"/>
      <c r="C227" s="254"/>
      <c r="D227" s="254"/>
      <c r="E227" s="251"/>
      <c r="F227" s="251"/>
      <c r="G227" s="254"/>
      <c r="H227" s="254"/>
      <c r="I227" s="106" t="s">
        <v>353</v>
      </c>
      <c r="J227" s="106"/>
      <c r="K227" s="106"/>
      <c r="L227" s="106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>
        <v>400</v>
      </c>
      <c r="BE227" s="105">
        <v>600</v>
      </c>
      <c r="BF227" s="105"/>
      <c r="BG227" s="105"/>
      <c r="BH227" s="105"/>
      <c r="BI227" s="105"/>
      <c r="BJ227" s="105"/>
      <c r="BK227" s="105"/>
      <c r="BL227" s="105"/>
      <c r="BM227" s="105"/>
      <c r="BN227" s="105"/>
      <c r="BO227" s="105"/>
      <c r="BP227" s="105"/>
      <c r="BQ227" s="105"/>
      <c r="BR227" s="105"/>
      <c r="BS227" s="105"/>
      <c r="BT227" s="105"/>
      <c r="BU227" s="105"/>
      <c r="BV227" s="105"/>
      <c r="BW227" s="105"/>
      <c r="BX227" s="105"/>
      <c r="BY227" s="117"/>
      <c r="BZ227" s="117"/>
      <c r="CA227" s="117"/>
      <c r="CC227" s="118"/>
    </row>
    <row r="228" spans="1:81" s="107" customFormat="1" ht="15.75" customHeight="1">
      <c r="A228" s="268"/>
      <c r="B228" s="241"/>
      <c r="C228" s="254"/>
      <c r="D228" s="254"/>
      <c r="E228" s="251"/>
      <c r="F228" s="251"/>
      <c r="G228" s="254"/>
      <c r="H228" s="254"/>
      <c r="I228" s="106" t="s">
        <v>354</v>
      </c>
      <c r="J228" s="106"/>
      <c r="K228" s="106"/>
      <c r="L228" s="106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/>
      <c r="BL228" s="105"/>
      <c r="BM228" s="105"/>
      <c r="BN228" s="105"/>
      <c r="BO228" s="105"/>
      <c r="BP228" s="105"/>
      <c r="BQ228" s="105"/>
      <c r="BR228" s="105"/>
      <c r="BS228" s="105"/>
      <c r="BT228" s="105"/>
      <c r="BU228" s="105"/>
      <c r="BV228" s="105"/>
      <c r="BW228" s="105"/>
      <c r="BX228" s="105"/>
      <c r="BY228" s="117"/>
      <c r="BZ228" s="117"/>
      <c r="CA228" s="117"/>
      <c r="CC228" s="118"/>
    </row>
    <row r="229" spans="1:81" s="107" customFormat="1" ht="15.75" customHeight="1">
      <c r="A229" s="268"/>
      <c r="B229" s="241"/>
      <c r="C229" s="254"/>
      <c r="D229" s="254"/>
      <c r="E229" s="251"/>
      <c r="F229" s="251"/>
      <c r="G229" s="254"/>
      <c r="H229" s="254"/>
      <c r="I229" s="106" t="s">
        <v>376</v>
      </c>
      <c r="J229" s="106"/>
      <c r="K229" s="106"/>
      <c r="L229" s="106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>
        <v>300</v>
      </c>
      <c r="BE229" s="105"/>
      <c r="BF229" s="105"/>
      <c r="BG229" s="105"/>
      <c r="BH229" s="105"/>
      <c r="BI229" s="105"/>
      <c r="BJ229" s="105"/>
      <c r="BK229" s="105"/>
      <c r="BL229" s="105"/>
      <c r="BM229" s="105"/>
      <c r="BN229" s="105"/>
      <c r="BO229" s="105"/>
      <c r="BP229" s="105"/>
      <c r="BQ229" s="105"/>
      <c r="BR229" s="105"/>
      <c r="BS229" s="105"/>
      <c r="BT229" s="105"/>
      <c r="BU229" s="105"/>
      <c r="BV229" s="105"/>
      <c r="BW229" s="105"/>
      <c r="BX229" s="105"/>
      <c r="BY229" s="117"/>
      <c r="BZ229" s="117"/>
      <c r="CA229" s="117"/>
      <c r="CC229" s="118"/>
    </row>
    <row r="230" spans="1:81" s="107" customFormat="1" ht="15.75" customHeight="1">
      <c r="A230" s="268"/>
      <c r="B230" s="241"/>
      <c r="C230" s="254"/>
      <c r="D230" s="254"/>
      <c r="E230" s="251"/>
      <c r="F230" s="251"/>
      <c r="G230" s="254"/>
      <c r="H230" s="254"/>
      <c r="I230" s="106" t="s">
        <v>356</v>
      </c>
      <c r="J230" s="106"/>
      <c r="K230" s="106"/>
      <c r="L230" s="106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  <c r="BL230" s="105"/>
      <c r="BM230" s="105"/>
      <c r="BN230" s="105"/>
      <c r="BO230" s="105"/>
      <c r="BP230" s="105"/>
      <c r="BQ230" s="105"/>
      <c r="BR230" s="105"/>
      <c r="BS230" s="105"/>
      <c r="BT230" s="105"/>
      <c r="BU230" s="105"/>
      <c r="BV230" s="105"/>
      <c r="BW230" s="105"/>
      <c r="BX230" s="105"/>
      <c r="BY230" s="117"/>
      <c r="BZ230" s="117"/>
      <c r="CA230" s="117"/>
      <c r="CC230" s="118"/>
    </row>
    <row r="231" spans="1:81" s="107" customFormat="1" ht="15.75" customHeight="1">
      <c r="A231" s="268"/>
      <c r="B231" s="241"/>
      <c r="C231" s="254"/>
      <c r="D231" s="254"/>
      <c r="E231" s="251"/>
      <c r="F231" s="251"/>
      <c r="G231" s="254"/>
      <c r="H231" s="254"/>
      <c r="I231" s="106" t="s">
        <v>357</v>
      </c>
      <c r="J231" s="106"/>
      <c r="K231" s="106"/>
      <c r="L231" s="106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>
        <v>0</v>
      </c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>
        <v>392.34</v>
      </c>
      <c r="BC231" s="105">
        <v>469.26</v>
      </c>
      <c r="BD231" s="105">
        <v>468.21</v>
      </c>
      <c r="BE231" s="105">
        <v>439.41</v>
      </c>
      <c r="BF231" s="105">
        <v>458.7</v>
      </c>
      <c r="BG231" s="105">
        <v>439.45</v>
      </c>
      <c r="BH231" s="105"/>
      <c r="BI231" s="105"/>
      <c r="BJ231" s="105"/>
      <c r="BK231" s="105"/>
      <c r="BL231" s="105"/>
      <c r="BM231" s="105"/>
      <c r="BN231" s="105"/>
      <c r="BO231" s="105"/>
      <c r="BP231" s="105"/>
      <c r="BQ231" s="105"/>
      <c r="BR231" s="105"/>
      <c r="BS231" s="105"/>
      <c r="BT231" s="105"/>
      <c r="BU231" s="105"/>
      <c r="BV231" s="105"/>
      <c r="BW231" s="105"/>
      <c r="BX231" s="105"/>
      <c r="BY231" s="117"/>
      <c r="BZ231" s="117"/>
      <c r="CA231" s="117"/>
      <c r="CC231" s="118"/>
    </row>
    <row r="232" spans="1:81" s="107" customFormat="1" ht="15.75" customHeight="1">
      <c r="A232" s="268"/>
      <c r="B232" s="241"/>
      <c r="C232" s="254"/>
      <c r="D232" s="254"/>
      <c r="E232" s="251"/>
      <c r="F232" s="251"/>
      <c r="G232" s="254"/>
      <c r="H232" s="254"/>
      <c r="I232" s="131" t="s">
        <v>362</v>
      </c>
      <c r="J232" s="131"/>
      <c r="K232" s="131"/>
      <c r="L232" s="131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>
        <v>4508.91</v>
      </c>
      <c r="BH232" s="105"/>
      <c r="BI232" s="105"/>
      <c r="BJ232" s="105"/>
      <c r="BK232" s="105"/>
      <c r="BL232" s="105"/>
      <c r="BM232" s="105"/>
      <c r="BN232" s="105"/>
      <c r="BO232" s="105"/>
      <c r="BP232" s="105"/>
      <c r="BQ232" s="105"/>
      <c r="BR232" s="105"/>
      <c r="BS232" s="105"/>
      <c r="BT232" s="105"/>
      <c r="BU232" s="105"/>
      <c r="BV232" s="105"/>
      <c r="BW232" s="105"/>
      <c r="BX232" s="105"/>
      <c r="BY232" s="117"/>
      <c r="BZ232" s="117"/>
      <c r="CA232" s="117"/>
      <c r="CC232" s="118"/>
    </row>
    <row r="233" spans="1:81" s="107" customFormat="1" ht="15.75" customHeight="1">
      <c r="A233" s="268"/>
      <c r="B233" s="241"/>
      <c r="C233" s="254"/>
      <c r="D233" s="254"/>
      <c r="E233" s="251"/>
      <c r="F233" s="251"/>
      <c r="G233" s="254"/>
      <c r="H233" s="254"/>
      <c r="I233" s="132" t="s">
        <v>363</v>
      </c>
      <c r="J233" s="132"/>
      <c r="K233" s="132"/>
      <c r="L233" s="132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  <c r="BL233" s="105"/>
      <c r="BM233" s="105"/>
      <c r="BN233" s="105"/>
      <c r="BO233" s="105"/>
      <c r="BP233" s="105"/>
      <c r="BQ233" s="105"/>
      <c r="BR233" s="105"/>
      <c r="BS233" s="105"/>
      <c r="BT233" s="105"/>
      <c r="BU233" s="105"/>
      <c r="BV233" s="105"/>
      <c r="BW233" s="105"/>
      <c r="BX233" s="105"/>
      <c r="BY233" s="117"/>
      <c r="BZ233" s="117"/>
      <c r="CA233" s="117"/>
      <c r="CC233" s="118"/>
    </row>
    <row r="234" spans="1:81" s="107" customFormat="1" ht="15.75" customHeight="1">
      <c r="A234" s="268"/>
      <c r="B234" s="241"/>
      <c r="C234" s="254"/>
      <c r="D234" s="254"/>
      <c r="E234" s="251"/>
      <c r="F234" s="251"/>
      <c r="G234" s="254"/>
      <c r="H234" s="254"/>
      <c r="I234" s="133" t="s">
        <v>364</v>
      </c>
      <c r="J234" s="133"/>
      <c r="K234" s="133"/>
      <c r="L234" s="133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  <c r="BL234" s="105"/>
      <c r="BM234" s="105"/>
      <c r="BN234" s="105"/>
      <c r="BO234" s="105"/>
      <c r="BP234" s="105"/>
      <c r="BQ234" s="105"/>
      <c r="BR234" s="105"/>
      <c r="BS234" s="105"/>
      <c r="BT234" s="105"/>
      <c r="BU234" s="105"/>
      <c r="BV234" s="105"/>
      <c r="BW234" s="105"/>
      <c r="BX234" s="105"/>
      <c r="BY234" s="117"/>
      <c r="BZ234" s="117"/>
      <c r="CA234" s="117"/>
      <c r="CC234" s="118"/>
    </row>
    <row r="235" spans="1:81" s="107" customFormat="1" ht="15.75" customHeight="1">
      <c r="A235" s="268"/>
      <c r="B235" s="241"/>
      <c r="C235" s="254"/>
      <c r="D235" s="254"/>
      <c r="E235" s="251"/>
      <c r="F235" s="251"/>
      <c r="G235" s="254"/>
      <c r="H235" s="254"/>
      <c r="I235" s="133"/>
      <c r="J235" s="133"/>
      <c r="K235" s="133"/>
      <c r="L235" s="133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>
        <v>123.1</v>
      </c>
      <c r="BC235" s="105">
        <v>145.30000000000001</v>
      </c>
      <c r="BD235" s="105">
        <f>400+145.3</f>
        <v>545.29999999999995</v>
      </c>
      <c r="BE235" s="105">
        <v>745.3</v>
      </c>
      <c r="BF235" s="105">
        <v>225.3</v>
      </c>
      <c r="BG235" s="105"/>
      <c r="BH235" s="105"/>
      <c r="BI235" s="105"/>
      <c r="BJ235" s="105"/>
      <c r="BK235" s="105"/>
      <c r="BL235" s="105"/>
      <c r="BM235" s="105"/>
      <c r="BN235" s="105"/>
      <c r="BO235" s="105"/>
      <c r="BP235" s="105"/>
      <c r="BQ235" s="105"/>
      <c r="BR235" s="105"/>
      <c r="BS235" s="105"/>
      <c r="BT235" s="105"/>
      <c r="BU235" s="105"/>
      <c r="BV235" s="105"/>
      <c r="BW235" s="105"/>
      <c r="BX235" s="105"/>
      <c r="BY235" s="117"/>
      <c r="BZ235" s="117"/>
      <c r="CA235" s="117"/>
      <c r="CC235" s="118"/>
    </row>
    <row r="236" spans="1:81" s="107" customFormat="1" ht="15.75" customHeight="1">
      <c r="A236" s="269"/>
      <c r="B236" s="241"/>
      <c r="C236" s="255"/>
      <c r="D236" s="255"/>
      <c r="E236" s="252"/>
      <c r="F236" s="252"/>
      <c r="G236" s="255"/>
      <c r="H236" s="255"/>
      <c r="I236" s="130"/>
      <c r="J236" s="105">
        <f>SUM(J224:J233)-J234</f>
        <v>0</v>
      </c>
      <c r="K236" s="105">
        <f t="shared" ref="K236:AC236" si="94">SUM(K224:K233)-K234</f>
        <v>0</v>
      </c>
      <c r="L236" s="105">
        <f t="shared" si="94"/>
        <v>0</v>
      </c>
      <c r="M236" s="105">
        <f t="shared" si="94"/>
        <v>0</v>
      </c>
      <c r="N236" s="105">
        <f t="shared" si="94"/>
        <v>0</v>
      </c>
      <c r="O236" s="105">
        <f t="shared" si="94"/>
        <v>0</v>
      </c>
      <c r="P236" s="105">
        <f t="shared" si="94"/>
        <v>0</v>
      </c>
      <c r="Q236" s="105">
        <f t="shared" si="94"/>
        <v>0</v>
      </c>
      <c r="R236" s="105">
        <f t="shared" si="94"/>
        <v>0</v>
      </c>
      <c r="S236" s="105">
        <f t="shared" si="94"/>
        <v>0</v>
      </c>
      <c r="T236" s="105">
        <f t="shared" si="94"/>
        <v>0</v>
      </c>
      <c r="U236" s="105">
        <f t="shared" si="94"/>
        <v>0</v>
      </c>
      <c r="V236" s="105">
        <f t="shared" si="94"/>
        <v>0</v>
      </c>
      <c r="W236" s="105">
        <f t="shared" si="94"/>
        <v>0</v>
      </c>
      <c r="X236" s="105">
        <f t="shared" si="94"/>
        <v>0</v>
      </c>
      <c r="Y236" s="105">
        <f t="shared" si="94"/>
        <v>0</v>
      </c>
      <c r="Z236" s="105">
        <f t="shared" si="94"/>
        <v>0</v>
      </c>
      <c r="AA236" s="105">
        <f t="shared" si="94"/>
        <v>0</v>
      </c>
      <c r="AB236" s="105">
        <f t="shared" si="94"/>
        <v>0</v>
      </c>
      <c r="AC236" s="105">
        <f t="shared" si="94"/>
        <v>0</v>
      </c>
      <c r="AD236" s="105">
        <f>SUM(AD224:AD233)-AD234</f>
        <v>0</v>
      </c>
      <c r="AE236" s="105">
        <f>SUM(AE224:AE233)-AE234</f>
        <v>0</v>
      </c>
      <c r="AF236" s="105">
        <f>SUM(AF224:AF233)-AF234</f>
        <v>0</v>
      </c>
      <c r="AG236" s="105">
        <f t="shared" ref="AG236" si="95">SUM(AG224:AG233)-AG234</f>
        <v>0</v>
      </c>
      <c r="AH236" s="105">
        <f t="shared" ref="AH236" si="96">SUM(AH224:AH233)-AH234</f>
        <v>0</v>
      </c>
      <c r="AI236" s="105">
        <f>SUM(AI224:AI233)-AI234</f>
        <v>0</v>
      </c>
      <c r="AJ236" s="105">
        <f t="shared" ref="AJ236:AP236" si="97">SUM(AJ224:AJ233)-AJ234</f>
        <v>0</v>
      </c>
      <c r="AK236" s="105">
        <f t="shared" si="97"/>
        <v>0</v>
      </c>
      <c r="AL236" s="105">
        <f t="shared" si="97"/>
        <v>0</v>
      </c>
      <c r="AM236" s="105">
        <f t="shared" si="97"/>
        <v>0</v>
      </c>
      <c r="AN236" s="105">
        <f t="shared" si="97"/>
        <v>0</v>
      </c>
      <c r="AO236" s="105">
        <f t="shared" si="97"/>
        <v>0</v>
      </c>
      <c r="AP236" s="105">
        <f t="shared" si="97"/>
        <v>0</v>
      </c>
      <c r="AQ236" s="105">
        <f t="shared" ref="AQ236:AT236" si="98">SUM(AQ224:AQ233)-AQ234</f>
        <v>0</v>
      </c>
      <c r="AR236" s="105">
        <f t="shared" si="98"/>
        <v>0</v>
      </c>
      <c r="AS236" s="105">
        <f t="shared" si="98"/>
        <v>0</v>
      </c>
      <c r="AT236" s="105">
        <f t="shared" si="98"/>
        <v>0</v>
      </c>
      <c r="AU236" s="105">
        <f>SUM(AU224:AU233)-AU234</f>
        <v>0</v>
      </c>
      <c r="AV236" s="105">
        <f t="shared" ref="AV236:BA236" si="99">SUM(AV224:AV233)-AV234</f>
        <v>0</v>
      </c>
      <c r="AW236" s="105">
        <f t="shared" si="99"/>
        <v>0</v>
      </c>
      <c r="AX236" s="105">
        <f t="shared" si="99"/>
        <v>0</v>
      </c>
      <c r="AY236" s="105">
        <f t="shared" si="99"/>
        <v>0</v>
      </c>
      <c r="AZ236" s="105">
        <f t="shared" si="99"/>
        <v>0</v>
      </c>
      <c r="BA236" s="105">
        <f t="shared" si="99"/>
        <v>0</v>
      </c>
      <c r="BB236" s="105">
        <f>BB225+BB231-BB235</f>
        <v>1872.41</v>
      </c>
      <c r="BC236" s="105">
        <f t="shared" ref="BC236:BF236" si="100">BC225+BC231-BC235</f>
        <v>2173.7699999999995</v>
      </c>
      <c r="BD236" s="105">
        <f t="shared" si="100"/>
        <v>1772.72</v>
      </c>
      <c r="BE236" s="105">
        <f t="shared" si="100"/>
        <v>1843.9199999999998</v>
      </c>
      <c r="BF236" s="105">
        <f t="shared" si="100"/>
        <v>2083.2099999999996</v>
      </c>
      <c r="BG236" s="105">
        <f>BG232+BG231</f>
        <v>4948.3599999999997</v>
      </c>
      <c r="BH236" s="105"/>
      <c r="BI236" s="105"/>
      <c r="BJ236" s="105"/>
      <c r="BK236" s="105"/>
      <c r="BL236" s="105"/>
      <c r="BM236" s="105"/>
      <c r="BN236" s="105"/>
      <c r="BO236" s="105"/>
      <c r="BP236" s="105"/>
      <c r="BQ236" s="105"/>
      <c r="BR236" s="105"/>
      <c r="BS236" s="105"/>
      <c r="BT236" s="105"/>
      <c r="BU236" s="105"/>
      <c r="BV236" s="105"/>
      <c r="BW236" s="105"/>
      <c r="BX236" s="105">
        <f>SUM(J236:BG236)</f>
        <v>14694.39</v>
      </c>
      <c r="BY236" s="117"/>
      <c r="BZ236" s="117"/>
      <c r="CA236" s="117"/>
      <c r="CC236" s="118"/>
    </row>
    <row r="237" spans="1:81" ht="15.6" customHeight="1">
      <c r="A237" s="148" t="s">
        <v>346</v>
      </c>
      <c r="B237" s="148" t="s">
        <v>347</v>
      </c>
      <c r="C237" s="145" t="s">
        <v>310</v>
      </c>
      <c r="D237" s="145" t="s">
        <v>311</v>
      </c>
      <c r="E237" s="148" t="s">
        <v>312</v>
      </c>
      <c r="F237" s="148" t="s">
        <v>348</v>
      </c>
      <c r="G237" s="145" t="s">
        <v>314</v>
      </c>
      <c r="H237" s="145" t="s">
        <v>315</v>
      </c>
      <c r="I237" s="145" t="s">
        <v>349</v>
      </c>
      <c r="J237" s="146">
        <v>44105</v>
      </c>
      <c r="K237" s="146">
        <v>44136</v>
      </c>
      <c r="L237" s="146">
        <v>44166</v>
      </c>
      <c r="M237" s="146">
        <v>44197</v>
      </c>
      <c r="N237" s="146">
        <v>44228</v>
      </c>
      <c r="O237" s="146">
        <v>44256</v>
      </c>
      <c r="P237" s="146">
        <v>44287</v>
      </c>
      <c r="Q237" s="146">
        <v>44317</v>
      </c>
      <c r="R237" s="146">
        <v>44348</v>
      </c>
      <c r="S237" s="146">
        <v>44378</v>
      </c>
      <c r="T237" s="146">
        <v>44409</v>
      </c>
      <c r="U237" s="146">
        <v>44440</v>
      </c>
      <c r="V237" s="146">
        <v>44470</v>
      </c>
      <c r="W237" s="146">
        <v>44501</v>
      </c>
      <c r="X237" s="146">
        <v>44531</v>
      </c>
      <c r="Y237" s="146">
        <v>44562</v>
      </c>
      <c r="Z237" s="146">
        <v>44593</v>
      </c>
      <c r="AA237" s="146">
        <v>44621</v>
      </c>
      <c r="AB237" s="146">
        <v>44652</v>
      </c>
      <c r="AC237" s="146">
        <v>44682</v>
      </c>
      <c r="AD237" s="146">
        <v>44713</v>
      </c>
      <c r="AE237" s="146">
        <v>44743</v>
      </c>
      <c r="AF237" s="146">
        <v>44774</v>
      </c>
      <c r="AG237" s="146">
        <v>44805</v>
      </c>
      <c r="AH237" s="146">
        <v>44835</v>
      </c>
      <c r="AI237" s="146">
        <v>44866</v>
      </c>
      <c r="AJ237" s="146">
        <v>44896</v>
      </c>
      <c r="AK237" s="146">
        <v>44927</v>
      </c>
      <c r="AL237" s="146">
        <v>44958</v>
      </c>
      <c r="AM237" s="146">
        <v>44986</v>
      </c>
      <c r="AN237" s="146">
        <v>45017</v>
      </c>
      <c r="AO237" s="146">
        <v>45047</v>
      </c>
      <c r="AP237" s="146">
        <v>45078</v>
      </c>
      <c r="AQ237" s="146">
        <v>45108</v>
      </c>
      <c r="AR237" s="146">
        <v>45139</v>
      </c>
      <c r="AS237" s="146">
        <v>45170</v>
      </c>
      <c r="AT237" s="146">
        <v>45200</v>
      </c>
      <c r="AU237" s="146">
        <v>45231</v>
      </c>
      <c r="AV237" s="146">
        <v>45261</v>
      </c>
      <c r="AW237" s="146">
        <v>45292</v>
      </c>
      <c r="AX237" s="146">
        <v>45323</v>
      </c>
      <c r="AY237" s="146">
        <v>45352</v>
      </c>
      <c r="AZ237" s="146">
        <v>45383</v>
      </c>
      <c r="BA237" s="146">
        <v>45413</v>
      </c>
      <c r="BB237" s="146">
        <v>45444</v>
      </c>
      <c r="BC237" s="146">
        <v>45474</v>
      </c>
      <c r="BD237" s="146">
        <v>45505</v>
      </c>
      <c r="BE237" s="146">
        <v>45536</v>
      </c>
      <c r="BF237" s="146">
        <v>45566</v>
      </c>
      <c r="BG237" s="146">
        <v>45597</v>
      </c>
      <c r="BH237" s="146">
        <v>45627</v>
      </c>
      <c r="BI237" s="146">
        <v>45658</v>
      </c>
      <c r="BJ237" s="146">
        <v>45689</v>
      </c>
      <c r="BK237" s="146"/>
      <c r="BL237" s="146"/>
      <c r="BM237" s="146"/>
      <c r="BN237" s="146"/>
      <c r="BO237" s="146"/>
      <c r="BP237" s="146"/>
      <c r="BQ237" s="146"/>
      <c r="BR237" s="146"/>
      <c r="BS237" s="146"/>
      <c r="BT237" s="146"/>
      <c r="BU237" s="146"/>
      <c r="BV237" s="146"/>
      <c r="BW237" s="146"/>
      <c r="BX237" s="147" t="s">
        <v>13</v>
      </c>
      <c r="BY237" s="5"/>
      <c r="BZ237" s="5"/>
      <c r="CA237" s="5"/>
    </row>
    <row r="238" spans="1:81" s="107" customFormat="1" ht="15.6" customHeight="1">
      <c r="A238" s="267">
        <v>17</v>
      </c>
      <c r="B238" s="241" t="s">
        <v>377</v>
      </c>
      <c r="C238" s="253" t="s">
        <v>92</v>
      </c>
      <c r="D238" s="253" t="s">
        <v>89</v>
      </c>
      <c r="E238" s="250" t="s">
        <v>150</v>
      </c>
      <c r="F238" s="250" t="s">
        <v>150</v>
      </c>
      <c r="G238" s="256">
        <f>'CONSOLIDADO ATIVO INATIVO NOVO'!J24</f>
        <v>45351</v>
      </c>
      <c r="H238" s="256">
        <f>'CONSOLIDADO ATIVO INATIVO NOVO'!K24</f>
        <v>0</v>
      </c>
      <c r="I238" s="106" t="s">
        <v>350</v>
      </c>
      <c r="J238" s="106"/>
      <c r="K238" s="106"/>
      <c r="L238" s="106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  <c r="BL238" s="105"/>
      <c r="BM238" s="105"/>
      <c r="BN238" s="105"/>
      <c r="BO238" s="105"/>
      <c r="BP238" s="105"/>
      <c r="BQ238" s="105"/>
      <c r="BR238" s="105"/>
      <c r="BS238" s="105"/>
      <c r="BT238" s="105"/>
      <c r="BU238" s="105"/>
      <c r="BV238" s="105"/>
      <c r="BW238" s="105"/>
      <c r="BX238" s="105"/>
      <c r="BY238" s="117"/>
      <c r="BZ238" s="117"/>
      <c r="CA238" s="117"/>
      <c r="CC238" s="118"/>
    </row>
    <row r="239" spans="1:81" s="107" customFormat="1" ht="15.75" customHeight="1">
      <c r="A239" s="268"/>
      <c r="B239" s="241"/>
      <c r="C239" s="254"/>
      <c r="D239" s="254"/>
      <c r="E239" s="251"/>
      <c r="F239" s="251"/>
      <c r="G239" s="254"/>
      <c r="H239" s="254"/>
      <c r="I239" s="106" t="s">
        <v>351</v>
      </c>
      <c r="J239" s="106"/>
      <c r="K239" s="106"/>
      <c r="L239" s="106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>
        <v>369.96</v>
      </c>
      <c r="AZ239" s="105">
        <v>1849.81</v>
      </c>
      <c r="BA239" s="105">
        <v>1849.81</v>
      </c>
      <c r="BB239" s="105">
        <v>1849.81</v>
      </c>
      <c r="BC239" s="105">
        <v>1849.81</v>
      </c>
      <c r="BD239" s="105">
        <v>1849.81</v>
      </c>
      <c r="BE239" s="105">
        <v>1849.81</v>
      </c>
      <c r="BF239" s="105">
        <v>1849.81</v>
      </c>
      <c r="BG239" s="105"/>
      <c r="BH239" s="105"/>
      <c r="BI239" s="105"/>
      <c r="BJ239" s="105"/>
      <c r="BK239" s="105"/>
      <c r="BL239" s="105"/>
      <c r="BM239" s="105"/>
      <c r="BN239" s="105"/>
      <c r="BO239" s="105"/>
      <c r="BP239" s="105"/>
      <c r="BQ239" s="105"/>
      <c r="BR239" s="105"/>
      <c r="BS239" s="105"/>
      <c r="BT239" s="105"/>
      <c r="BU239" s="105"/>
      <c r="BV239" s="105"/>
      <c r="BW239" s="105"/>
      <c r="BX239" s="105"/>
      <c r="BY239" s="117"/>
      <c r="BZ239" s="117"/>
      <c r="CA239" s="117"/>
      <c r="CC239" s="118"/>
    </row>
    <row r="240" spans="1:81" s="107" customFormat="1" ht="15.75" customHeight="1">
      <c r="A240" s="268"/>
      <c r="B240" s="241"/>
      <c r="C240" s="254"/>
      <c r="D240" s="254"/>
      <c r="E240" s="251"/>
      <c r="F240" s="251"/>
      <c r="G240" s="254"/>
      <c r="H240" s="254"/>
      <c r="I240" s="106" t="s">
        <v>371</v>
      </c>
      <c r="J240" s="106"/>
      <c r="K240" s="106"/>
      <c r="L240" s="106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  <c r="BL240" s="105"/>
      <c r="BM240" s="105"/>
      <c r="BN240" s="105"/>
      <c r="BO240" s="105"/>
      <c r="BP240" s="105"/>
      <c r="BQ240" s="105"/>
      <c r="BR240" s="105"/>
      <c r="BS240" s="105"/>
      <c r="BT240" s="105"/>
      <c r="BU240" s="105"/>
      <c r="BV240" s="105"/>
      <c r="BW240" s="105"/>
      <c r="BX240" s="105"/>
      <c r="BY240" s="117"/>
      <c r="BZ240" s="117"/>
      <c r="CA240" s="117"/>
      <c r="CC240" s="118"/>
    </row>
    <row r="241" spans="1:81" s="107" customFormat="1" ht="15.75" customHeight="1">
      <c r="A241" s="268"/>
      <c r="B241" s="241"/>
      <c r="C241" s="254"/>
      <c r="D241" s="254"/>
      <c r="E241" s="251"/>
      <c r="F241" s="251"/>
      <c r="G241" s="254"/>
      <c r="H241" s="254"/>
      <c r="I241" s="106" t="s">
        <v>353</v>
      </c>
      <c r="J241" s="106"/>
      <c r="K241" s="106"/>
      <c r="L241" s="106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  <c r="BL241" s="105"/>
      <c r="BM241" s="105"/>
      <c r="BN241" s="105"/>
      <c r="BO241" s="105"/>
      <c r="BP241" s="105"/>
      <c r="BQ241" s="105"/>
      <c r="BR241" s="105"/>
      <c r="BS241" s="105"/>
      <c r="BT241" s="105"/>
      <c r="BU241" s="105"/>
      <c r="BV241" s="105"/>
      <c r="BW241" s="105"/>
      <c r="BX241" s="105"/>
      <c r="BY241" s="117"/>
      <c r="BZ241" s="117"/>
      <c r="CA241" s="117"/>
      <c r="CC241" s="118"/>
    </row>
    <row r="242" spans="1:81" s="107" customFormat="1" ht="15.75" customHeight="1">
      <c r="A242" s="268"/>
      <c r="B242" s="241"/>
      <c r="C242" s="254"/>
      <c r="D242" s="254"/>
      <c r="E242" s="251"/>
      <c r="F242" s="251"/>
      <c r="G242" s="254"/>
      <c r="H242" s="254"/>
      <c r="I242" s="106" t="s">
        <v>354</v>
      </c>
      <c r="J242" s="106"/>
      <c r="K242" s="106"/>
      <c r="L242" s="106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/>
      <c r="BL242" s="105"/>
      <c r="BM242" s="105"/>
      <c r="BN242" s="105"/>
      <c r="BO242" s="105"/>
      <c r="BP242" s="105"/>
      <c r="BQ242" s="105"/>
      <c r="BR242" s="105"/>
      <c r="BS242" s="105"/>
      <c r="BT242" s="105"/>
      <c r="BU242" s="105"/>
      <c r="BV242" s="105"/>
      <c r="BW242" s="105"/>
      <c r="BX242" s="105"/>
      <c r="BY242" s="117"/>
      <c r="BZ242" s="117"/>
      <c r="CA242" s="117"/>
      <c r="CC242" s="118"/>
    </row>
    <row r="243" spans="1:81" s="107" customFormat="1" ht="15.75" customHeight="1">
      <c r="A243" s="268"/>
      <c r="B243" s="241"/>
      <c r="C243" s="254"/>
      <c r="D243" s="254"/>
      <c r="E243" s="251"/>
      <c r="F243" s="251"/>
      <c r="G243" s="254"/>
      <c r="H243" s="254"/>
      <c r="I243" s="106" t="s">
        <v>355</v>
      </c>
      <c r="J243" s="106"/>
      <c r="K243" s="106"/>
      <c r="L243" s="106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/>
      <c r="BL243" s="105"/>
      <c r="BM243" s="105"/>
      <c r="BN243" s="105"/>
      <c r="BO243" s="105"/>
      <c r="BP243" s="105"/>
      <c r="BQ243" s="105"/>
      <c r="BR243" s="105"/>
      <c r="BS243" s="105"/>
      <c r="BT243" s="105"/>
      <c r="BU243" s="105"/>
      <c r="BV243" s="105"/>
      <c r="BW243" s="105"/>
      <c r="BX243" s="105"/>
      <c r="BY243" s="117"/>
      <c r="BZ243" s="117"/>
      <c r="CA243" s="117"/>
      <c r="CC243" s="118"/>
    </row>
    <row r="244" spans="1:81" s="107" customFormat="1" ht="15.75" customHeight="1">
      <c r="A244" s="268"/>
      <c r="B244" s="241"/>
      <c r="C244" s="254"/>
      <c r="D244" s="254"/>
      <c r="E244" s="251"/>
      <c r="F244" s="251"/>
      <c r="G244" s="254"/>
      <c r="H244" s="254"/>
      <c r="I244" s="106" t="s">
        <v>356</v>
      </c>
      <c r="J244" s="106"/>
      <c r="K244" s="106"/>
      <c r="L244" s="106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  <c r="BL244" s="105"/>
      <c r="BM244" s="105"/>
      <c r="BN244" s="105"/>
      <c r="BO244" s="105"/>
      <c r="BP244" s="105"/>
      <c r="BQ244" s="105"/>
      <c r="BR244" s="105"/>
      <c r="BS244" s="105"/>
      <c r="BT244" s="105"/>
      <c r="BU244" s="105"/>
      <c r="BV244" s="105"/>
      <c r="BW244" s="105"/>
      <c r="BX244" s="105"/>
      <c r="BY244" s="117"/>
      <c r="BZ244" s="117"/>
      <c r="CA244" s="117"/>
      <c r="CC244" s="118"/>
    </row>
    <row r="245" spans="1:81" s="107" customFormat="1" ht="15.75" customHeight="1">
      <c r="A245" s="268"/>
      <c r="B245" s="241"/>
      <c r="C245" s="254"/>
      <c r="D245" s="254"/>
      <c r="E245" s="251"/>
      <c r="F245" s="251"/>
      <c r="G245" s="254"/>
      <c r="H245" s="254"/>
      <c r="I245" s="106" t="s">
        <v>357</v>
      </c>
      <c r="J245" s="106"/>
      <c r="K245" s="106"/>
      <c r="L245" s="106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>
        <v>122.2</v>
      </c>
      <c r="AZ245" s="105">
        <v>534.01</v>
      </c>
      <c r="BA245" s="105">
        <v>535.23</v>
      </c>
      <c r="BB245" s="105">
        <v>520.29</v>
      </c>
      <c r="BC245" s="105">
        <v>546.51</v>
      </c>
      <c r="BD245" s="105">
        <v>502.51</v>
      </c>
      <c r="BE245" s="105">
        <v>467.01</v>
      </c>
      <c r="BF245" s="105">
        <v>488.08</v>
      </c>
      <c r="BG245" s="105">
        <v>469.01</v>
      </c>
      <c r="BH245" s="105"/>
      <c r="BI245" s="105"/>
      <c r="BJ245" s="105"/>
      <c r="BK245" s="105"/>
      <c r="BL245" s="105"/>
      <c r="BM245" s="105"/>
      <c r="BN245" s="105"/>
      <c r="BO245" s="105"/>
      <c r="BP245" s="105"/>
      <c r="BQ245" s="105"/>
      <c r="BR245" s="105"/>
      <c r="BS245" s="105"/>
      <c r="BT245" s="105"/>
      <c r="BU245" s="105"/>
      <c r="BV245" s="105"/>
      <c r="BW245" s="105"/>
      <c r="BX245" s="105"/>
      <c r="BY245" s="117"/>
      <c r="BZ245" s="117"/>
      <c r="CA245" s="117"/>
      <c r="CC245" s="118"/>
    </row>
    <row r="246" spans="1:81" s="107" customFormat="1" ht="15.75" customHeight="1">
      <c r="A246" s="268"/>
      <c r="B246" s="241"/>
      <c r="C246" s="254"/>
      <c r="D246" s="254"/>
      <c r="E246" s="251"/>
      <c r="F246" s="251"/>
      <c r="G246" s="254"/>
      <c r="H246" s="254"/>
      <c r="I246" s="131" t="s">
        <v>362</v>
      </c>
      <c r="J246" s="131"/>
      <c r="K246" s="131"/>
      <c r="L246" s="131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>
        <v>5657.1</v>
      </c>
      <c r="BH246" s="105"/>
      <c r="BI246" s="105"/>
      <c r="BJ246" s="105"/>
      <c r="BK246" s="105"/>
      <c r="BL246" s="105"/>
      <c r="BM246" s="105"/>
      <c r="BN246" s="105"/>
      <c r="BO246" s="105"/>
      <c r="BP246" s="105"/>
      <c r="BQ246" s="105"/>
      <c r="BR246" s="105"/>
      <c r="BS246" s="105"/>
      <c r="BT246" s="105"/>
      <c r="BU246" s="105"/>
      <c r="BV246" s="105"/>
      <c r="BW246" s="105"/>
      <c r="BX246" s="105"/>
      <c r="BY246" s="117"/>
      <c r="BZ246" s="117"/>
      <c r="CA246" s="117"/>
      <c r="CC246" s="118"/>
    </row>
    <row r="247" spans="1:81" s="107" customFormat="1" ht="15.75" customHeight="1">
      <c r="A247" s="268"/>
      <c r="B247" s="241"/>
      <c r="C247" s="254"/>
      <c r="D247" s="254"/>
      <c r="E247" s="251"/>
      <c r="F247" s="251"/>
      <c r="G247" s="254"/>
      <c r="H247" s="254"/>
      <c r="I247" s="132" t="s">
        <v>363</v>
      </c>
      <c r="J247" s="132"/>
      <c r="K247" s="132"/>
      <c r="L247" s="132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/>
      <c r="BL247" s="105"/>
      <c r="BM247" s="105"/>
      <c r="BN247" s="105"/>
      <c r="BO247" s="105"/>
      <c r="BP247" s="105"/>
      <c r="BQ247" s="105"/>
      <c r="BR247" s="105"/>
      <c r="BS247" s="105"/>
      <c r="BT247" s="105"/>
      <c r="BU247" s="105"/>
      <c r="BV247" s="105"/>
      <c r="BW247" s="105"/>
      <c r="BX247" s="105"/>
      <c r="BY247" s="117"/>
      <c r="BZ247" s="117"/>
      <c r="CA247" s="117"/>
      <c r="CC247" s="118"/>
    </row>
    <row r="248" spans="1:81" s="107" customFormat="1" ht="15.75" customHeight="1">
      <c r="A248" s="268"/>
      <c r="B248" s="241"/>
      <c r="C248" s="254"/>
      <c r="D248" s="254"/>
      <c r="E248" s="251"/>
      <c r="F248" s="251"/>
      <c r="G248" s="254"/>
      <c r="H248" s="254"/>
      <c r="I248" s="133" t="s">
        <v>364</v>
      </c>
      <c r="J248" s="133"/>
      <c r="K248" s="133"/>
      <c r="L248" s="133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>
        <f>27.74+27.75</f>
        <v>55.489999999999995</v>
      </c>
      <c r="AZ248" s="105">
        <v>145.30000000000001</v>
      </c>
      <c r="BA248" s="105">
        <v>145.30000000000001</v>
      </c>
      <c r="BB248" s="105">
        <v>145.30000000000001</v>
      </c>
      <c r="BC248" s="105">
        <v>145.30000000000001</v>
      </c>
      <c r="BD248" s="105">
        <v>201.41</v>
      </c>
      <c r="BE248" s="105">
        <v>257.52</v>
      </c>
      <c r="BF248" s="105">
        <v>145.30000000000001</v>
      </c>
      <c r="BG248" s="105"/>
      <c r="BH248" s="105"/>
      <c r="BI248" s="105"/>
      <c r="BJ248" s="105"/>
      <c r="BK248" s="105"/>
      <c r="BL248" s="105"/>
      <c r="BM248" s="105"/>
      <c r="BN248" s="105"/>
      <c r="BO248" s="105"/>
      <c r="BP248" s="105"/>
      <c r="BQ248" s="105"/>
      <c r="BR248" s="105"/>
      <c r="BS248" s="105"/>
      <c r="BT248" s="105"/>
      <c r="BU248" s="105"/>
      <c r="BV248" s="105"/>
      <c r="BW248" s="105"/>
      <c r="BX248" s="105"/>
      <c r="BY248" s="117"/>
      <c r="BZ248" s="117"/>
      <c r="CA248" s="117"/>
      <c r="CC248" s="118"/>
    </row>
    <row r="249" spans="1:81" s="107" customFormat="1" ht="15.75" customHeight="1">
      <c r="A249" s="269"/>
      <c r="B249" s="241"/>
      <c r="C249" s="255"/>
      <c r="D249" s="255"/>
      <c r="E249" s="252"/>
      <c r="F249" s="252"/>
      <c r="G249" s="255"/>
      <c r="H249" s="255"/>
      <c r="I249" s="130"/>
      <c r="J249" s="105">
        <f>SUM(J238:J247)-J248</f>
        <v>0</v>
      </c>
      <c r="K249" s="105">
        <f t="shared" ref="K249:AC249" si="101">SUM(K238:K247)-K248</f>
        <v>0</v>
      </c>
      <c r="L249" s="105">
        <f t="shared" si="101"/>
        <v>0</v>
      </c>
      <c r="M249" s="105">
        <f t="shared" si="101"/>
        <v>0</v>
      </c>
      <c r="N249" s="105">
        <f t="shared" si="101"/>
        <v>0</v>
      </c>
      <c r="O249" s="105">
        <f t="shared" si="101"/>
        <v>0</v>
      </c>
      <c r="P249" s="105">
        <f t="shared" si="101"/>
        <v>0</v>
      </c>
      <c r="Q249" s="105">
        <f t="shared" si="101"/>
        <v>0</v>
      </c>
      <c r="R249" s="105">
        <f t="shared" si="101"/>
        <v>0</v>
      </c>
      <c r="S249" s="105">
        <f t="shared" si="101"/>
        <v>0</v>
      </c>
      <c r="T249" s="105">
        <f t="shared" si="101"/>
        <v>0</v>
      </c>
      <c r="U249" s="105">
        <f t="shared" si="101"/>
        <v>0</v>
      </c>
      <c r="V249" s="105">
        <f t="shared" si="101"/>
        <v>0</v>
      </c>
      <c r="W249" s="105">
        <f t="shared" si="101"/>
        <v>0</v>
      </c>
      <c r="X249" s="105">
        <f t="shared" si="101"/>
        <v>0</v>
      </c>
      <c r="Y249" s="105">
        <f t="shared" si="101"/>
        <v>0</v>
      </c>
      <c r="Z249" s="105">
        <f t="shared" si="101"/>
        <v>0</v>
      </c>
      <c r="AA249" s="105">
        <f t="shared" si="101"/>
        <v>0</v>
      </c>
      <c r="AB249" s="105">
        <f t="shared" si="101"/>
        <v>0</v>
      </c>
      <c r="AC249" s="105">
        <f t="shared" si="101"/>
        <v>0</v>
      </c>
      <c r="AD249" s="105">
        <f>SUM(AD238:AD247)-AD248</f>
        <v>0</v>
      </c>
      <c r="AE249" s="105">
        <f>SUM(AE238:AE247)-AE248</f>
        <v>0</v>
      </c>
      <c r="AF249" s="105">
        <f>SUM(AF238:AF247)-AF248</f>
        <v>0</v>
      </c>
      <c r="AG249" s="105">
        <f t="shared" ref="AG249" si="102">SUM(AG238:AG247)-AG248</f>
        <v>0</v>
      </c>
      <c r="AH249" s="105">
        <f t="shared" ref="AH249" si="103">SUM(AH238:AH247)-AH248</f>
        <v>0</v>
      </c>
      <c r="AI249" s="105">
        <f>SUM(AI238:AI247)-AI248</f>
        <v>0</v>
      </c>
      <c r="AJ249" s="105">
        <f t="shared" ref="AJ249:AP249" si="104">SUM(AJ238:AJ247)-AJ248</f>
        <v>0</v>
      </c>
      <c r="AK249" s="105">
        <f t="shared" si="104"/>
        <v>0</v>
      </c>
      <c r="AL249" s="105">
        <f t="shared" si="104"/>
        <v>0</v>
      </c>
      <c r="AM249" s="105">
        <f t="shared" si="104"/>
        <v>0</v>
      </c>
      <c r="AN249" s="105">
        <f t="shared" si="104"/>
        <v>0</v>
      </c>
      <c r="AO249" s="105">
        <f t="shared" si="104"/>
        <v>0</v>
      </c>
      <c r="AP249" s="105">
        <f t="shared" si="104"/>
        <v>0</v>
      </c>
      <c r="AQ249" s="105">
        <f t="shared" ref="AQ249:AT249" si="105">SUM(AQ238:AQ247)-AQ248</f>
        <v>0</v>
      </c>
      <c r="AR249" s="105">
        <f t="shared" si="105"/>
        <v>0</v>
      </c>
      <c r="AS249" s="105">
        <f t="shared" si="105"/>
        <v>0</v>
      </c>
      <c r="AT249" s="105">
        <f t="shared" si="105"/>
        <v>0</v>
      </c>
      <c r="AU249" s="105">
        <f>SUM(AU238:AU247)-AU248</f>
        <v>0</v>
      </c>
      <c r="AV249" s="105">
        <f t="shared" ref="AV249:AY249" si="106">SUM(AV238:AV247)-AV248</f>
        <v>0</v>
      </c>
      <c r="AW249" s="105">
        <f t="shared" si="106"/>
        <v>0</v>
      </c>
      <c r="AX249" s="105">
        <f t="shared" si="106"/>
        <v>0</v>
      </c>
      <c r="AY249" s="105">
        <f t="shared" si="106"/>
        <v>436.66999999999996</v>
      </c>
      <c r="AZ249" s="105">
        <f t="shared" ref="AZ249" si="107">SUM(AZ238:AZ247)-AZ248</f>
        <v>2238.5199999999995</v>
      </c>
      <c r="BA249" s="105">
        <f t="shared" ref="BA249:BE249" si="108">SUM(BA238:BA247)-BA248</f>
        <v>2239.7399999999998</v>
      </c>
      <c r="BB249" s="105">
        <f t="shared" si="108"/>
        <v>2224.7999999999997</v>
      </c>
      <c r="BC249" s="105">
        <f t="shared" si="108"/>
        <v>2251.0199999999995</v>
      </c>
      <c r="BD249" s="105">
        <f t="shared" si="108"/>
        <v>2150.91</v>
      </c>
      <c r="BE249" s="105">
        <f t="shared" si="108"/>
        <v>2059.2999999999997</v>
      </c>
      <c r="BF249" s="105">
        <f>SUM(BF239+BF245)-BF248</f>
        <v>2192.5899999999997</v>
      </c>
      <c r="BG249" s="105">
        <f>BG246+BG245</f>
        <v>6126.1100000000006</v>
      </c>
      <c r="BH249" s="105"/>
      <c r="BI249" s="105"/>
      <c r="BJ249" s="105"/>
      <c r="BK249" s="105"/>
      <c r="BL249" s="105"/>
      <c r="BM249" s="105"/>
      <c r="BN249" s="105"/>
      <c r="BO249" s="105"/>
      <c r="BP249" s="105"/>
      <c r="BQ249" s="105"/>
      <c r="BR249" s="105"/>
      <c r="BS249" s="105"/>
      <c r="BT249" s="105"/>
      <c r="BU249" s="105"/>
      <c r="BV249" s="105"/>
      <c r="BW249" s="105"/>
      <c r="BX249" s="105">
        <f>SUM(J249:BG249)</f>
        <v>21919.66</v>
      </c>
      <c r="BY249" s="117"/>
      <c r="BZ249" s="117"/>
      <c r="CA249" s="117"/>
      <c r="CC249" s="118"/>
    </row>
    <row r="250" spans="1:81" ht="15.6" customHeight="1">
      <c r="A250" s="148" t="s">
        <v>346</v>
      </c>
      <c r="B250" s="148" t="s">
        <v>347</v>
      </c>
      <c r="C250" s="145" t="s">
        <v>310</v>
      </c>
      <c r="D250" s="145" t="s">
        <v>311</v>
      </c>
      <c r="E250" s="148" t="s">
        <v>312</v>
      </c>
      <c r="F250" s="148" t="s">
        <v>348</v>
      </c>
      <c r="G250" s="145" t="s">
        <v>314</v>
      </c>
      <c r="H250" s="145" t="s">
        <v>315</v>
      </c>
      <c r="I250" s="145" t="s">
        <v>349</v>
      </c>
      <c r="J250" s="146">
        <v>44105</v>
      </c>
      <c r="K250" s="146">
        <v>44136</v>
      </c>
      <c r="L250" s="146">
        <v>44166</v>
      </c>
      <c r="M250" s="146">
        <v>44197</v>
      </c>
      <c r="N250" s="146">
        <v>44228</v>
      </c>
      <c r="O250" s="146">
        <v>44256</v>
      </c>
      <c r="P250" s="146">
        <v>44287</v>
      </c>
      <c r="Q250" s="146">
        <v>44317</v>
      </c>
      <c r="R250" s="146">
        <v>44348</v>
      </c>
      <c r="S250" s="146">
        <v>44378</v>
      </c>
      <c r="T250" s="146">
        <v>44409</v>
      </c>
      <c r="U250" s="146">
        <v>44440</v>
      </c>
      <c r="V250" s="146">
        <v>44470</v>
      </c>
      <c r="W250" s="146">
        <v>44501</v>
      </c>
      <c r="X250" s="146">
        <v>44531</v>
      </c>
      <c r="Y250" s="146">
        <v>44562</v>
      </c>
      <c r="Z250" s="146">
        <v>44593</v>
      </c>
      <c r="AA250" s="146">
        <v>44621</v>
      </c>
      <c r="AB250" s="146">
        <v>44652</v>
      </c>
      <c r="AC250" s="146">
        <v>44682</v>
      </c>
      <c r="AD250" s="146">
        <v>44713</v>
      </c>
      <c r="AE250" s="146">
        <v>44743</v>
      </c>
      <c r="AF250" s="146">
        <v>44774</v>
      </c>
      <c r="AG250" s="146">
        <v>44805</v>
      </c>
      <c r="AH250" s="146">
        <v>44835</v>
      </c>
      <c r="AI250" s="146">
        <v>44866</v>
      </c>
      <c r="AJ250" s="146">
        <v>44896</v>
      </c>
      <c r="AK250" s="146">
        <v>44927</v>
      </c>
      <c r="AL250" s="146">
        <v>44958</v>
      </c>
      <c r="AM250" s="146">
        <v>44986</v>
      </c>
      <c r="AN250" s="146">
        <v>45017</v>
      </c>
      <c r="AO250" s="146">
        <v>45047</v>
      </c>
      <c r="AP250" s="146">
        <v>45078</v>
      </c>
      <c r="AQ250" s="146">
        <v>45108</v>
      </c>
      <c r="AR250" s="146">
        <v>45139</v>
      </c>
      <c r="AS250" s="146">
        <v>45170</v>
      </c>
      <c r="AT250" s="146">
        <v>45200</v>
      </c>
      <c r="AU250" s="146">
        <v>45231</v>
      </c>
      <c r="AV250" s="146">
        <v>45261</v>
      </c>
      <c r="AW250" s="146">
        <v>45292</v>
      </c>
      <c r="AX250" s="146">
        <v>45323</v>
      </c>
      <c r="AY250" s="146">
        <v>45352</v>
      </c>
      <c r="AZ250" s="146">
        <v>45383</v>
      </c>
      <c r="BA250" s="146">
        <v>45413</v>
      </c>
      <c r="BB250" s="146">
        <v>45444</v>
      </c>
      <c r="BC250" s="146">
        <v>45474</v>
      </c>
      <c r="BD250" s="146">
        <v>45505</v>
      </c>
      <c r="BE250" s="146">
        <v>45536</v>
      </c>
      <c r="BF250" s="146">
        <v>45566</v>
      </c>
      <c r="BG250" s="146">
        <v>45597</v>
      </c>
      <c r="BH250" s="146">
        <v>45627</v>
      </c>
      <c r="BI250" s="146">
        <v>45658</v>
      </c>
      <c r="BJ250" s="146">
        <v>45689</v>
      </c>
      <c r="BK250" s="146"/>
      <c r="BL250" s="146"/>
      <c r="BM250" s="146"/>
      <c r="BN250" s="146"/>
      <c r="BO250" s="146"/>
      <c r="BP250" s="146"/>
      <c r="BQ250" s="146"/>
      <c r="BR250" s="146"/>
      <c r="BS250" s="146"/>
      <c r="BT250" s="146"/>
      <c r="BU250" s="146"/>
      <c r="BV250" s="146"/>
      <c r="BW250" s="146"/>
      <c r="BX250" s="147" t="s">
        <v>13</v>
      </c>
      <c r="BY250" s="5"/>
      <c r="BZ250" s="5"/>
      <c r="CA250" s="5"/>
    </row>
    <row r="251" spans="1:81" ht="15.6" customHeight="1">
      <c r="A251" s="264">
        <v>18</v>
      </c>
      <c r="B251" s="241" t="s">
        <v>378</v>
      </c>
      <c r="C251" s="250" t="s">
        <v>92</v>
      </c>
      <c r="D251" s="250" t="s">
        <v>121</v>
      </c>
      <c r="E251" s="250" t="s">
        <v>367</v>
      </c>
      <c r="F251" s="250" t="s">
        <v>367</v>
      </c>
      <c r="G251" s="271">
        <f>'CONSOLIDADO ATIVO INATIVO NOVO'!J32</f>
        <v>45481</v>
      </c>
      <c r="H251" s="271">
        <v>45672</v>
      </c>
      <c r="I251" s="21" t="s">
        <v>350</v>
      </c>
      <c r="J251" s="21"/>
      <c r="K251" s="21"/>
      <c r="L251" s="21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105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1"/>
      <c r="BZ251" s="1"/>
      <c r="CA251" s="1"/>
      <c r="CC251" s="6"/>
    </row>
    <row r="252" spans="1:81" ht="15.75" customHeight="1">
      <c r="A252" s="265"/>
      <c r="B252" s="241"/>
      <c r="C252" s="251"/>
      <c r="D252" s="251"/>
      <c r="E252" s="251"/>
      <c r="F252" s="251"/>
      <c r="G252" s="251"/>
      <c r="H252" s="251"/>
      <c r="I252" s="21" t="s">
        <v>351</v>
      </c>
      <c r="J252" s="21"/>
      <c r="K252" s="21"/>
      <c r="L252" s="21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105"/>
      <c r="BC252" s="3"/>
      <c r="BD252" s="3">
        <v>1619.29</v>
      </c>
      <c r="BE252" s="3">
        <v>1619.29</v>
      </c>
      <c r="BF252" s="3">
        <v>1619.29</v>
      </c>
      <c r="BG252" s="3">
        <v>1619.29</v>
      </c>
      <c r="BH252" s="3">
        <v>1619.29</v>
      </c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1"/>
      <c r="BZ252" s="1"/>
      <c r="CA252" s="1"/>
      <c r="CC252" s="6"/>
    </row>
    <row r="253" spans="1:81" ht="15.75" customHeight="1">
      <c r="A253" s="265"/>
      <c r="B253" s="241"/>
      <c r="C253" s="251"/>
      <c r="D253" s="251"/>
      <c r="E253" s="251"/>
      <c r="F253" s="251"/>
      <c r="G253" s="251"/>
      <c r="H253" s="251"/>
      <c r="I253" s="21" t="s">
        <v>371</v>
      </c>
      <c r="J253" s="21"/>
      <c r="K253" s="21"/>
      <c r="L253" s="21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105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1"/>
      <c r="BZ253" s="1"/>
      <c r="CA253" s="1"/>
      <c r="CC253" s="6"/>
    </row>
    <row r="254" spans="1:81" ht="15.75" customHeight="1">
      <c r="A254" s="265"/>
      <c r="B254" s="241"/>
      <c r="C254" s="251"/>
      <c r="D254" s="251"/>
      <c r="E254" s="251"/>
      <c r="F254" s="251"/>
      <c r="G254" s="251"/>
      <c r="H254" s="251"/>
      <c r="I254" s="21" t="s">
        <v>353</v>
      </c>
      <c r="J254" s="21"/>
      <c r="K254" s="21"/>
      <c r="L254" s="21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105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1"/>
      <c r="BZ254" s="1"/>
      <c r="CA254" s="1"/>
      <c r="CC254" s="6"/>
    </row>
    <row r="255" spans="1:81" ht="15.75" customHeight="1">
      <c r="A255" s="265"/>
      <c r="B255" s="241"/>
      <c r="C255" s="251"/>
      <c r="D255" s="251"/>
      <c r="E255" s="251"/>
      <c r="F255" s="251"/>
      <c r="G255" s="251"/>
      <c r="H255" s="251"/>
      <c r="I255" s="21" t="s">
        <v>354</v>
      </c>
      <c r="J255" s="21"/>
      <c r="K255" s="21"/>
      <c r="L255" s="21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105"/>
      <c r="BC255" s="3"/>
      <c r="BD255" s="3"/>
      <c r="BE255" s="3"/>
      <c r="BF255" s="3">
        <f>4.57+22.85</f>
        <v>27.42</v>
      </c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1"/>
      <c r="BZ255" s="1"/>
      <c r="CA255" s="1"/>
      <c r="CC255" s="6"/>
    </row>
    <row r="256" spans="1:81" ht="15.75" customHeight="1">
      <c r="A256" s="265"/>
      <c r="B256" s="241"/>
      <c r="C256" s="251"/>
      <c r="D256" s="251"/>
      <c r="E256" s="251"/>
      <c r="F256" s="251"/>
      <c r="G256" s="251"/>
      <c r="H256" s="251"/>
      <c r="I256" s="21" t="s">
        <v>355</v>
      </c>
      <c r="J256" s="21"/>
      <c r="K256" s="21"/>
      <c r="L256" s="21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105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1"/>
      <c r="BZ256" s="1"/>
      <c r="CA256" s="1"/>
      <c r="CC256" s="6"/>
    </row>
    <row r="257" spans="1:81" ht="15.75" customHeight="1">
      <c r="A257" s="265"/>
      <c r="B257" s="241"/>
      <c r="C257" s="251"/>
      <c r="D257" s="251"/>
      <c r="E257" s="251"/>
      <c r="F257" s="251"/>
      <c r="G257" s="251"/>
      <c r="H257" s="251"/>
      <c r="I257" s="21" t="s">
        <v>356</v>
      </c>
      <c r="J257" s="21"/>
      <c r="K257" s="21"/>
      <c r="L257" s="21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105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1"/>
      <c r="BZ257" s="1"/>
      <c r="CA257" s="1"/>
      <c r="CC257" s="6"/>
    </row>
    <row r="258" spans="1:81" ht="15.75" customHeight="1">
      <c r="A258" s="265"/>
      <c r="B258" s="241"/>
      <c r="C258" s="251"/>
      <c r="D258" s="251"/>
      <c r="E258" s="251"/>
      <c r="F258" s="251"/>
      <c r="G258" s="251"/>
      <c r="H258" s="251"/>
      <c r="I258" s="21" t="s">
        <v>359</v>
      </c>
      <c r="J258" s="21"/>
      <c r="K258" s="21"/>
      <c r="L258" s="21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105"/>
      <c r="BC258" s="3"/>
      <c r="BD258" s="3"/>
      <c r="BE258" s="3"/>
      <c r="BF258" s="3"/>
      <c r="BG258" s="3">
        <v>500</v>
      </c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1"/>
      <c r="BZ258" s="1"/>
      <c r="CA258" s="1"/>
      <c r="CC258" s="6"/>
    </row>
    <row r="259" spans="1:81" ht="15.75" customHeight="1">
      <c r="A259" s="265"/>
      <c r="B259" s="241"/>
      <c r="C259" s="251"/>
      <c r="D259" s="251"/>
      <c r="E259" s="251"/>
      <c r="F259" s="251"/>
      <c r="G259" s="251"/>
      <c r="H259" s="251"/>
      <c r="I259" s="21" t="s">
        <v>357</v>
      </c>
      <c r="J259" s="21"/>
      <c r="K259" s="21"/>
      <c r="L259" s="21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105"/>
      <c r="BC259" s="3"/>
      <c r="BD259" s="3">
        <v>722.01</v>
      </c>
      <c r="BE259" s="3">
        <v>776</v>
      </c>
      <c r="BF259" s="3">
        <v>814</v>
      </c>
      <c r="BG259" s="3">
        <v>776.05</v>
      </c>
      <c r="BH259" s="3">
        <v>814</v>
      </c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1"/>
      <c r="BZ259" s="1"/>
      <c r="CA259" s="1"/>
      <c r="CC259" s="6"/>
    </row>
    <row r="260" spans="1:81" ht="15.75" customHeight="1">
      <c r="A260" s="265"/>
      <c r="B260" s="241"/>
      <c r="C260" s="251"/>
      <c r="D260" s="251"/>
      <c r="E260" s="251"/>
      <c r="F260" s="251"/>
      <c r="G260" s="251"/>
      <c r="H260" s="251"/>
      <c r="I260" s="23" t="s">
        <v>362</v>
      </c>
      <c r="J260" s="23"/>
      <c r="K260" s="23"/>
      <c r="L260" s="2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105"/>
      <c r="BC260" s="3"/>
      <c r="BD260" s="3"/>
      <c r="BE260" s="3"/>
      <c r="BF260" s="3"/>
      <c r="BG260" s="3"/>
      <c r="BH260" s="3"/>
      <c r="BI260" s="3">
        <v>3257.87</v>
      </c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1"/>
      <c r="BZ260" s="1"/>
      <c r="CA260" s="1"/>
      <c r="CC260" s="6"/>
    </row>
    <row r="261" spans="1:81" ht="15.75" customHeight="1">
      <c r="A261" s="265"/>
      <c r="B261" s="241"/>
      <c r="C261" s="251"/>
      <c r="D261" s="251"/>
      <c r="E261" s="251"/>
      <c r="F261" s="251"/>
      <c r="G261" s="251"/>
      <c r="H261" s="251"/>
      <c r="I261" s="22" t="s">
        <v>363</v>
      </c>
      <c r="J261" s="22"/>
      <c r="K261" s="22"/>
      <c r="L261" s="2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105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1"/>
      <c r="BZ261" s="1"/>
      <c r="CA261" s="1"/>
      <c r="CC261" s="6"/>
    </row>
    <row r="262" spans="1:81" ht="15.75" customHeight="1">
      <c r="A262" s="265"/>
      <c r="B262" s="241"/>
      <c r="C262" s="251"/>
      <c r="D262" s="251"/>
      <c r="E262" s="251"/>
      <c r="F262" s="251"/>
      <c r="G262" s="251"/>
      <c r="H262" s="251"/>
      <c r="I262" s="44" t="s">
        <v>364</v>
      </c>
      <c r="J262" s="44"/>
      <c r="K262" s="44"/>
      <c r="L262" s="4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105"/>
      <c r="BC262" s="3"/>
      <c r="BD262" s="3">
        <v>124.55</v>
      </c>
      <c r="BE262" s="3">
        <v>124.55</v>
      </c>
      <c r="BF262" s="3">
        <v>127.02</v>
      </c>
      <c r="BG262" s="3">
        <v>124.55</v>
      </c>
      <c r="BH262" s="3">
        <v>124.55</v>
      </c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1"/>
      <c r="BZ262" s="1"/>
      <c r="CA262" s="1"/>
      <c r="CC262" s="6"/>
    </row>
    <row r="263" spans="1:81" ht="15.75" customHeight="1">
      <c r="A263" s="266"/>
      <c r="B263" s="241"/>
      <c r="C263" s="252"/>
      <c r="D263" s="252"/>
      <c r="E263" s="252"/>
      <c r="F263" s="252"/>
      <c r="G263" s="252"/>
      <c r="H263" s="252"/>
      <c r="I263" s="52"/>
      <c r="J263" s="3">
        <f>SUM(J251:J261)-J262</f>
        <v>0</v>
      </c>
      <c r="K263" s="3">
        <f t="shared" ref="K263:AC263" si="109">SUM(K251:K261)-K262</f>
        <v>0</v>
      </c>
      <c r="L263" s="3">
        <f t="shared" si="109"/>
        <v>0</v>
      </c>
      <c r="M263" s="3">
        <f t="shared" si="109"/>
        <v>0</v>
      </c>
      <c r="N263" s="3">
        <f t="shared" si="109"/>
        <v>0</v>
      </c>
      <c r="O263" s="3">
        <f t="shared" si="109"/>
        <v>0</v>
      </c>
      <c r="P263" s="3">
        <f t="shared" si="109"/>
        <v>0</v>
      </c>
      <c r="Q263" s="3">
        <f t="shared" si="109"/>
        <v>0</v>
      </c>
      <c r="R263" s="3">
        <f t="shared" si="109"/>
        <v>0</v>
      </c>
      <c r="S263" s="3">
        <f t="shared" si="109"/>
        <v>0</v>
      </c>
      <c r="T263" s="3">
        <f t="shared" si="109"/>
        <v>0</v>
      </c>
      <c r="U263" s="3">
        <f t="shared" si="109"/>
        <v>0</v>
      </c>
      <c r="V263" s="3">
        <f t="shared" si="109"/>
        <v>0</v>
      </c>
      <c r="W263" s="3">
        <f t="shared" si="109"/>
        <v>0</v>
      </c>
      <c r="X263" s="3">
        <f t="shared" si="109"/>
        <v>0</v>
      </c>
      <c r="Y263" s="3">
        <f t="shared" si="109"/>
        <v>0</v>
      </c>
      <c r="Z263" s="3">
        <f t="shared" si="109"/>
        <v>0</v>
      </c>
      <c r="AA263" s="3">
        <f t="shared" si="109"/>
        <v>0</v>
      </c>
      <c r="AB263" s="3">
        <f t="shared" si="109"/>
        <v>0</v>
      </c>
      <c r="AC263" s="3">
        <f t="shared" si="109"/>
        <v>0</v>
      </c>
      <c r="AD263" s="3">
        <f>SUM(AD251:AD261)-AD262</f>
        <v>0</v>
      </c>
      <c r="AE263" s="3">
        <f>SUM(AE251:AE261)-AE262</f>
        <v>0</v>
      </c>
      <c r="AF263" s="3">
        <f>SUM(AF251:AF261)-AF262</f>
        <v>0</v>
      </c>
      <c r="AG263" s="3">
        <f t="shared" ref="AG263" si="110">SUM(AG251:AG261)-AG262</f>
        <v>0</v>
      </c>
      <c r="AH263" s="3">
        <f t="shared" ref="AH263" si="111">SUM(AH251:AH261)-AH262</f>
        <v>0</v>
      </c>
      <c r="AI263" s="3">
        <f>SUM(AI251:AI261)-AI262</f>
        <v>0</v>
      </c>
      <c r="AJ263" s="3">
        <f t="shared" ref="AJ263:AP263" si="112">SUM(AJ251:AJ261)-AJ262</f>
        <v>0</v>
      </c>
      <c r="AK263" s="3">
        <f t="shared" si="112"/>
        <v>0</v>
      </c>
      <c r="AL263" s="3">
        <f t="shared" si="112"/>
        <v>0</v>
      </c>
      <c r="AM263" s="3">
        <f t="shared" si="112"/>
        <v>0</v>
      </c>
      <c r="AN263" s="3">
        <f t="shared" si="112"/>
        <v>0</v>
      </c>
      <c r="AO263" s="3">
        <f t="shared" si="112"/>
        <v>0</v>
      </c>
      <c r="AP263" s="3">
        <f t="shared" si="112"/>
        <v>0</v>
      </c>
      <c r="AQ263" s="3">
        <f t="shared" ref="AQ263:AT263" si="113">SUM(AQ251:AQ261)-AQ262</f>
        <v>0</v>
      </c>
      <c r="AR263" s="3">
        <f t="shared" si="113"/>
        <v>0</v>
      </c>
      <c r="AS263" s="3">
        <f t="shared" si="113"/>
        <v>0</v>
      </c>
      <c r="AT263" s="3">
        <f t="shared" si="113"/>
        <v>0</v>
      </c>
      <c r="AU263" s="3">
        <f>SUM(AU251:AU261)-AU262</f>
        <v>0</v>
      </c>
      <c r="AV263" s="3">
        <f t="shared" ref="AV263:AX263" si="114">SUM(AV251:AV261)-AV262</f>
        <v>0</v>
      </c>
      <c r="AW263" s="3">
        <f t="shared" si="114"/>
        <v>0</v>
      </c>
      <c r="AX263" s="3">
        <f t="shared" si="114"/>
        <v>0</v>
      </c>
      <c r="AY263" s="3"/>
      <c r="AZ263" s="3"/>
      <c r="BA263" s="3"/>
      <c r="BB263" s="105"/>
      <c r="BC263" s="3"/>
      <c r="BD263" s="3">
        <f>SUM(BD251:BD261)-BD262</f>
        <v>2216.75</v>
      </c>
      <c r="BE263" s="3">
        <f>SUM(BE251:BE261)-BE262</f>
        <v>2270.7399999999998</v>
      </c>
      <c r="BF263" s="3">
        <f>BF252+BF255+BF259-BF262</f>
        <v>2333.69</v>
      </c>
      <c r="BG263" s="3">
        <f>BG252+BG255+BG259+BG258-BG262</f>
        <v>2770.79</v>
      </c>
      <c r="BH263" s="3">
        <f>BH252+BH255+BH259+BH258-BH262</f>
        <v>2308.7399999999998</v>
      </c>
      <c r="BI263" s="3">
        <f>BI260</f>
        <v>3257.87</v>
      </c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>
        <f>SUM(J263:BJ263)</f>
        <v>15158.580000000002</v>
      </c>
      <c r="BY263" s="1"/>
      <c r="BZ263" s="1"/>
      <c r="CA263" s="1"/>
      <c r="CC263" s="6"/>
    </row>
    <row r="264" spans="1:81" ht="15.6" customHeight="1">
      <c r="A264" s="148" t="s">
        <v>346</v>
      </c>
      <c r="B264" s="148" t="s">
        <v>347</v>
      </c>
      <c r="C264" s="145" t="s">
        <v>310</v>
      </c>
      <c r="D264" s="145" t="s">
        <v>311</v>
      </c>
      <c r="E264" s="148" t="s">
        <v>312</v>
      </c>
      <c r="F264" s="148" t="s">
        <v>348</v>
      </c>
      <c r="G264" s="145" t="s">
        <v>314</v>
      </c>
      <c r="H264" s="145" t="s">
        <v>315</v>
      </c>
      <c r="I264" s="145" t="s">
        <v>349</v>
      </c>
      <c r="J264" s="146">
        <v>44105</v>
      </c>
      <c r="K264" s="146">
        <v>44136</v>
      </c>
      <c r="L264" s="146">
        <v>44166</v>
      </c>
      <c r="M264" s="146">
        <v>44197</v>
      </c>
      <c r="N264" s="146">
        <v>44228</v>
      </c>
      <c r="O264" s="146">
        <v>44256</v>
      </c>
      <c r="P264" s="146">
        <v>44287</v>
      </c>
      <c r="Q264" s="146">
        <v>44317</v>
      </c>
      <c r="R264" s="146">
        <v>44348</v>
      </c>
      <c r="S264" s="146">
        <v>44378</v>
      </c>
      <c r="T264" s="146">
        <v>44409</v>
      </c>
      <c r="U264" s="146">
        <v>44440</v>
      </c>
      <c r="V264" s="146">
        <v>44470</v>
      </c>
      <c r="W264" s="146">
        <v>44501</v>
      </c>
      <c r="X264" s="146">
        <v>44531</v>
      </c>
      <c r="Y264" s="146">
        <v>44562</v>
      </c>
      <c r="Z264" s="146">
        <v>44593</v>
      </c>
      <c r="AA264" s="146">
        <v>44621</v>
      </c>
      <c r="AB264" s="146">
        <v>44652</v>
      </c>
      <c r="AC264" s="146">
        <v>44682</v>
      </c>
      <c r="AD264" s="146">
        <v>44713</v>
      </c>
      <c r="AE264" s="146">
        <v>44743</v>
      </c>
      <c r="AF264" s="146">
        <v>44774</v>
      </c>
      <c r="AG264" s="146">
        <v>44805</v>
      </c>
      <c r="AH264" s="146">
        <v>44835</v>
      </c>
      <c r="AI264" s="146">
        <v>44866</v>
      </c>
      <c r="AJ264" s="146">
        <v>44896</v>
      </c>
      <c r="AK264" s="146">
        <v>44927</v>
      </c>
      <c r="AL264" s="146">
        <v>44958</v>
      </c>
      <c r="AM264" s="146">
        <v>44986</v>
      </c>
      <c r="AN264" s="146">
        <v>45017</v>
      </c>
      <c r="AO264" s="146">
        <v>45047</v>
      </c>
      <c r="AP264" s="146">
        <v>45078</v>
      </c>
      <c r="AQ264" s="146">
        <v>45108</v>
      </c>
      <c r="AR264" s="146">
        <v>45139</v>
      </c>
      <c r="AS264" s="146">
        <v>45170</v>
      </c>
      <c r="AT264" s="146">
        <v>45200</v>
      </c>
      <c r="AU264" s="146">
        <v>45231</v>
      </c>
      <c r="AV264" s="146">
        <v>45261</v>
      </c>
      <c r="AW264" s="146">
        <v>45292</v>
      </c>
      <c r="AX264" s="146">
        <v>45323</v>
      </c>
      <c r="AY264" s="146">
        <v>45352</v>
      </c>
      <c r="AZ264" s="146">
        <v>45383</v>
      </c>
      <c r="BA264" s="146">
        <v>45413</v>
      </c>
      <c r="BB264" s="146">
        <v>45444</v>
      </c>
      <c r="BC264" s="146">
        <v>45474</v>
      </c>
      <c r="BD264" s="146">
        <v>45505</v>
      </c>
      <c r="BE264" s="146">
        <v>45536</v>
      </c>
      <c r="BF264" s="146">
        <v>45566</v>
      </c>
      <c r="BG264" s="146">
        <v>45597</v>
      </c>
      <c r="BH264" s="146">
        <v>45627</v>
      </c>
      <c r="BI264" s="146">
        <v>45658</v>
      </c>
      <c r="BJ264" s="146">
        <v>45689</v>
      </c>
      <c r="BK264" s="146"/>
      <c r="BL264" s="146"/>
      <c r="BM264" s="146"/>
      <c r="BN264" s="146"/>
      <c r="BO264" s="146"/>
      <c r="BP264" s="146"/>
      <c r="BQ264" s="146"/>
      <c r="BR264" s="146"/>
      <c r="BS264" s="146"/>
      <c r="BT264" s="146"/>
      <c r="BU264" s="146"/>
      <c r="BV264" s="146"/>
      <c r="BW264" s="146"/>
      <c r="BX264" s="147" t="s">
        <v>13</v>
      </c>
      <c r="BY264" s="5"/>
      <c r="BZ264" s="5"/>
      <c r="CA264" s="5"/>
    </row>
    <row r="265" spans="1:81" ht="15.75" customHeight="1">
      <c r="A265" s="264">
        <v>19</v>
      </c>
      <c r="B265" s="241" t="s">
        <v>379</v>
      </c>
      <c r="C265" s="253" t="s">
        <v>92</v>
      </c>
      <c r="D265" s="253" t="s">
        <v>89</v>
      </c>
      <c r="E265" s="250" t="s">
        <v>150</v>
      </c>
      <c r="F265" s="250" t="s">
        <v>150</v>
      </c>
      <c r="G265" s="256">
        <f>'CONSOLIDADO ATIVO INATIVO NOVO'!J22</f>
        <v>45313</v>
      </c>
      <c r="H265" s="256">
        <f>'CONSOLIDADO ATIVO INATIVO NOVO'!K22</f>
        <v>0</v>
      </c>
      <c r="I265" s="21" t="s">
        <v>350</v>
      </c>
      <c r="J265" s="12">
        <v>188.6</v>
      </c>
      <c r="K265" s="12"/>
      <c r="L265" s="2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105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CA265" s="1"/>
      <c r="CC265" s="6"/>
    </row>
    <row r="266" spans="1:81" ht="15.75" customHeight="1">
      <c r="A266" s="265"/>
      <c r="B266" s="241"/>
      <c r="C266" s="254"/>
      <c r="D266" s="254"/>
      <c r="E266" s="251"/>
      <c r="F266" s="251"/>
      <c r="G266" s="254"/>
      <c r="H266" s="254"/>
      <c r="I266" s="21" t="s">
        <v>351</v>
      </c>
      <c r="J266" s="21"/>
      <c r="K266" s="12">
        <v>1364.23</v>
      </c>
      <c r="L266" s="12">
        <v>1461.67</v>
      </c>
      <c r="M266" s="12">
        <v>1512.94</v>
      </c>
      <c r="N266" s="3">
        <v>1512.94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12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105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CA266" s="1"/>
      <c r="CC266" s="6"/>
    </row>
    <row r="267" spans="1:81" ht="15.75" customHeight="1">
      <c r="A267" s="265"/>
      <c r="B267" s="241"/>
      <c r="C267" s="254"/>
      <c r="D267" s="254"/>
      <c r="E267" s="251"/>
      <c r="F267" s="251"/>
      <c r="G267" s="254"/>
      <c r="H267" s="254"/>
      <c r="I267" s="21" t="s">
        <v>371</v>
      </c>
      <c r="J267" s="12">
        <v>250</v>
      </c>
      <c r="K267" s="12"/>
      <c r="L267" s="12">
        <v>480</v>
      </c>
      <c r="M267" s="12"/>
      <c r="N267" s="3">
        <v>200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12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105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CA267" s="1"/>
      <c r="CC267" s="6"/>
    </row>
    <row r="268" spans="1:81" ht="15.75" customHeight="1">
      <c r="A268" s="265"/>
      <c r="B268" s="241"/>
      <c r="C268" s="254"/>
      <c r="D268" s="254"/>
      <c r="E268" s="251"/>
      <c r="F268" s="251"/>
      <c r="G268" s="254"/>
      <c r="H268" s="254"/>
      <c r="I268" s="21" t="s">
        <v>353</v>
      </c>
      <c r="J268" s="21"/>
      <c r="K268" s="12"/>
      <c r="L268" s="12"/>
      <c r="M268" s="12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105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CA268" s="1"/>
      <c r="CC268" s="6"/>
    </row>
    <row r="269" spans="1:81" ht="15.75" customHeight="1">
      <c r="A269" s="265"/>
      <c r="B269" s="241"/>
      <c r="C269" s="254"/>
      <c r="D269" s="254"/>
      <c r="E269" s="251"/>
      <c r="F269" s="251"/>
      <c r="G269" s="254"/>
      <c r="H269" s="254"/>
      <c r="I269" s="21" t="s">
        <v>354</v>
      </c>
      <c r="J269" s="21"/>
      <c r="K269" s="12"/>
      <c r="L269" s="12"/>
      <c r="M269" s="12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105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CA269" s="1"/>
      <c r="CC269" s="6"/>
    </row>
    <row r="270" spans="1:81" ht="15.75" customHeight="1">
      <c r="A270" s="265"/>
      <c r="B270" s="241"/>
      <c r="C270" s="254"/>
      <c r="D270" s="254"/>
      <c r="E270" s="251"/>
      <c r="F270" s="251"/>
      <c r="G270" s="254"/>
      <c r="H270" s="254"/>
      <c r="I270" s="21" t="s">
        <v>355</v>
      </c>
      <c r="J270" s="21"/>
      <c r="K270" s="12"/>
      <c r="L270" s="12"/>
      <c r="M270" s="12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105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CA270" s="1"/>
      <c r="CC270" s="6"/>
    </row>
    <row r="271" spans="1:81">
      <c r="A271" s="265"/>
      <c r="B271" s="241"/>
      <c r="C271" s="254"/>
      <c r="D271" s="254"/>
      <c r="E271" s="251"/>
      <c r="F271" s="251"/>
      <c r="G271" s="254"/>
      <c r="H271" s="254"/>
      <c r="I271" s="21" t="s">
        <v>356</v>
      </c>
      <c r="J271" s="12">
        <v>39.200000000000003</v>
      </c>
      <c r="K271" s="12">
        <v>186.2</v>
      </c>
      <c r="L271" s="12">
        <f>186.2</f>
        <v>186.2</v>
      </c>
      <c r="M271" s="12">
        <v>196</v>
      </c>
      <c r="N271" s="3">
        <v>225.4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105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CA271" s="1"/>
      <c r="CC271" s="6"/>
    </row>
    <row r="272" spans="1:81" ht="15.75" customHeight="1">
      <c r="A272" s="265"/>
      <c r="B272" s="241"/>
      <c r="C272" s="254"/>
      <c r="D272" s="254"/>
      <c r="E272" s="251"/>
      <c r="F272" s="251"/>
      <c r="G272" s="254"/>
      <c r="H272" s="254"/>
      <c r="I272" s="23" t="s">
        <v>362</v>
      </c>
      <c r="J272" s="23"/>
      <c r="K272" s="23"/>
      <c r="L272" s="14"/>
      <c r="M272" s="12"/>
      <c r="N272" s="3"/>
      <c r="O272" s="3">
        <v>2782.8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105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CA272" s="1"/>
      <c r="CC272" s="6"/>
    </row>
    <row r="273" spans="1:81" ht="15.75" customHeight="1">
      <c r="A273" s="265"/>
      <c r="B273" s="241"/>
      <c r="C273" s="254"/>
      <c r="D273" s="254"/>
      <c r="E273" s="251"/>
      <c r="F273" s="251"/>
      <c r="G273" s="254"/>
      <c r="H273" s="254"/>
      <c r="I273" s="22" t="s">
        <v>363</v>
      </c>
      <c r="J273" s="22"/>
      <c r="K273" s="14">
        <v>121.81</v>
      </c>
      <c r="L273" s="12">
        <v>121.81</v>
      </c>
      <c r="M273" s="12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105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CA273" s="1"/>
      <c r="CC273" s="6"/>
    </row>
    <row r="274" spans="1:81" ht="15.75" customHeight="1">
      <c r="A274" s="265"/>
      <c r="B274" s="241"/>
      <c r="C274" s="254"/>
      <c r="D274" s="254"/>
      <c r="E274" s="251"/>
      <c r="F274" s="251"/>
      <c r="G274" s="254"/>
      <c r="H274" s="254"/>
      <c r="I274" s="22" t="s">
        <v>371</v>
      </c>
      <c r="J274" s="22"/>
      <c r="K274" s="14"/>
      <c r="L274" s="12"/>
      <c r="M274" s="12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105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CA274" s="1"/>
      <c r="CC274" s="6"/>
    </row>
    <row r="275" spans="1:81" ht="15.75" customHeight="1">
      <c r="A275" s="265"/>
      <c r="B275" s="241"/>
      <c r="C275" s="254"/>
      <c r="D275" s="254"/>
      <c r="E275" s="251"/>
      <c r="F275" s="251"/>
      <c r="G275" s="254"/>
      <c r="H275" s="254"/>
      <c r="I275" s="44" t="s">
        <v>373</v>
      </c>
      <c r="J275" s="44"/>
      <c r="K275" s="45">
        <f>107.1+250</f>
        <v>357.1</v>
      </c>
      <c r="L275" s="45">
        <f>115.87+480</f>
        <v>595.87</v>
      </c>
      <c r="M275" s="3">
        <v>115.05</v>
      </c>
      <c r="N275" s="3">
        <f>115.05+200</f>
        <v>315.05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105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1"/>
      <c r="BZ275" s="1"/>
      <c r="CA275" s="1"/>
      <c r="CC275" s="6"/>
    </row>
    <row r="276" spans="1:81" ht="15.75" customHeight="1">
      <c r="A276" s="266"/>
      <c r="B276" s="241"/>
      <c r="C276" s="255"/>
      <c r="D276" s="255"/>
      <c r="E276" s="252"/>
      <c r="F276" s="252"/>
      <c r="G276" s="255"/>
      <c r="H276" s="255"/>
      <c r="I276" s="52"/>
      <c r="J276" s="3">
        <f>SUM(J265:J274)-J275</f>
        <v>477.8</v>
      </c>
      <c r="K276" s="3">
        <f t="shared" ref="K276:AE276" si="115">SUM(K265:K274)-K275</f>
        <v>1315.1399999999999</v>
      </c>
      <c r="L276" s="3">
        <f t="shared" si="115"/>
        <v>1653.81</v>
      </c>
      <c r="M276" s="3">
        <f t="shared" si="115"/>
        <v>1593.89</v>
      </c>
      <c r="N276" s="3">
        <f t="shared" si="115"/>
        <v>1623.2900000000002</v>
      </c>
      <c r="O276" s="3">
        <f t="shared" si="115"/>
        <v>2782.8</v>
      </c>
      <c r="P276" s="3">
        <f t="shared" si="115"/>
        <v>0</v>
      </c>
      <c r="Q276" s="3">
        <f t="shared" si="115"/>
        <v>0</v>
      </c>
      <c r="R276" s="3">
        <f t="shared" si="115"/>
        <v>0</v>
      </c>
      <c r="S276" s="3">
        <f t="shared" si="115"/>
        <v>0</v>
      </c>
      <c r="T276" s="3">
        <f t="shared" si="115"/>
        <v>0</v>
      </c>
      <c r="U276" s="3">
        <f t="shared" si="115"/>
        <v>0</v>
      </c>
      <c r="V276" s="3">
        <f t="shared" si="115"/>
        <v>0</v>
      </c>
      <c r="W276" s="3">
        <f t="shared" si="115"/>
        <v>0</v>
      </c>
      <c r="X276" s="3">
        <f t="shared" si="115"/>
        <v>0</v>
      </c>
      <c r="Y276" s="3">
        <f t="shared" si="115"/>
        <v>0</v>
      </c>
      <c r="Z276" s="3">
        <f t="shared" si="115"/>
        <v>0</v>
      </c>
      <c r="AA276" s="3">
        <f t="shared" si="115"/>
        <v>0</v>
      </c>
      <c r="AB276" s="3">
        <f t="shared" si="115"/>
        <v>0</v>
      </c>
      <c r="AC276" s="3">
        <f t="shared" si="115"/>
        <v>0</v>
      </c>
      <c r="AD276" s="3">
        <f t="shared" si="115"/>
        <v>0</v>
      </c>
      <c r="AE276" s="3">
        <f t="shared" si="115"/>
        <v>0</v>
      </c>
      <c r="AF276" s="3">
        <f>SUM(AF265:AF274)-AF275</f>
        <v>0</v>
      </c>
      <c r="AG276" s="3">
        <f t="shared" ref="AG276:AP276" si="116">SUM(AG265:AG274)-AG275</f>
        <v>0</v>
      </c>
      <c r="AH276" s="3">
        <f t="shared" si="116"/>
        <v>0</v>
      </c>
      <c r="AI276" s="3">
        <f t="shared" si="116"/>
        <v>0</v>
      </c>
      <c r="AJ276" s="3">
        <f t="shared" si="116"/>
        <v>0</v>
      </c>
      <c r="AK276" s="3">
        <f t="shared" si="116"/>
        <v>0</v>
      </c>
      <c r="AL276" s="3">
        <f t="shared" si="116"/>
        <v>0</v>
      </c>
      <c r="AM276" s="3">
        <f t="shared" si="116"/>
        <v>0</v>
      </c>
      <c r="AN276" s="3">
        <f t="shared" si="116"/>
        <v>0</v>
      </c>
      <c r="AO276" s="3">
        <f t="shared" si="116"/>
        <v>0</v>
      </c>
      <c r="AP276" s="3">
        <f t="shared" si="116"/>
        <v>0</v>
      </c>
      <c r="AQ276" s="3">
        <f t="shared" ref="AQ276:AT276" si="117">SUM(AQ265:AQ274)-AQ275</f>
        <v>0</v>
      </c>
      <c r="AR276" s="3">
        <f t="shared" si="117"/>
        <v>0</v>
      </c>
      <c r="AS276" s="3">
        <f t="shared" si="117"/>
        <v>0</v>
      </c>
      <c r="AT276" s="3">
        <f t="shared" si="117"/>
        <v>0</v>
      </c>
      <c r="AU276" s="3">
        <f>SUM(AU265:AU274)-AU275</f>
        <v>0</v>
      </c>
      <c r="AV276" s="3">
        <f t="shared" ref="AV276:AY276" si="118">SUM(AV265:AV274)-AV275</f>
        <v>0</v>
      </c>
      <c r="AW276" s="3">
        <f t="shared" si="118"/>
        <v>0</v>
      </c>
      <c r="AX276" s="3">
        <f t="shared" si="118"/>
        <v>0</v>
      </c>
      <c r="AY276" s="3">
        <f t="shared" si="118"/>
        <v>0</v>
      </c>
      <c r="AZ276" s="3"/>
      <c r="BA276" s="3"/>
      <c r="BB276" s="105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105">
        <f>SUM(J276:BD276)</f>
        <v>9446.73</v>
      </c>
      <c r="BY276" s="1"/>
      <c r="BZ276" s="1"/>
      <c r="CA276" s="1"/>
      <c r="CC276" s="6"/>
    </row>
    <row r="277" spans="1:81" ht="15.6" customHeight="1">
      <c r="A277" s="148" t="s">
        <v>346</v>
      </c>
      <c r="B277" s="148" t="s">
        <v>347</v>
      </c>
      <c r="C277" s="145" t="s">
        <v>310</v>
      </c>
      <c r="D277" s="145" t="s">
        <v>311</v>
      </c>
      <c r="E277" s="148" t="s">
        <v>312</v>
      </c>
      <c r="F277" s="148" t="s">
        <v>348</v>
      </c>
      <c r="G277" s="145" t="s">
        <v>314</v>
      </c>
      <c r="H277" s="145" t="s">
        <v>315</v>
      </c>
      <c r="I277" s="145" t="s">
        <v>349</v>
      </c>
      <c r="J277" s="146">
        <v>44105</v>
      </c>
      <c r="K277" s="146">
        <v>44136</v>
      </c>
      <c r="L277" s="146">
        <v>44166</v>
      </c>
      <c r="M277" s="146">
        <v>44197</v>
      </c>
      <c r="N277" s="146">
        <v>44228</v>
      </c>
      <c r="O277" s="146">
        <v>44256</v>
      </c>
      <c r="P277" s="146">
        <v>44287</v>
      </c>
      <c r="Q277" s="146">
        <v>44317</v>
      </c>
      <c r="R277" s="146">
        <v>44348</v>
      </c>
      <c r="S277" s="146">
        <v>44378</v>
      </c>
      <c r="T277" s="146">
        <v>44409</v>
      </c>
      <c r="U277" s="146">
        <v>44440</v>
      </c>
      <c r="V277" s="146">
        <v>44470</v>
      </c>
      <c r="W277" s="146">
        <v>44501</v>
      </c>
      <c r="X277" s="146">
        <v>44531</v>
      </c>
      <c r="Y277" s="146">
        <v>44562</v>
      </c>
      <c r="Z277" s="146">
        <v>44593</v>
      </c>
      <c r="AA277" s="146">
        <v>44621</v>
      </c>
      <c r="AB277" s="146">
        <v>44652</v>
      </c>
      <c r="AC277" s="146">
        <v>44682</v>
      </c>
      <c r="AD277" s="146">
        <v>44713</v>
      </c>
      <c r="AE277" s="146">
        <v>44743</v>
      </c>
      <c r="AF277" s="146">
        <v>44774</v>
      </c>
      <c r="AG277" s="146">
        <v>44805</v>
      </c>
      <c r="AH277" s="146">
        <v>44835</v>
      </c>
      <c r="AI277" s="146">
        <v>44866</v>
      </c>
      <c r="AJ277" s="146">
        <v>44896</v>
      </c>
      <c r="AK277" s="146">
        <v>44927</v>
      </c>
      <c r="AL277" s="146">
        <v>44958</v>
      </c>
      <c r="AM277" s="146">
        <v>44986</v>
      </c>
      <c r="AN277" s="146">
        <v>45017</v>
      </c>
      <c r="AO277" s="146">
        <v>45047</v>
      </c>
      <c r="AP277" s="146">
        <v>45078</v>
      </c>
      <c r="AQ277" s="146">
        <v>45108</v>
      </c>
      <c r="AR277" s="146">
        <v>45139</v>
      </c>
      <c r="AS277" s="146">
        <v>45170</v>
      </c>
      <c r="AT277" s="146">
        <v>45200</v>
      </c>
      <c r="AU277" s="146">
        <v>45231</v>
      </c>
      <c r="AV277" s="146">
        <v>45261</v>
      </c>
      <c r="AW277" s="146">
        <v>45292</v>
      </c>
      <c r="AX277" s="146">
        <v>45323</v>
      </c>
      <c r="AY277" s="146">
        <v>45352</v>
      </c>
      <c r="AZ277" s="146">
        <v>45383</v>
      </c>
      <c r="BA277" s="146">
        <v>45413</v>
      </c>
      <c r="BB277" s="146">
        <v>45444</v>
      </c>
      <c r="BC277" s="146">
        <v>45474</v>
      </c>
      <c r="BD277" s="146">
        <v>45505</v>
      </c>
      <c r="BE277" s="146">
        <v>45536</v>
      </c>
      <c r="BF277" s="146">
        <v>45566</v>
      </c>
      <c r="BG277" s="146">
        <v>45597</v>
      </c>
      <c r="BH277" s="146">
        <v>45627</v>
      </c>
      <c r="BI277" s="146">
        <v>45658</v>
      </c>
      <c r="BJ277" s="146">
        <v>45689</v>
      </c>
      <c r="BK277" s="146">
        <v>45717</v>
      </c>
      <c r="BL277" s="146"/>
      <c r="BM277" s="146"/>
      <c r="BN277" s="146"/>
      <c r="BO277" s="146"/>
      <c r="BP277" s="146"/>
      <c r="BQ277" s="146"/>
      <c r="BR277" s="146"/>
      <c r="BS277" s="146"/>
      <c r="BT277" s="146"/>
      <c r="BU277" s="146"/>
      <c r="BV277" s="146"/>
      <c r="BW277" s="146"/>
      <c r="BX277" s="147" t="s">
        <v>13</v>
      </c>
      <c r="BY277" s="5"/>
      <c r="BZ277" s="5"/>
      <c r="CA277" s="5"/>
    </row>
    <row r="278" spans="1:81" ht="15.75" customHeight="1">
      <c r="A278" s="264">
        <v>20</v>
      </c>
      <c r="B278" s="241" t="s">
        <v>77</v>
      </c>
      <c r="C278" s="250" t="s">
        <v>23</v>
      </c>
      <c r="D278" s="250" t="s">
        <v>89</v>
      </c>
      <c r="E278" s="250" t="s">
        <v>150</v>
      </c>
      <c r="F278" s="250" t="s">
        <v>150</v>
      </c>
      <c r="G278" s="271">
        <f>'CONSOLIDADO ATIVO INATIVO NOVO'!J23</f>
        <v>44516</v>
      </c>
      <c r="H278" s="271">
        <v>45747</v>
      </c>
      <c r="I278" s="21" t="s">
        <v>350</v>
      </c>
      <c r="J278" s="21"/>
      <c r="K278" s="21"/>
      <c r="L278" s="21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105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1"/>
      <c r="BZ278" s="1"/>
      <c r="CA278" s="1"/>
      <c r="CC278" s="6"/>
    </row>
    <row r="279" spans="1:81" ht="15.75" customHeight="1">
      <c r="A279" s="265"/>
      <c r="B279" s="241"/>
      <c r="C279" s="251"/>
      <c r="D279" s="251"/>
      <c r="E279" s="251"/>
      <c r="F279" s="251"/>
      <c r="G279" s="251"/>
      <c r="H279" s="251"/>
      <c r="I279" s="21" t="s">
        <v>351</v>
      </c>
      <c r="J279" s="21"/>
      <c r="K279" s="21"/>
      <c r="L279" s="21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>
        <v>683.53</v>
      </c>
      <c r="AI279" s="3">
        <v>1708.83</v>
      </c>
      <c r="AJ279" s="3">
        <v>1708.83</v>
      </c>
      <c r="AK279" s="3">
        <v>1708.83</v>
      </c>
      <c r="AL279" s="3">
        <v>1708.83</v>
      </c>
      <c r="AM279" s="3">
        <v>1708.83</v>
      </c>
      <c r="AN279" s="3">
        <v>1708.83</v>
      </c>
      <c r="AO279" s="3">
        <v>1708.83</v>
      </c>
      <c r="AP279" s="3">
        <v>1708.83</v>
      </c>
      <c r="AQ279" s="3">
        <v>1708.83</v>
      </c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105"/>
      <c r="BC279" s="3"/>
      <c r="BD279" s="3"/>
      <c r="BE279" s="3"/>
      <c r="BF279" s="3">
        <v>974.25</v>
      </c>
      <c r="BG279" s="3">
        <v>1849.81</v>
      </c>
      <c r="BH279" s="3">
        <v>1849.81</v>
      </c>
      <c r="BI279" s="3">
        <v>1849.81</v>
      </c>
      <c r="BJ279" s="3">
        <v>1849.81</v>
      </c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1"/>
      <c r="BZ279" s="1"/>
      <c r="CA279" s="1"/>
      <c r="CC279" s="6"/>
    </row>
    <row r="280" spans="1:81" ht="15.75" customHeight="1">
      <c r="A280" s="265"/>
      <c r="B280" s="241"/>
      <c r="C280" s="251"/>
      <c r="D280" s="251"/>
      <c r="E280" s="251"/>
      <c r="F280" s="251"/>
      <c r="G280" s="251"/>
      <c r="H280" s="251"/>
      <c r="I280" s="21" t="s">
        <v>371</v>
      </c>
      <c r="J280" s="21"/>
      <c r="K280" s="21"/>
      <c r="L280" s="21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105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1"/>
      <c r="BZ280" s="1"/>
      <c r="CA280" s="1"/>
      <c r="CC280" s="6"/>
    </row>
    <row r="281" spans="1:81" ht="15.75" customHeight="1">
      <c r="A281" s="265"/>
      <c r="B281" s="241"/>
      <c r="C281" s="251"/>
      <c r="D281" s="251"/>
      <c r="E281" s="251"/>
      <c r="F281" s="251"/>
      <c r="G281" s="251"/>
      <c r="H281" s="251"/>
      <c r="I281" s="21" t="s">
        <v>353</v>
      </c>
      <c r="J281" s="21"/>
      <c r="K281" s="21"/>
      <c r="L281" s="21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105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1"/>
      <c r="BZ281" s="1"/>
      <c r="CA281" s="1"/>
      <c r="CC281" s="6"/>
    </row>
    <row r="282" spans="1:81" ht="15.75" customHeight="1">
      <c r="A282" s="265"/>
      <c r="B282" s="241"/>
      <c r="C282" s="251"/>
      <c r="D282" s="251"/>
      <c r="E282" s="251"/>
      <c r="F282" s="251"/>
      <c r="G282" s="251"/>
      <c r="H282" s="251"/>
      <c r="I282" s="21" t="s">
        <v>354</v>
      </c>
      <c r="J282" s="21"/>
      <c r="K282" s="21"/>
      <c r="L282" s="21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>
        <f>0.37+0.06</f>
        <v>0.43</v>
      </c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105"/>
      <c r="BC282" s="3"/>
      <c r="BD282" s="3"/>
      <c r="BE282" s="3"/>
      <c r="BF282" s="3">
        <f>6.58+42.76</f>
        <v>49.339999999999996</v>
      </c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1"/>
      <c r="BZ282" s="1"/>
      <c r="CA282" s="1"/>
      <c r="CC282" s="6"/>
    </row>
    <row r="283" spans="1:81" ht="15.75" customHeight="1">
      <c r="A283" s="265"/>
      <c r="B283" s="241"/>
      <c r="C283" s="251"/>
      <c r="D283" s="251"/>
      <c r="E283" s="251"/>
      <c r="F283" s="251"/>
      <c r="G283" s="251"/>
      <c r="H283" s="251"/>
      <c r="I283" s="21" t="s">
        <v>355</v>
      </c>
      <c r="J283" s="21"/>
      <c r="K283" s="21"/>
      <c r="L283" s="21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105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1"/>
      <c r="BZ283" s="1"/>
      <c r="CA283" s="1"/>
      <c r="CC283" s="6"/>
    </row>
    <row r="284" spans="1:81" ht="15.75" customHeight="1">
      <c r="A284" s="265"/>
      <c r="B284" s="241"/>
      <c r="C284" s="251"/>
      <c r="D284" s="251"/>
      <c r="E284" s="251"/>
      <c r="F284" s="251"/>
      <c r="G284" s="251"/>
      <c r="H284" s="251"/>
      <c r="I284" s="21" t="s">
        <v>356</v>
      </c>
      <c r="J284" s="21"/>
      <c r="K284" s="21"/>
      <c r="L284" s="21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105"/>
      <c r="BC284" s="3"/>
      <c r="BD284" s="3"/>
      <c r="BE284" s="3"/>
      <c r="BF284" s="3"/>
      <c r="BG284" s="3"/>
      <c r="BH284" s="3"/>
      <c r="BI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1"/>
      <c r="BZ284" s="1"/>
      <c r="CA284" s="1"/>
      <c r="CC284" s="6"/>
    </row>
    <row r="285" spans="1:81" ht="15.75" customHeight="1">
      <c r="A285" s="265"/>
      <c r="B285" s="241"/>
      <c r="C285" s="251"/>
      <c r="D285" s="251"/>
      <c r="E285" s="251"/>
      <c r="F285" s="251"/>
      <c r="G285" s="251"/>
      <c r="H285" s="251"/>
      <c r="I285" s="21" t="s">
        <v>357</v>
      </c>
      <c r="J285" s="21"/>
      <c r="K285" s="21"/>
      <c r="L285" s="21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>
        <f>172.51+77.4</f>
        <v>249.91</v>
      </c>
      <c r="AI285" s="3">
        <f>414.28+18.1</f>
        <v>432.38</v>
      </c>
      <c r="AJ285" s="3">
        <v>425.68</v>
      </c>
      <c r="AK285" s="3">
        <v>424.48</v>
      </c>
      <c r="AL285" s="3">
        <v>406.48</v>
      </c>
      <c r="AM285" s="3">
        <v>433.48</v>
      </c>
      <c r="AN285" s="3">
        <v>397.48</v>
      </c>
      <c r="AO285" s="3">
        <v>424.68</v>
      </c>
      <c r="AP285" s="3">
        <v>415.48</v>
      </c>
      <c r="AQ285" s="3">
        <v>424.5</v>
      </c>
      <c r="AR285" s="3">
        <v>433.51</v>
      </c>
      <c r="AS285" s="3"/>
      <c r="AT285" s="3"/>
      <c r="AU285" s="3"/>
      <c r="AV285" s="3"/>
      <c r="AW285" s="3"/>
      <c r="AX285" s="3"/>
      <c r="AY285" s="3"/>
      <c r="AZ285" s="3"/>
      <c r="BA285" s="3"/>
      <c r="BB285" s="105"/>
      <c r="BC285" s="3"/>
      <c r="BD285" s="3"/>
      <c r="BE285" s="3"/>
      <c r="BF285" s="3">
        <v>320.97000000000003</v>
      </c>
      <c r="BG285" s="3">
        <v>449.06</v>
      </c>
      <c r="BH285" s="3">
        <v>469.01</v>
      </c>
      <c r="BI285" s="3">
        <v>469.01</v>
      </c>
      <c r="BJ285" s="3">
        <v>560</v>
      </c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1"/>
      <c r="BZ285" s="1"/>
      <c r="CA285" s="1"/>
      <c r="CC285" s="6"/>
    </row>
    <row r="286" spans="1:81" ht="15.75" customHeight="1">
      <c r="A286" s="265"/>
      <c r="B286" s="241"/>
      <c r="C286" s="251"/>
      <c r="D286" s="251"/>
      <c r="E286" s="251"/>
      <c r="F286" s="251"/>
      <c r="G286" s="251"/>
      <c r="H286" s="251"/>
      <c r="I286" s="23" t="s">
        <v>362</v>
      </c>
      <c r="J286" s="23"/>
      <c r="K286" s="23"/>
      <c r="L286" s="2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>
        <v>2920.98</v>
      </c>
      <c r="AS286" s="3"/>
      <c r="AT286" s="3"/>
      <c r="AU286" s="3"/>
      <c r="AV286" s="3"/>
      <c r="AW286" s="3"/>
      <c r="AX286" s="3"/>
      <c r="AY286" s="3"/>
      <c r="AZ286" s="3"/>
      <c r="BA286" s="3"/>
      <c r="BB286" s="105"/>
      <c r="BC286" s="3"/>
      <c r="BD286" s="3"/>
      <c r="BE286" s="3"/>
      <c r="BF286" s="3"/>
      <c r="BG286" s="3"/>
      <c r="BH286" s="3"/>
      <c r="BI286" s="3"/>
      <c r="BJ286" s="3"/>
      <c r="BK286" s="3">
        <v>4120.51</v>
      </c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1"/>
      <c r="BZ286" s="1"/>
      <c r="CA286" s="1"/>
      <c r="CC286" s="6"/>
    </row>
    <row r="287" spans="1:81" ht="15.75" customHeight="1">
      <c r="A287" s="265"/>
      <c r="B287" s="241"/>
      <c r="C287" s="251"/>
      <c r="D287" s="251"/>
      <c r="E287" s="251"/>
      <c r="F287" s="251"/>
      <c r="G287" s="251"/>
      <c r="H287" s="251"/>
      <c r="I287" s="22" t="s">
        <v>363</v>
      </c>
      <c r="J287" s="22"/>
      <c r="K287" s="22"/>
      <c r="L287" s="2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>
        <v>71.2</v>
      </c>
      <c r="AJ287" s="3">
        <v>192.25</v>
      </c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105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1"/>
      <c r="BZ287" s="1"/>
      <c r="CA287" s="1"/>
      <c r="CC287" s="6"/>
    </row>
    <row r="288" spans="1:81" ht="15.75" customHeight="1">
      <c r="A288" s="265"/>
      <c r="B288" s="241"/>
      <c r="C288" s="251"/>
      <c r="D288" s="251"/>
      <c r="E288" s="251"/>
      <c r="F288" s="251"/>
      <c r="G288" s="251"/>
      <c r="H288" s="251"/>
      <c r="I288" s="44" t="s">
        <v>364</v>
      </c>
      <c r="J288" s="44"/>
      <c r="K288" s="44"/>
      <c r="L288" s="4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>
        <v>51.26</v>
      </c>
      <c r="AI288" s="3">
        <v>135.61000000000001</v>
      </c>
      <c r="AJ288" s="3">
        <v>135.65</v>
      </c>
      <c r="AK288" s="3">
        <v>134.26</v>
      </c>
      <c r="AL288" s="3">
        <v>134.26</v>
      </c>
      <c r="AM288" s="3">
        <v>134.26</v>
      </c>
      <c r="AN288" s="3">
        <v>134.26</v>
      </c>
      <c r="AO288" s="3">
        <v>133.99</v>
      </c>
      <c r="AP288" s="3">
        <v>133.99</v>
      </c>
      <c r="AQ288" s="3">
        <v>133.99</v>
      </c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105"/>
      <c r="BC288" s="3"/>
      <c r="BD288" s="3"/>
      <c r="BE288" s="3"/>
      <c r="BF288" s="3">
        <v>73.06</v>
      </c>
      <c r="BG288" s="3">
        <v>145.30000000000001</v>
      </c>
      <c r="BH288" s="3">
        <v>145.30000000000001</v>
      </c>
      <c r="BI288" s="3">
        <v>254.7</v>
      </c>
      <c r="BJ288" s="3">
        <v>254.7</v>
      </c>
      <c r="BK288" s="3">
        <v>340.54</v>
      </c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1"/>
      <c r="BZ288" s="1"/>
      <c r="CA288" s="1"/>
      <c r="CC288" s="6"/>
    </row>
    <row r="289" spans="1:81" ht="15.75" customHeight="1">
      <c r="A289" s="266"/>
      <c r="B289" s="241"/>
      <c r="C289" s="252"/>
      <c r="D289" s="252"/>
      <c r="E289" s="252"/>
      <c r="F289" s="252"/>
      <c r="G289" s="252"/>
      <c r="H289" s="252"/>
      <c r="I289" s="52"/>
      <c r="J289" s="3">
        <f>SUM(J278:J287)-J288</f>
        <v>0</v>
      </c>
      <c r="K289" s="3">
        <f t="shared" ref="K289:AC289" si="119">SUM(K278:K287)-K288</f>
        <v>0</v>
      </c>
      <c r="L289" s="3">
        <f t="shared" si="119"/>
        <v>0</v>
      </c>
      <c r="M289" s="3">
        <f t="shared" si="119"/>
        <v>0</v>
      </c>
      <c r="N289" s="3">
        <f t="shared" si="119"/>
        <v>0</v>
      </c>
      <c r="O289" s="3">
        <f t="shared" si="119"/>
        <v>0</v>
      </c>
      <c r="P289" s="3">
        <f t="shared" si="119"/>
        <v>0</v>
      </c>
      <c r="Q289" s="3">
        <f t="shared" si="119"/>
        <v>0</v>
      </c>
      <c r="R289" s="3">
        <f t="shared" si="119"/>
        <v>0</v>
      </c>
      <c r="S289" s="3">
        <f t="shared" si="119"/>
        <v>0</v>
      </c>
      <c r="T289" s="3">
        <f t="shared" si="119"/>
        <v>0</v>
      </c>
      <c r="U289" s="3">
        <f t="shared" si="119"/>
        <v>0</v>
      </c>
      <c r="V289" s="3">
        <f t="shared" si="119"/>
        <v>0</v>
      </c>
      <c r="W289" s="3">
        <f t="shared" si="119"/>
        <v>0</v>
      </c>
      <c r="X289" s="3">
        <f t="shared" si="119"/>
        <v>0</v>
      </c>
      <c r="Y289" s="3">
        <f t="shared" si="119"/>
        <v>0</v>
      </c>
      <c r="Z289" s="3">
        <f t="shared" si="119"/>
        <v>0</v>
      </c>
      <c r="AA289" s="3">
        <f t="shared" si="119"/>
        <v>0</v>
      </c>
      <c r="AB289" s="3">
        <f t="shared" si="119"/>
        <v>0</v>
      </c>
      <c r="AC289" s="3">
        <f t="shared" si="119"/>
        <v>0</v>
      </c>
      <c r="AD289" s="3">
        <f>SUM(AD278:AD287)-AD288</f>
        <v>0</v>
      </c>
      <c r="AE289" s="3">
        <f>SUM(AE278:AE287)-AE288</f>
        <v>0</v>
      </c>
      <c r="AF289" s="3">
        <f>SUM(AF278:AF287)-AF288</f>
        <v>0</v>
      </c>
      <c r="AG289" s="3">
        <f t="shared" ref="AG289" si="120">SUM(AG278:AG287)-AG288</f>
        <v>0</v>
      </c>
      <c r="AH289" s="3">
        <f t="shared" ref="AH289" si="121">SUM(AH278:AH287)-AH288</f>
        <v>882.18</v>
      </c>
      <c r="AI289" s="3">
        <f>SUM(AI278:AI287)-AI288</f>
        <v>2076.7999999999997</v>
      </c>
      <c r="AJ289" s="3">
        <f t="shared" ref="AJ289:AP289" si="122">SUM(AJ278:AJ287)-AJ288</f>
        <v>2191.54</v>
      </c>
      <c r="AK289" s="3">
        <f t="shared" si="122"/>
        <v>1999.05</v>
      </c>
      <c r="AL289" s="3">
        <f t="shared" si="122"/>
        <v>1981.05</v>
      </c>
      <c r="AM289" s="3">
        <f t="shared" si="122"/>
        <v>2008.05</v>
      </c>
      <c r="AN289" s="3">
        <f t="shared" si="122"/>
        <v>1972.05</v>
      </c>
      <c r="AO289" s="3">
        <f t="shared" si="122"/>
        <v>1999.5199999999998</v>
      </c>
      <c r="AP289" s="3">
        <f t="shared" si="122"/>
        <v>1990.32</v>
      </c>
      <c r="AQ289" s="3">
        <f t="shared" ref="AQ289:AT289" si="123">SUM(AQ278:AQ287)-AQ288</f>
        <v>1999.34</v>
      </c>
      <c r="AR289" s="3">
        <f t="shared" si="123"/>
        <v>3354.49</v>
      </c>
      <c r="AS289" s="3">
        <f t="shared" si="123"/>
        <v>0</v>
      </c>
      <c r="AT289" s="3">
        <f t="shared" si="123"/>
        <v>0</v>
      </c>
      <c r="AU289" s="3">
        <f>SUM(AU278:AU287)-AU288</f>
        <v>0</v>
      </c>
      <c r="AV289" s="3">
        <f t="shared" ref="AV289:BC289" si="124">SUM(AV278:AV287)-AV288</f>
        <v>0</v>
      </c>
      <c r="AW289" s="3">
        <f t="shared" si="124"/>
        <v>0</v>
      </c>
      <c r="AX289" s="3">
        <f t="shared" si="124"/>
        <v>0</v>
      </c>
      <c r="AY289" s="3">
        <f t="shared" si="124"/>
        <v>0</v>
      </c>
      <c r="AZ289" s="3">
        <f t="shared" si="124"/>
        <v>0</v>
      </c>
      <c r="BA289" s="3">
        <f t="shared" si="124"/>
        <v>0</v>
      </c>
      <c r="BB289" s="105">
        <f t="shared" si="124"/>
        <v>0</v>
      </c>
      <c r="BC289" s="3">
        <f t="shared" si="124"/>
        <v>0</v>
      </c>
      <c r="BD289" s="3">
        <f t="shared" ref="BD289" si="125">SUM(BD278:BD287)-BD288</f>
        <v>0</v>
      </c>
      <c r="BE289" s="3"/>
      <c r="BF289" s="3">
        <f>SUM(BF279+BF285)-BF288</f>
        <v>1222.1600000000001</v>
      </c>
      <c r="BG289" s="3">
        <f t="shared" ref="BG289:BH289" si="126">SUM(BG279+BG285)-BG288</f>
        <v>2153.5699999999997</v>
      </c>
      <c r="BH289" s="3">
        <f t="shared" si="126"/>
        <v>2173.5199999999995</v>
      </c>
      <c r="BI289" s="3">
        <f>BI279+BI285-BI288</f>
        <v>2064.12</v>
      </c>
      <c r="BJ289" s="3">
        <f>BJ279+BJ285-BJ288</f>
        <v>2155.11</v>
      </c>
      <c r="BK289" s="3">
        <f>BK286-BK288</f>
        <v>3779.9700000000003</v>
      </c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105">
        <f>SUM(J289:BK289)</f>
        <v>36002.839999999997</v>
      </c>
      <c r="BY289" s="1"/>
      <c r="BZ289" s="1"/>
      <c r="CA289" s="1"/>
      <c r="CC289" s="6"/>
    </row>
    <row r="290" spans="1:81" ht="15.6" customHeight="1">
      <c r="A290" s="148" t="s">
        <v>346</v>
      </c>
      <c r="B290" s="148" t="s">
        <v>347</v>
      </c>
      <c r="C290" s="145" t="s">
        <v>310</v>
      </c>
      <c r="D290" s="145" t="s">
        <v>311</v>
      </c>
      <c r="E290" s="148" t="s">
        <v>312</v>
      </c>
      <c r="F290" s="148" t="s">
        <v>348</v>
      </c>
      <c r="G290" s="145" t="s">
        <v>314</v>
      </c>
      <c r="H290" s="145" t="s">
        <v>315</v>
      </c>
      <c r="I290" s="145" t="s">
        <v>349</v>
      </c>
      <c r="J290" s="146">
        <v>44105</v>
      </c>
      <c r="K290" s="146">
        <v>44136</v>
      </c>
      <c r="L290" s="146">
        <v>44166</v>
      </c>
      <c r="M290" s="146">
        <v>44197</v>
      </c>
      <c r="N290" s="146">
        <v>44228</v>
      </c>
      <c r="O290" s="146">
        <v>44256</v>
      </c>
      <c r="P290" s="146">
        <v>44287</v>
      </c>
      <c r="Q290" s="146">
        <v>44317</v>
      </c>
      <c r="R290" s="146">
        <v>44348</v>
      </c>
      <c r="S290" s="146">
        <v>44378</v>
      </c>
      <c r="T290" s="146">
        <v>44409</v>
      </c>
      <c r="U290" s="146">
        <v>44440</v>
      </c>
      <c r="V290" s="146">
        <v>44470</v>
      </c>
      <c r="W290" s="146">
        <v>44501</v>
      </c>
      <c r="X290" s="146">
        <v>44531</v>
      </c>
      <c r="Y290" s="146">
        <v>44562</v>
      </c>
      <c r="Z290" s="146">
        <v>44593</v>
      </c>
      <c r="AA290" s="146">
        <v>44621</v>
      </c>
      <c r="AB290" s="146">
        <v>44652</v>
      </c>
      <c r="AC290" s="146">
        <v>44682</v>
      </c>
      <c r="AD290" s="146">
        <v>44713</v>
      </c>
      <c r="AE290" s="146">
        <v>44743</v>
      </c>
      <c r="AF290" s="146">
        <v>44774</v>
      </c>
      <c r="AG290" s="146">
        <v>44805</v>
      </c>
      <c r="AH290" s="146">
        <v>44835</v>
      </c>
      <c r="AI290" s="146">
        <v>44866</v>
      </c>
      <c r="AJ290" s="146">
        <v>44896</v>
      </c>
      <c r="AK290" s="146">
        <v>44927</v>
      </c>
      <c r="AL290" s="146">
        <v>44958</v>
      </c>
      <c r="AM290" s="146">
        <v>44986</v>
      </c>
      <c r="AN290" s="146">
        <v>45017</v>
      </c>
      <c r="AO290" s="146">
        <v>45047</v>
      </c>
      <c r="AP290" s="146">
        <v>45078</v>
      </c>
      <c r="AQ290" s="146">
        <v>45108</v>
      </c>
      <c r="AR290" s="146">
        <v>45139</v>
      </c>
      <c r="AS290" s="146">
        <v>45170</v>
      </c>
      <c r="AT290" s="146">
        <v>45200</v>
      </c>
      <c r="AU290" s="146">
        <v>45231</v>
      </c>
      <c r="AV290" s="146">
        <v>45261</v>
      </c>
      <c r="AW290" s="146">
        <v>45292</v>
      </c>
      <c r="AX290" s="146">
        <v>45323</v>
      </c>
      <c r="AY290" s="146">
        <v>45352</v>
      </c>
      <c r="AZ290" s="146">
        <v>45383</v>
      </c>
      <c r="BA290" s="146">
        <v>45413</v>
      </c>
      <c r="BB290" s="146">
        <v>45444</v>
      </c>
      <c r="BC290" s="146">
        <v>45474</v>
      </c>
      <c r="BD290" s="146">
        <v>45505</v>
      </c>
      <c r="BE290" s="146">
        <v>45536</v>
      </c>
      <c r="BF290" s="146">
        <v>45566</v>
      </c>
      <c r="BG290" s="146">
        <v>45597</v>
      </c>
      <c r="BH290" s="146">
        <v>45627</v>
      </c>
      <c r="BI290" s="146">
        <v>45658</v>
      </c>
      <c r="BJ290" s="146">
        <v>45689</v>
      </c>
      <c r="BK290" s="146"/>
      <c r="BL290" s="146"/>
      <c r="BM290" s="146"/>
      <c r="BN290" s="146"/>
      <c r="BO290" s="146"/>
      <c r="BP290" s="146"/>
      <c r="BQ290" s="146"/>
      <c r="BR290" s="146"/>
      <c r="BS290" s="146"/>
      <c r="BT290" s="146"/>
      <c r="BU290" s="146"/>
      <c r="BV290" s="146"/>
      <c r="BW290" s="146"/>
      <c r="BX290" s="147" t="s">
        <v>13</v>
      </c>
      <c r="BY290" s="5"/>
      <c r="BZ290" s="5"/>
      <c r="CA290" s="5"/>
    </row>
    <row r="291" spans="1:81" ht="15.75" customHeight="1">
      <c r="A291" s="264">
        <v>21</v>
      </c>
      <c r="B291" s="241" t="s">
        <v>78</v>
      </c>
      <c r="C291" s="253" t="s">
        <v>92</v>
      </c>
      <c r="D291" s="253" t="s">
        <v>89</v>
      </c>
      <c r="E291" s="250" t="s">
        <v>150</v>
      </c>
      <c r="F291" s="250" t="s">
        <v>150</v>
      </c>
      <c r="G291" s="256">
        <f>'CONSOLIDADO ATIVO INATIVO NOVO'!J36</f>
        <v>45495</v>
      </c>
      <c r="H291" s="256">
        <f>'CONSOLIDADO ATIVO INATIVO NOVO'!K36</f>
        <v>0</v>
      </c>
      <c r="I291" s="21" t="s">
        <v>350</v>
      </c>
      <c r="J291" s="21"/>
      <c r="K291" s="21"/>
      <c r="L291" s="21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105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1"/>
      <c r="BZ291" s="1"/>
      <c r="CA291" s="1"/>
      <c r="CC291" s="6"/>
    </row>
    <row r="292" spans="1:81" ht="15.75" customHeight="1">
      <c r="A292" s="265"/>
      <c r="B292" s="241"/>
      <c r="C292" s="254"/>
      <c r="D292" s="254"/>
      <c r="E292" s="251"/>
      <c r="F292" s="251"/>
      <c r="G292" s="254"/>
      <c r="H292" s="254"/>
      <c r="I292" s="21" t="s">
        <v>351</v>
      </c>
      <c r="J292" s="21"/>
      <c r="K292" s="21"/>
      <c r="L292" s="21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>
        <v>569.61</v>
      </c>
      <c r="AK292" s="3">
        <f>1708.83+59.82</f>
        <v>1768.6499999999999</v>
      </c>
      <c r="AL292" s="3">
        <f>1708.83+59.82</f>
        <v>1768.6499999999999</v>
      </c>
      <c r="AM292" s="3">
        <f>1708.83+59.82</f>
        <v>1768.6499999999999</v>
      </c>
      <c r="AN292" s="3">
        <f t="shared" ref="AN292:AO292" si="127">1708.83+59.82</f>
        <v>1768.6499999999999</v>
      </c>
      <c r="AO292" s="3">
        <f t="shared" si="127"/>
        <v>1768.6499999999999</v>
      </c>
      <c r="AP292" s="3">
        <f>1708.83+59.82</f>
        <v>1768.6499999999999</v>
      </c>
      <c r="AQ292" s="3">
        <f>1708.83+59.82</f>
        <v>1768.6499999999999</v>
      </c>
      <c r="AR292" s="3">
        <f>1708.83+59.82</f>
        <v>1768.6499999999999</v>
      </c>
      <c r="AS292" s="3">
        <v>1768.65</v>
      </c>
      <c r="AT292" s="3">
        <v>1849.81</v>
      </c>
      <c r="AU292" s="3"/>
      <c r="AV292" s="3"/>
      <c r="AW292" s="3"/>
      <c r="AX292" s="3"/>
      <c r="AY292" s="3"/>
      <c r="AZ292" s="3"/>
      <c r="BA292" s="3"/>
      <c r="BB292" s="105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1"/>
      <c r="BZ292" s="1"/>
      <c r="CA292" s="1"/>
      <c r="CC292" s="6"/>
    </row>
    <row r="293" spans="1:81" ht="15.75" customHeight="1">
      <c r="A293" s="265"/>
      <c r="B293" s="241"/>
      <c r="C293" s="254"/>
      <c r="D293" s="254"/>
      <c r="E293" s="251"/>
      <c r="F293" s="251"/>
      <c r="G293" s="254"/>
      <c r="H293" s="254"/>
      <c r="I293" s="21" t="s">
        <v>371</v>
      </c>
      <c r="J293" s="21"/>
      <c r="K293" s="21"/>
      <c r="L293" s="21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>
        <v>110</v>
      </c>
      <c r="AU293" s="3"/>
      <c r="AV293" s="3"/>
      <c r="AW293" s="3"/>
      <c r="AX293" s="3"/>
      <c r="AY293" s="3"/>
      <c r="AZ293" s="3"/>
      <c r="BA293" s="3"/>
      <c r="BB293" s="105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1"/>
      <c r="BZ293" s="1"/>
      <c r="CA293" s="1"/>
      <c r="CC293" s="6"/>
    </row>
    <row r="294" spans="1:81" ht="15.75" customHeight="1">
      <c r="A294" s="265"/>
      <c r="B294" s="241"/>
      <c r="C294" s="254"/>
      <c r="D294" s="254"/>
      <c r="E294" s="251"/>
      <c r="F294" s="251"/>
      <c r="G294" s="254"/>
      <c r="H294" s="254"/>
      <c r="I294" s="21" t="s">
        <v>353</v>
      </c>
      <c r="J294" s="21"/>
      <c r="K294" s="21"/>
      <c r="L294" s="21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105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1"/>
      <c r="BZ294" s="1"/>
      <c r="CA294" s="1"/>
      <c r="CC294" s="6"/>
    </row>
    <row r="295" spans="1:81" ht="15.75" customHeight="1">
      <c r="A295" s="265"/>
      <c r="B295" s="241"/>
      <c r="C295" s="254"/>
      <c r="D295" s="254"/>
      <c r="E295" s="251"/>
      <c r="F295" s="251"/>
      <c r="G295" s="254"/>
      <c r="H295" s="254"/>
      <c r="I295" s="21" t="s">
        <v>354</v>
      </c>
      <c r="J295" s="21"/>
      <c r="K295" s="21"/>
      <c r="L295" s="21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105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1"/>
      <c r="BZ295" s="1"/>
      <c r="CA295" s="1"/>
      <c r="CC295" s="6"/>
    </row>
    <row r="296" spans="1:81" ht="15.75" customHeight="1">
      <c r="A296" s="265"/>
      <c r="B296" s="241"/>
      <c r="C296" s="254"/>
      <c r="D296" s="254"/>
      <c r="E296" s="251"/>
      <c r="F296" s="251"/>
      <c r="G296" s="254"/>
      <c r="H296" s="254"/>
      <c r="I296" s="21" t="s">
        <v>355</v>
      </c>
      <c r="J296" s="21"/>
      <c r="K296" s="21"/>
      <c r="L296" s="21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105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1"/>
      <c r="BZ296" s="1"/>
      <c r="CA296" s="1"/>
      <c r="CC296" s="6"/>
    </row>
    <row r="297" spans="1:81" ht="15.75" customHeight="1">
      <c r="A297" s="265"/>
      <c r="B297" s="241"/>
      <c r="C297" s="254"/>
      <c r="D297" s="254"/>
      <c r="E297" s="251"/>
      <c r="F297" s="251"/>
      <c r="G297" s="254"/>
      <c r="H297" s="254"/>
      <c r="I297" s="21" t="s">
        <v>356</v>
      </c>
      <c r="J297" s="21"/>
      <c r="K297" s="21"/>
      <c r="L297" s="21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105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1"/>
      <c r="BZ297" s="1"/>
      <c r="CA297" s="1"/>
      <c r="CC297" s="6"/>
    </row>
    <row r="298" spans="1:81" ht="15.75" customHeight="1">
      <c r="A298" s="265"/>
      <c r="B298" s="241"/>
      <c r="C298" s="254"/>
      <c r="D298" s="254"/>
      <c r="E298" s="251"/>
      <c r="F298" s="251"/>
      <c r="G298" s="254"/>
      <c r="H298" s="254"/>
      <c r="I298" s="21" t="s">
        <v>357</v>
      </c>
      <c r="J298" s="21"/>
      <c r="K298" s="21"/>
      <c r="L298" s="21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>
        <v>171.44</v>
      </c>
      <c r="AK298" s="3">
        <v>476.48</v>
      </c>
      <c r="AL298" s="3">
        <v>454.48</v>
      </c>
      <c r="AM298" s="3">
        <v>487.49</v>
      </c>
      <c r="AN298" s="3">
        <v>443.5</v>
      </c>
      <c r="AO298" s="3">
        <v>476.53</v>
      </c>
      <c r="AP298" s="3">
        <v>465.48</v>
      </c>
      <c r="AQ298" s="3">
        <v>476.58</v>
      </c>
      <c r="AR298" s="3">
        <v>487.55</v>
      </c>
      <c r="AS298" s="3">
        <v>465.48</v>
      </c>
      <c r="AT298" s="3">
        <v>466.53</v>
      </c>
      <c r="AU298" s="3">
        <v>444.53</v>
      </c>
      <c r="AV298" s="3"/>
      <c r="AW298" s="3"/>
      <c r="AX298" s="3"/>
      <c r="AY298" s="3"/>
      <c r="AZ298" s="3"/>
      <c r="BA298" s="3"/>
      <c r="BB298" s="105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1"/>
      <c r="BZ298" s="1"/>
      <c r="CA298" s="1"/>
      <c r="CC298" s="6"/>
    </row>
    <row r="299" spans="1:81" ht="15.75" customHeight="1">
      <c r="A299" s="265"/>
      <c r="B299" s="241"/>
      <c r="C299" s="254"/>
      <c r="D299" s="254"/>
      <c r="E299" s="251"/>
      <c r="F299" s="251"/>
      <c r="G299" s="254"/>
      <c r="H299" s="254"/>
      <c r="I299" s="23" t="s">
        <v>362</v>
      </c>
      <c r="J299" s="23"/>
      <c r="K299" s="23"/>
      <c r="L299" s="2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f>1227.98+7027.47</f>
        <v>8255.4500000000007</v>
      </c>
      <c r="AV299" s="3"/>
      <c r="AW299" s="3"/>
      <c r="AX299" s="3"/>
      <c r="AY299" s="3"/>
      <c r="AZ299" s="3"/>
      <c r="BA299" s="3"/>
      <c r="BB299" s="105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1"/>
      <c r="BZ299" s="1"/>
      <c r="CA299" s="1"/>
      <c r="CC299" s="6"/>
    </row>
    <row r="300" spans="1:81" ht="15.75" customHeight="1">
      <c r="A300" s="265"/>
      <c r="B300" s="241"/>
      <c r="C300" s="254"/>
      <c r="D300" s="254"/>
      <c r="E300" s="251"/>
      <c r="F300" s="251"/>
      <c r="G300" s="254"/>
      <c r="H300" s="254"/>
      <c r="I300" s="22" t="s">
        <v>363</v>
      </c>
      <c r="J300" s="22"/>
      <c r="K300" s="22"/>
      <c r="L300" s="2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924.91</v>
      </c>
      <c r="AV300" s="3"/>
      <c r="AW300" s="3"/>
      <c r="AX300" s="3"/>
      <c r="AY300" s="3"/>
      <c r="AZ300" s="3"/>
      <c r="BA300" s="3"/>
      <c r="BB300" s="105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1"/>
      <c r="BZ300" s="1"/>
      <c r="CA300" s="1"/>
      <c r="CC300" s="6"/>
    </row>
    <row r="301" spans="1:81" ht="15.75" customHeight="1">
      <c r="A301" s="265"/>
      <c r="B301" s="241"/>
      <c r="C301" s="254"/>
      <c r="D301" s="254"/>
      <c r="E301" s="251"/>
      <c r="F301" s="251"/>
      <c r="G301" s="254"/>
      <c r="H301" s="254"/>
      <c r="I301" s="44" t="s">
        <v>364</v>
      </c>
      <c r="J301" s="44"/>
      <c r="K301" s="44"/>
      <c r="L301" s="4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>
        <v>42.72</v>
      </c>
      <c r="AK301" s="3">
        <v>134.26</v>
      </c>
      <c r="AL301" s="3">
        <v>134.26</v>
      </c>
      <c r="AM301" s="3">
        <v>134.26</v>
      </c>
      <c r="AN301" s="3">
        <v>134.26</v>
      </c>
      <c r="AO301" s="3">
        <v>133.99</v>
      </c>
      <c r="AP301" s="3">
        <v>133.99</v>
      </c>
      <c r="AQ301" s="3">
        <v>133.99</v>
      </c>
      <c r="AR301" s="3">
        <v>133.99</v>
      </c>
      <c r="AS301" s="3">
        <v>133.99</v>
      </c>
      <c r="AT301" s="3">
        <f>110+256.68</f>
        <v>366.68</v>
      </c>
      <c r="AU301" s="3"/>
      <c r="AV301" s="3"/>
      <c r="AW301" s="3"/>
      <c r="AX301" s="3"/>
      <c r="AY301" s="3"/>
      <c r="AZ301" s="3"/>
      <c r="BA301" s="3"/>
      <c r="BB301" s="105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1"/>
      <c r="BZ301" s="1"/>
      <c r="CA301" s="1"/>
      <c r="CC301" s="6"/>
    </row>
    <row r="302" spans="1:81" ht="15.75" customHeight="1">
      <c r="A302" s="266"/>
      <c r="B302" s="241"/>
      <c r="C302" s="255"/>
      <c r="D302" s="255"/>
      <c r="E302" s="252"/>
      <c r="F302" s="252"/>
      <c r="G302" s="255"/>
      <c r="H302" s="255"/>
      <c r="I302" s="52"/>
      <c r="J302" s="3">
        <f>SUM(J291:J300)-J301</f>
        <v>0</v>
      </c>
      <c r="K302" s="3">
        <f t="shared" ref="K302:AC302" si="128">SUM(K291:K300)-K301</f>
        <v>0</v>
      </c>
      <c r="L302" s="3">
        <f t="shared" si="128"/>
        <v>0</v>
      </c>
      <c r="M302" s="3">
        <f t="shared" si="128"/>
        <v>0</v>
      </c>
      <c r="N302" s="3">
        <f t="shared" si="128"/>
        <v>0</v>
      </c>
      <c r="O302" s="3">
        <f t="shared" si="128"/>
        <v>0</v>
      </c>
      <c r="P302" s="3">
        <f t="shared" si="128"/>
        <v>0</v>
      </c>
      <c r="Q302" s="3">
        <f t="shared" si="128"/>
        <v>0</v>
      </c>
      <c r="R302" s="3">
        <f t="shared" si="128"/>
        <v>0</v>
      </c>
      <c r="S302" s="3">
        <f t="shared" si="128"/>
        <v>0</v>
      </c>
      <c r="T302" s="3">
        <f t="shared" si="128"/>
        <v>0</v>
      </c>
      <c r="U302" s="3">
        <f t="shared" si="128"/>
        <v>0</v>
      </c>
      <c r="V302" s="3">
        <f t="shared" si="128"/>
        <v>0</v>
      </c>
      <c r="W302" s="3">
        <f t="shared" si="128"/>
        <v>0</v>
      </c>
      <c r="X302" s="3">
        <f t="shared" si="128"/>
        <v>0</v>
      </c>
      <c r="Y302" s="3">
        <f t="shared" si="128"/>
        <v>0</v>
      </c>
      <c r="Z302" s="3">
        <f t="shared" si="128"/>
        <v>0</v>
      </c>
      <c r="AA302" s="3">
        <f t="shared" si="128"/>
        <v>0</v>
      </c>
      <c r="AB302" s="3">
        <f t="shared" si="128"/>
        <v>0</v>
      </c>
      <c r="AC302" s="3">
        <f t="shared" si="128"/>
        <v>0</v>
      </c>
      <c r="AD302" s="3">
        <f>SUM(AD291:AD300)-AD301</f>
        <v>0</v>
      </c>
      <c r="AE302" s="3">
        <f>SUM(AE291:AE300)-AE301</f>
        <v>0</v>
      </c>
      <c r="AF302" s="3">
        <f>SUM(AF291:AF300)-AF301</f>
        <v>0</v>
      </c>
      <c r="AG302" s="3">
        <f t="shared" ref="AG302" si="129">SUM(AG291:AG300)-AG301</f>
        <v>0</v>
      </c>
      <c r="AH302" s="3">
        <f t="shared" ref="AH302" si="130">SUM(AH291:AH300)-AH301</f>
        <v>0</v>
      </c>
      <c r="AI302" s="3">
        <f>SUM(AI291:AI300)-AI301</f>
        <v>0</v>
      </c>
      <c r="AJ302" s="3">
        <f>SUM(AJ291:AJ300)-AJ301</f>
        <v>698.32999999999993</v>
      </c>
      <c r="AK302" s="3">
        <f t="shared" ref="AK302:AU302" si="131">SUM(AK291:AK300)-AK301</f>
        <v>2110.87</v>
      </c>
      <c r="AL302" s="3">
        <f t="shared" si="131"/>
        <v>2088.87</v>
      </c>
      <c r="AM302" s="3">
        <f t="shared" si="131"/>
        <v>2121.88</v>
      </c>
      <c r="AN302" s="3">
        <f t="shared" si="131"/>
        <v>2077.8899999999994</v>
      </c>
      <c r="AO302" s="3">
        <f t="shared" si="131"/>
        <v>2111.1899999999996</v>
      </c>
      <c r="AP302" s="3">
        <f t="shared" si="131"/>
        <v>2100.1400000000003</v>
      </c>
      <c r="AQ302" s="3">
        <f t="shared" si="131"/>
        <v>2111.2399999999998</v>
      </c>
      <c r="AR302" s="3">
        <f t="shared" si="131"/>
        <v>2122.21</v>
      </c>
      <c r="AS302" s="3">
        <f t="shared" si="131"/>
        <v>2100.1400000000003</v>
      </c>
      <c r="AT302" s="3">
        <f t="shared" si="131"/>
        <v>2059.6600000000003</v>
      </c>
      <c r="AU302" s="3">
        <f t="shared" si="131"/>
        <v>9624.8900000000012</v>
      </c>
      <c r="AV302" s="3">
        <f t="shared" ref="AV302:BC302" si="132">SUM(AV291:AV300)-AV301</f>
        <v>0</v>
      </c>
      <c r="AW302" s="3">
        <f t="shared" si="132"/>
        <v>0</v>
      </c>
      <c r="AX302" s="3">
        <f t="shared" si="132"/>
        <v>0</v>
      </c>
      <c r="AY302" s="3">
        <f t="shared" si="132"/>
        <v>0</v>
      </c>
      <c r="AZ302" s="3">
        <f t="shared" si="132"/>
        <v>0</v>
      </c>
      <c r="BA302" s="3">
        <f t="shared" si="132"/>
        <v>0</v>
      </c>
      <c r="BB302" s="105">
        <f t="shared" si="132"/>
        <v>0</v>
      </c>
      <c r="BC302" s="3">
        <f t="shared" si="132"/>
        <v>0</v>
      </c>
      <c r="BD302" s="3">
        <f t="shared" ref="BD302" si="133">SUM(BD291:BD300)-BD301</f>
        <v>0</v>
      </c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>
        <f>SUM(J302:AY302)</f>
        <v>31327.309999999998</v>
      </c>
      <c r="BY302" s="1"/>
      <c r="BZ302" s="1"/>
      <c r="CA302" s="1"/>
      <c r="CC302" s="6"/>
    </row>
    <row r="303" spans="1:81" ht="15.6" customHeight="1">
      <c r="A303" s="148" t="s">
        <v>346</v>
      </c>
      <c r="B303" s="148" t="s">
        <v>347</v>
      </c>
      <c r="C303" s="145" t="s">
        <v>310</v>
      </c>
      <c r="D303" s="145" t="s">
        <v>311</v>
      </c>
      <c r="E303" s="148" t="s">
        <v>312</v>
      </c>
      <c r="F303" s="148" t="s">
        <v>348</v>
      </c>
      <c r="G303" s="145" t="s">
        <v>314</v>
      </c>
      <c r="H303" s="145" t="s">
        <v>315</v>
      </c>
      <c r="I303" s="145" t="s">
        <v>349</v>
      </c>
      <c r="J303" s="146">
        <v>44105</v>
      </c>
      <c r="K303" s="146">
        <v>44136</v>
      </c>
      <c r="L303" s="146">
        <v>44166</v>
      </c>
      <c r="M303" s="146">
        <v>44197</v>
      </c>
      <c r="N303" s="146">
        <v>44228</v>
      </c>
      <c r="O303" s="146">
        <v>44256</v>
      </c>
      <c r="P303" s="146">
        <v>44287</v>
      </c>
      <c r="Q303" s="146">
        <v>44317</v>
      </c>
      <c r="R303" s="146">
        <v>44348</v>
      </c>
      <c r="S303" s="146">
        <v>44378</v>
      </c>
      <c r="T303" s="146">
        <v>44409</v>
      </c>
      <c r="U303" s="146">
        <v>44440</v>
      </c>
      <c r="V303" s="146">
        <v>44470</v>
      </c>
      <c r="W303" s="146">
        <v>44501</v>
      </c>
      <c r="X303" s="146">
        <v>44531</v>
      </c>
      <c r="Y303" s="146">
        <v>44562</v>
      </c>
      <c r="Z303" s="146">
        <v>44593</v>
      </c>
      <c r="AA303" s="146">
        <v>44621</v>
      </c>
      <c r="AB303" s="146">
        <v>44652</v>
      </c>
      <c r="AC303" s="146">
        <v>44682</v>
      </c>
      <c r="AD303" s="146">
        <v>44713</v>
      </c>
      <c r="AE303" s="146">
        <v>44743</v>
      </c>
      <c r="AF303" s="146">
        <v>44774</v>
      </c>
      <c r="AG303" s="146">
        <v>44805</v>
      </c>
      <c r="AH303" s="146">
        <v>44835</v>
      </c>
      <c r="AI303" s="146">
        <v>44866</v>
      </c>
      <c r="AJ303" s="146">
        <v>44896</v>
      </c>
      <c r="AK303" s="146">
        <v>44927</v>
      </c>
      <c r="AL303" s="146">
        <v>44958</v>
      </c>
      <c r="AM303" s="146">
        <v>44986</v>
      </c>
      <c r="AN303" s="146">
        <v>45017</v>
      </c>
      <c r="AO303" s="146">
        <v>45047</v>
      </c>
      <c r="AP303" s="146">
        <v>45078</v>
      </c>
      <c r="AQ303" s="146">
        <v>45108</v>
      </c>
      <c r="AR303" s="146">
        <v>45139</v>
      </c>
      <c r="AS303" s="146">
        <v>45170</v>
      </c>
      <c r="AT303" s="146">
        <v>45200</v>
      </c>
      <c r="AU303" s="146">
        <v>45231</v>
      </c>
      <c r="AV303" s="146">
        <v>45261</v>
      </c>
      <c r="AW303" s="146">
        <v>45292</v>
      </c>
      <c r="AX303" s="146">
        <v>45323</v>
      </c>
      <c r="AY303" s="146">
        <v>45352</v>
      </c>
      <c r="AZ303" s="146">
        <v>45383</v>
      </c>
      <c r="BA303" s="146">
        <v>45413</v>
      </c>
      <c r="BB303" s="146">
        <v>45444</v>
      </c>
      <c r="BC303" s="146">
        <v>45474</v>
      </c>
      <c r="BD303" s="146">
        <v>45505</v>
      </c>
      <c r="BE303" s="146">
        <v>45536</v>
      </c>
      <c r="BF303" s="146">
        <v>45566</v>
      </c>
      <c r="BG303" s="146">
        <v>45597</v>
      </c>
      <c r="BH303" s="146">
        <v>45627</v>
      </c>
      <c r="BI303" s="146">
        <v>45658</v>
      </c>
      <c r="BJ303" s="146">
        <v>45689</v>
      </c>
      <c r="BK303" s="146">
        <v>45717</v>
      </c>
      <c r="BL303" s="146"/>
      <c r="BM303" s="146"/>
      <c r="BN303" s="146"/>
      <c r="BO303" s="146"/>
      <c r="BP303" s="146"/>
      <c r="BQ303" s="146"/>
      <c r="BR303" s="146"/>
      <c r="BS303" s="146"/>
      <c r="BT303" s="146"/>
      <c r="BU303" s="146"/>
      <c r="BV303" s="146"/>
      <c r="BW303" s="146"/>
      <c r="BX303" s="147" t="s">
        <v>13</v>
      </c>
      <c r="BY303" s="5"/>
      <c r="BZ303" s="5"/>
      <c r="CA303" s="5"/>
    </row>
    <row r="304" spans="1:81" ht="15.75" customHeight="1">
      <c r="A304" s="264">
        <v>22</v>
      </c>
      <c r="B304" s="241" t="s">
        <v>32</v>
      </c>
      <c r="C304" s="250" t="s">
        <v>23</v>
      </c>
      <c r="D304" s="250" t="s">
        <v>89</v>
      </c>
      <c r="E304" s="250" t="s">
        <v>150</v>
      </c>
      <c r="F304" s="250" t="s">
        <v>150</v>
      </c>
      <c r="G304" s="271">
        <f>'CONSOLIDADO ATIVO INATIVO NOVO'!J38</f>
        <v>45505</v>
      </c>
      <c r="H304" s="271">
        <v>45722</v>
      </c>
      <c r="I304" s="21" t="s">
        <v>350</v>
      </c>
      <c r="J304" s="21"/>
      <c r="K304" s="21"/>
      <c r="L304" s="21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105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1"/>
      <c r="BZ304" s="1"/>
      <c r="CA304" s="1"/>
      <c r="CC304" s="6"/>
    </row>
    <row r="305" spans="1:81" ht="15.75" customHeight="1">
      <c r="A305" s="265"/>
      <c r="B305" s="241"/>
      <c r="C305" s="251"/>
      <c r="D305" s="251"/>
      <c r="E305" s="251"/>
      <c r="F305" s="251"/>
      <c r="G305" s="251"/>
      <c r="H305" s="251"/>
      <c r="I305" s="21" t="s">
        <v>351</v>
      </c>
      <c r="J305" s="21"/>
      <c r="K305" s="21"/>
      <c r="L305" s="21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>
        <v>683.53</v>
      </c>
      <c r="AQ305" s="3">
        <v>1708.83</v>
      </c>
      <c r="AR305" s="3">
        <v>1768.65</v>
      </c>
      <c r="AS305" s="3">
        <v>1768.65</v>
      </c>
      <c r="AT305" s="3">
        <v>1969.47</v>
      </c>
      <c r="AU305" s="3">
        <v>1849.81</v>
      </c>
      <c r="AV305" s="3">
        <v>1853.15</v>
      </c>
      <c r="AW305" s="3">
        <v>1849.81</v>
      </c>
      <c r="AX305" s="3">
        <v>1849.81</v>
      </c>
      <c r="AY305" s="3">
        <f>1849.91+68.32</f>
        <v>1918.23</v>
      </c>
      <c r="AZ305" s="3">
        <v>1949.81</v>
      </c>
      <c r="BA305" s="3">
        <v>1849.81</v>
      </c>
      <c r="BB305" s="105">
        <v>1849.81</v>
      </c>
      <c r="BC305" s="3">
        <v>1849.81</v>
      </c>
      <c r="BD305" s="3">
        <v>1849.81</v>
      </c>
      <c r="BE305" s="3">
        <v>1849.81</v>
      </c>
      <c r="BF305" s="3">
        <v>1849.81</v>
      </c>
      <c r="BG305" s="3">
        <v>1849.81</v>
      </c>
      <c r="BH305" s="3">
        <f>1860.07+620.02</f>
        <v>2480.09</v>
      </c>
      <c r="BI305" s="3">
        <v>1849.81</v>
      </c>
      <c r="BJ305" s="3">
        <f>1849.81+65</f>
        <v>1914.81</v>
      </c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1"/>
      <c r="BZ305" s="1"/>
      <c r="CA305" s="1"/>
      <c r="CC305" s="6"/>
    </row>
    <row r="306" spans="1:81" ht="15.75" customHeight="1">
      <c r="A306" s="265"/>
      <c r="B306" s="241"/>
      <c r="C306" s="251"/>
      <c r="D306" s="251"/>
      <c r="E306" s="251"/>
      <c r="F306" s="251"/>
      <c r="G306" s="251"/>
      <c r="H306" s="251"/>
      <c r="I306" s="21" t="s">
        <v>376</v>
      </c>
      <c r="J306" s="21"/>
      <c r="K306" s="21"/>
      <c r="L306" s="21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105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1"/>
      <c r="BZ306" s="1"/>
      <c r="CA306" s="1"/>
      <c r="CC306" s="6"/>
    </row>
    <row r="307" spans="1:81" ht="15.75" customHeight="1">
      <c r="A307" s="265"/>
      <c r="B307" s="241"/>
      <c r="C307" s="251"/>
      <c r="D307" s="251"/>
      <c r="E307" s="251"/>
      <c r="F307" s="251"/>
      <c r="G307" s="251"/>
      <c r="H307" s="251"/>
      <c r="I307" s="21" t="s">
        <v>353</v>
      </c>
      <c r="J307" s="21"/>
      <c r="K307" s="21"/>
      <c r="L307" s="21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105"/>
      <c r="BC307" s="3"/>
      <c r="BD307" s="3"/>
      <c r="BE307" s="3">
        <v>200</v>
      </c>
      <c r="BF307" s="3">
        <f>44.14+220.72</f>
        <v>264.86</v>
      </c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1"/>
      <c r="BZ307" s="1"/>
      <c r="CA307" s="1"/>
      <c r="CC307" s="6"/>
    </row>
    <row r="308" spans="1:81" ht="15.75" customHeight="1">
      <c r="A308" s="265"/>
      <c r="B308" s="241"/>
      <c r="C308" s="251"/>
      <c r="D308" s="251"/>
      <c r="E308" s="251"/>
      <c r="F308" s="251"/>
      <c r="G308" s="251"/>
      <c r="H308" s="251"/>
      <c r="I308" s="21" t="s">
        <v>354</v>
      </c>
      <c r="J308" s="21"/>
      <c r="K308" s="21"/>
      <c r="L308" s="21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105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1"/>
      <c r="BZ308" s="1"/>
      <c r="CA308" s="1"/>
      <c r="CC308" s="6"/>
    </row>
    <row r="309" spans="1:81" ht="15.75" customHeight="1">
      <c r="A309" s="265"/>
      <c r="B309" s="241"/>
      <c r="C309" s="251"/>
      <c r="D309" s="251"/>
      <c r="E309" s="251"/>
      <c r="F309" s="251"/>
      <c r="G309" s="251"/>
      <c r="H309" s="251"/>
      <c r="I309" s="21" t="s">
        <v>355</v>
      </c>
      <c r="J309" s="21"/>
      <c r="K309" s="21"/>
      <c r="L309" s="21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105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1"/>
      <c r="BZ309" s="1"/>
      <c r="CA309" s="1"/>
      <c r="CC309" s="6"/>
    </row>
    <row r="310" spans="1:81" ht="15.75" customHeight="1">
      <c r="A310" s="265"/>
      <c r="B310" s="241"/>
      <c r="C310" s="251"/>
      <c r="D310" s="251"/>
      <c r="E310" s="251"/>
      <c r="F310" s="251"/>
      <c r="G310" s="251"/>
      <c r="H310" s="251"/>
      <c r="I310" s="21" t="s">
        <v>356</v>
      </c>
      <c r="J310" s="21"/>
      <c r="K310" s="21"/>
      <c r="L310" s="21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105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1"/>
      <c r="BZ310" s="1"/>
      <c r="CA310" s="1"/>
      <c r="CC310" s="6"/>
    </row>
    <row r="311" spans="1:81" ht="15.75" customHeight="1">
      <c r="A311" s="265"/>
      <c r="B311" s="241"/>
      <c r="C311" s="251"/>
      <c r="D311" s="251"/>
      <c r="E311" s="251"/>
      <c r="F311" s="251"/>
      <c r="G311" s="251"/>
      <c r="H311" s="251"/>
      <c r="I311" s="21" t="s">
        <v>357</v>
      </c>
      <c r="J311" s="21"/>
      <c r="K311" s="21"/>
      <c r="L311" s="21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>
        <v>179.96</v>
      </c>
      <c r="AQ311" s="3">
        <v>443.36</v>
      </c>
      <c r="AR311" s="3">
        <v>458.33</v>
      </c>
      <c r="AS311" s="3">
        <v>422.68</v>
      </c>
      <c r="AT311" s="3">
        <v>430.48</v>
      </c>
      <c r="AU311" s="3">
        <v>411.28</v>
      </c>
      <c r="AV311" s="3">
        <v>486.07</v>
      </c>
      <c r="AW311" s="3">
        <v>458.61</v>
      </c>
      <c r="AX311" s="3">
        <v>449.01</v>
      </c>
      <c r="AY311" s="3">
        <v>450.03</v>
      </c>
      <c r="AZ311" s="3">
        <v>458.91</v>
      </c>
      <c r="BA311" s="3">
        <v>458.31</v>
      </c>
      <c r="BB311" s="105">
        <v>447.99</v>
      </c>
      <c r="BC311" s="3">
        <v>468.21</v>
      </c>
      <c r="BD311" s="3">
        <v>469.26</v>
      </c>
      <c r="BE311" s="3">
        <v>439.41</v>
      </c>
      <c r="BF311" s="3">
        <v>458.66</v>
      </c>
      <c r="BG311" s="3">
        <v>439.47</v>
      </c>
      <c r="BH311" s="3"/>
      <c r="BI311" s="3">
        <v>458.61</v>
      </c>
      <c r="BJ311" s="3">
        <v>584</v>
      </c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1"/>
      <c r="BZ311" s="1"/>
      <c r="CA311" s="1"/>
      <c r="CC311" s="6"/>
    </row>
    <row r="312" spans="1:81" ht="15.75" customHeight="1">
      <c r="A312" s="265"/>
      <c r="B312" s="241"/>
      <c r="C312" s="251"/>
      <c r="D312" s="251"/>
      <c r="E312" s="251"/>
      <c r="F312" s="251"/>
      <c r="G312" s="251"/>
      <c r="H312" s="251"/>
      <c r="I312" s="23" t="s">
        <v>362</v>
      </c>
      <c r="J312" s="23"/>
      <c r="K312" s="23"/>
      <c r="L312" s="2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105"/>
      <c r="BC312" s="3"/>
      <c r="BD312" s="3"/>
      <c r="BE312" s="3"/>
      <c r="BF312" s="3"/>
      <c r="BG312" s="3"/>
      <c r="BH312" s="3"/>
      <c r="BI312" s="3"/>
      <c r="BK312" s="3">
        <v>3182.83</v>
      </c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1"/>
      <c r="BZ312" s="1"/>
      <c r="CA312" s="1"/>
      <c r="CC312" s="6"/>
    </row>
    <row r="313" spans="1:81" ht="15.75" customHeight="1">
      <c r="A313" s="265"/>
      <c r="B313" s="241"/>
      <c r="C313" s="251"/>
      <c r="D313" s="251"/>
      <c r="E313" s="251"/>
      <c r="F313" s="251"/>
      <c r="G313" s="251"/>
      <c r="H313" s="251"/>
      <c r="I313" s="22" t="s">
        <v>363</v>
      </c>
      <c r="J313" s="22"/>
      <c r="K313" s="22"/>
      <c r="L313" s="2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385.38</v>
      </c>
      <c r="AV313" s="3">
        <v>470.17</v>
      </c>
      <c r="AW313" s="3"/>
      <c r="AX313" s="3"/>
      <c r="AY313" s="3"/>
      <c r="AZ313" s="3"/>
      <c r="BA313" s="3"/>
      <c r="BB313" s="105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1"/>
      <c r="BZ313" s="1"/>
      <c r="CA313" s="1"/>
      <c r="CC313" s="6"/>
    </row>
    <row r="314" spans="1:81" ht="15.75" customHeight="1">
      <c r="A314" s="265"/>
      <c r="B314" s="241"/>
      <c r="C314" s="251"/>
      <c r="D314" s="251"/>
      <c r="E314" s="251"/>
      <c r="F314" s="251"/>
      <c r="G314" s="251"/>
      <c r="H314" s="251"/>
      <c r="I314" s="44" t="s">
        <v>364</v>
      </c>
      <c r="J314" s="44"/>
      <c r="K314" s="44"/>
      <c r="L314" s="4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>
        <v>51.26</v>
      </c>
      <c r="AQ314" s="3">
        <v>133.99</v>
      </c>
      <c r="AR314" s="3">
        <v>133.99</v>
      </c>
      <c r="AS314" s="3">
        <v>133.99</v>
      </c>
      <c r="AT314" s="3">
        <v>157.44999999999999</v>
      </c>
      <c r="AU314" s="3">
        <v>146.68</v>
      </c>
      <c r="AV314" s="3">
        <v>146.97999999999999</v>
      </c>
      <c r="AW314" s="3">
        <v>173.05</v>
      </c>
      <c r="AX314" s="3">
        <v>145.30000000000001</v>
      </c>
      <c r="AY314" s="3">
        <f>145.3+27.75+210</f>
        <v>383.05</v>
      </c>
      <c r="AZ314" s="3">
        <v>355.3</v>
      </c>
      <c r="BA314" s="3">
        <v>355.3</v>
      </c>
      <c r="BB314" s="105">
        <v>355.3</v>
      </c>
      <c r="BC314" s="3">
        <v>355.3</v>
      </c>
      <c r="BD314" s="3">
        <v>355.3</v>
      </c>
      <c r="BE314" s="3">
        <v>335.3</v>
      </c>
      <c r="BF314" s="3">
        <v>379.14</v>
      </c>
      <c r="BG314" s="3">
        <v>355.3</v>
      </c>
      <c r="BH314" s="3">
        <v>202.02</v>
      </c>
      <c r="BI314" s="3">
        <v>464.7</v>
      </c>
      <c r="BJ314" s="3">
        <v>254.7</v>
      </c>
      <c r="BK314" s="3">
        <v>2459.1</v>
      </c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1"/>
      <c r="BZ314" s="1"/>
      <c r="CA314" s="1"/>
      <c r="CC314" s="6"/>
    </row>
    <row r="315" spans="1:81" ht="15.75" customHeight="1">
      <c r="A315" s="266"/>
      <c r="B315" s="241"/>
      <c r="C315" s="252"/>
      <c r="D315" s="252"/>
      <c r="E315" s="252"/>
      <c r="F315" s="252"/>
      <c r="G315" s="252"/>
      <c r="H315" s="252"/>
      <c r="I315" s="52"/>
      <c r="J315" s="3">
        <f>SUM(J304:J313)-J314</f>
        <v>0</v>
      </c>
      <c r="K315" s="3">
        <f t="shared" ref="K315:AC315" si="134">SUM(K304:K313)-K314</f>
        <v>0</v>
      </c>
      <c r="L315" s="3">
        <f t="shared" si="134"/>
        <v>0</v>
      </c>
      <c r="M315" s="3">
        <f t="shared" si="134"/>
        <v>0</v>
      </c>
      <c r="N315" s="3">
        <f t="shared" si="134"/>
        <v>0</v>
      </c>
      <c r="O315" s="3">
        <f t="shared" si="134"/>
        <v>0</v>
      </c>
      <c r="P315" s="3">
        <f t="shared" si="134"/>
        <v>0</v>
      </c>
      <c r="Q315" s="3">
        <f t="shared" si="134"/>
        <v>0</v>
      </c>
      <c r="R315" s="3">
        <f t="shared" si="134"/>
        <v>0</v>
      </c>
      <c r="S315" s="3">
        <f t="shared" si="134"/>
        <v>0</v>
      </c>
      <c r="T315" s="3">
        <f t="shared" si="134"/>
        <v>0</v>
      </c>
      <c r="U315" s="3">
        <f t="shared" si="134"/>
        <v>0</v>
      </c>
      <c r="V315" s="3">
        <f t="shared" si="134"/>
        <v>0</v>
      </c>
      <c r="W315" s="3">
        <f t="shared" si="134"/>
        <v>0</v>
      </c>
      <c r="X315" s="3">
        <f t="shared" si="134"/>
        <v>0</v>
      </c>
      <c r="Y315" s="3">
        <f t="shared" si="134"/>
        <v>0</v>
      </c>
      <c r="Z315" s="3">
        <f t="shared" si="134"/>
        <v>0</v>
      </c>
      <c r="AA315" s="3">
        <f t="shared" si="134"/>
        <v>0</v>
      </c>
      <c r="AB315" s="3">
        <f t="shared" si="134"/>
        <v>0</v>
      </c>
      <c r="AC315" s="3">
        <f t="shared" si="134"/>
        <v>0</v>
      </c>
      <c r="AD315" s="3">
        <f>SUM(AD304:AD313)-AD314</f>
        <v>0</v>
      </c>
      <c r="AE315" s="3">
        <f>SUM(AE304:AE313)-AE314</f>
        <v>0</v>
      </c>
      <c r="AF315" s="3">
        <f>SUM(AF304:AF313)-AF314</f>
        <v>0</v>
      </c>
      <c r="AG315" s="3">
        <f t="shared" ref="AG315" si="135">SUM(AG304:AG313)-AG314</f>
        <v>0</v>
      </c>
      <c r="AH315" s="3">
        <f t="shared" ref="AH315" si="136">SUM(AH304:AH313)-AH314</f>
        <v>0</v>
      </c>
      <c r="AI315" s="3">
        <f>SUM(AI304:AI313)-AI314</f>
        <v>0</v>
      </c>
      <c r="AJ315" s="3">
        <f t="shared" ref="AJ315" si="137">SUM(AJ304:AJ313)-AJ314</f>
        <v>0</v>
      </c>
      <c r="AK315" s="3">
        <f>SUM(AK304:AK313)-AK314</f>
        <v>0</v>
      </c>
      <c r="AL315" s="3">
        <f t="shared" ref="AL315:AP315" si="138">SUM(AL304:AL313)-AL314</f>
        <v>0</v>
      </c>
      <c r="AM315" s="3">
        <f t="shared" si="138"/>
        <v>0</v>
      </c>
      <c r="AN315" s="3">
        <f t="shared" si="138"/>
        <v>0</v>
      </c>
      <c r="AO315" s="3">
        <f t="shared" si="138"/>
        <v>0</v>
      </c>
      <c r="AP315" s="3">
        <f t="shared" si="138"/>
        <v>812.23</v>
      </c>
      <c r="AQ315" s="3">
        <f t="shared" ref="AQ315:AT315" si="139">SUM(AQ304:AQ313)-AQ314</f>
        <v>2018.2</v>
      </c>
      <c r="AR315" s="3">
        <f t="shared" si="139"/>
        <v>2092.9899999999998</v>
      </c>
      <c r="AS315" s="3">
        <f t="shared" si="139"/>
        <v>2057.34</v>
      </c>
      <c r="AT315" s="3">
        <f t="shared" si="139"/>
        <v>2242.5</v>
      </c>
      <c r="AU315" s="3">
        <f>SUM(AU304:AU313)-AU314</f>
        <v>2499.7900000000004</v>
      </c>
      <c r="AV315" s="3">
        <f t="shared" ref="AV315:AY315" si="140">SUM(AV304:AV313)-AV314</f>
        <v>2662.4100000000003</v>
      </c>
      <c r="AW315" s="3">
        <f t="shared" si="140"/>
        <v>2135.37</v>
      </c>
      <c r="AX315" s="3">
        <f t="shared" si="140"/>
        <v>2153.5199999999995</v>
      </c>
      <c r="AY315" s="3">
        <f t="shared" si="140"/>
        <v>1985.2100000000003</v>
      </c>
      <c r="AZ315" s="3">
        <f t="shared" ref="AZ315:BA315" si="141">SUM(AZ304:AZ313)-AZ314</f>
        <v>2053.4199999999996</v>
      </c>
      <c r="BA315" s="3">
        <f t="shared" si="141"/>
        <v>1952.82</v>
      </c>
      <c r="BB315" s="105">
        <f t="shared" ref="BB315:BC315" si="142">SUM(BB304:BB313)-BB314</f>
        <v>1942.5000000000002</v>
      </c>
      <c r="BC315" s="3">
        <f t="shared" si="142"/>
        <v>1962.72</v>
      </c>
      <c r="BD315" s="3">
        <f>SUM(BD304:BD313)-BD314</f>
        <v>1963.7699999999998</v>
      </c>
      <c r="BE315" s="3">
        <f>SUM(BE304:BE313)-BE314</f>
        <v>2153.9199999999996</v>
      </c>
      <c r="BF315" s="3">
        <f>BF305+BF307+BF311-BF314</f>
        <v>2194.19</v>
      </c>
      <c r="BG315" s="3">
        <f>BG305+BG307+BG311-BG314</f>
        <v>1933.9799999999998</v>
      </c>
      <c r="BH315" s="3">
        <f>BH305-BH314</f>
        <v>2278.0700000000002</v>
      </c>
      <c r="BI315" s="3">
        <f>BI305+BI311-BI314</f>
        <v>1843.72</v>
      </c>
      <c r="BJ315" s="3">
        <f>BJ305+BJ311-BJ314</f>
        <v>2244.11</v>
      </c>
      <c r="BK315" s="3">
        <f>BK312-BK314</f>
        <v>723.73</v>
      </c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>
        <f>SUM(L315:BK315)</f>
        <v>43906.510000000009</v>
      </c>
      <c r="BY315" s="1"/>
      <c r="BZ315" s="1"/>
      <c r="CA315" s="1"/>
      <c r="CC315" s="6"/>
    </row>
    <row r="316" spans="1:81" ht="15.6" customHeight="1">
      <c r="A316" s="148" t="s">
        <v>346</v>
      </c>
      <c r="B316" s="148" t="s">
        <v>347</v>
      </c>
      <c r="C316" s="145" t="s">
        <v>310</v>
      </c>
      <c r="D316" s="145" t="s">
        <v>311</v>
      </c>
      <c r="E316" s="148" t="s">
        <v>312</v>
      </c>
      <c r="F316" s="148" t="s">
        <v>348</v>
      </c>
      <c r="G316" s="145" t="s">
        <v>314</v>
      </c>
      <c r="H316" s="145" t="s">
        <v>315</v>
      </c>
      <c r="I316" s="145" t="s">
        <v>349</v>
      </c>
      <c r="J316" s="146">
        <v>44105</v>
      </c>
      <c r="K316" s="146">
        <v>44136</v>
      </c>
      <c r="L316" s="146">
        <v>44166</v>
      </c>
      <c r="M316" s="146">
        <v>44197</v>
      </c>
      <c r="N316" s="146">
        <v>44228</v>
      </c>
      <c r="O316" s="146">
        <v>44256</v>
      </c>
      <c r="P316" s="146">
        <v>44287</v>
      </c>
      <c r="Q316" s="146">
        <v>44317</v>
      </c>
      <c r="R316" s="146">
        <v>44348</v>
      </c>
      <c r="S316" s="146">
        <v>44378</v>
      </c>
      <c r="T316" s="146">
        <v>44409</v>
      </c>
      <c r="U316" s="146">
        <v>44440</v>
      </c>
      <c r="V316" s="146">
        <v>44470</v>
      </c>
      <c r="W316" s="146">
        <v>44501</v>
      </c>
      <c r="X316" s="146">
        <v>44531</v>
      </c>
      <c r="Y316" s="146">
        <v>44562</v>
      </c>
      <c r="Z316" s="146">
        <v>44593</v>
      </c>
      <c r="AA316" s="146">
        <v>44621</v>
      </c>
      <c r="AB316" s="146">
        <v>44652</v>
      </c>
      <c r="AC316" s="146">
        <v>44682</v>
      </c>
      <c r="AD316" s="146">
        <v>44713</v>
      </c>
      <c r="AE316" s="146">
        <v>44743</v>
      </c>
      <c r="AF316" s="146">
        <v>44774</v>
      </c>
      <c r="AG316" s="146">
        <v>44805</v>
      </c>
      <c r="AH316" s="146">
        <v>44835</v>
      </c>
      <c r="AI316" s="146">
        <v>44866</v>
      </c>
      <c r="AJ316" s="146">
        <v>44896</v>
      </c>
      <c r="AK316" s="146">
        <v>44927</v>
      </c>
      <c r="AL316" s="146">
        <v>44958</v>
      </c>
      <c r="AM316" s="146">
        <v>44986</v>
      </c>
      <c r="AN316" s="146">
        <v>45017</v>
      </c>
      <c r="AO316" s="146">
        <v>45047</v>
      </c>
      <c r="AP316" s="146">
        <v>45078</v>
      </c>
      <c r="AQ316" s="146">
        <v>45108</v>
      </c>
      <c r="AR316" s="146">
        <v>45139</v>
      </c>
      <c r="AS316" s="146">
        <v>45170</v>
      </c>
      <c r="AT316" s="146">
        <v>45200</v>
      </c>
      <c r="AU316" s="146">
        <v>45231</v>
      </c>
      <c r="AV316" s="146">
        <v>45261</v>
      </c>
      <c r="AW316" s="146">
        <v>45292</v>
      </c>
      <c r="AX316" s="146">
        <v>45323</v>
      </c>
      <c r="AY316" s="146">
        <v>45352</v>
      </c>
      <c r="AZ316" s="146">
        <v>45383</v>
      </c>
      <c r="BA316" s="146">
        <v>45413</v>
      </c>
      <c r="BB316" s="146">
        <v>45444</v>
      </c>
      <c r="BC316" s="146">
        <v>45474</v>
      </c>
      <c r="BD316" s="146">
        <v>45505</v>
      </c>
      <c r="BE316" s="146">
        <v>45536</v>
      </c>
      <c r="BF316" s="146">
        <v>45566</v>
      </c>
      <c r="BG316" s="146">
        <v>45597</v>
      </c>
      <c r="BH316" s="146">
        <v>45627</v>
      </c>
      <c r="BI316" s="146">
        <v>45658</v>
      </c>
      <c r="BJ316" s="146">
        <v>45689</v>
      </c>
      <c r="BK316" s="146"/>
      <c r="BL316" s="146"/>
      <c r="BM316" s="146"/>
      <c r="BN316" s="146"/>
      <c r="BO316" s="146"/>
      <c r="BP316" s="146"/>
      <c r="BQ316" s="146"/>
      <c r="BR316" s="146"/>
      <c r="BS316" s="146"/>
      <c r="BT316" s="146"/>
      <c r="BU316" s="146"/>
      <c r="BV316" s="146"/>
      <c r="BW316" s="146"/>
      <c r="BX316" s="147" t="s">
        <v>13</v>
      </c>
      <c r="BY316" s="5"/>
      <c r="BZ316" s="5"/>
      <c r="CA316" s="5"/>
    </row>
    <row r="317" spans="1:81" ht="15.75" customHeight="1">
      <c r="A317" s="264">
        <v>23</v>
      </c>
      <c r="B317" s="241" t="s">
        <v>268</v>
      </c>
      <c r="C317" s="253" t="s">
        <v>92</v>
      </c>
      <c r="D317" s="253"/>
      <c r="E317" s="250"/>
      <c r="F317" s="139"/>
      <c r="G317" s="253"/>
      <c r="H317" s="253"/>
      <c r="I317" s="21" t="s">
        <v>350</v>
      </c>
      <c r="J317" s="21"/>
      <c r="K317" s="21"/>
      <c r="L317" s="21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105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1"/>
      <c r="BZ317" s="1"/>
      <c r="CA317" s="1"/>
      <c r="CC317" s="6"/>
    </row>
    <row r="318" spans="1:81" ht="15.75" customHeight="1">
      <c r="A318" s="265"/>
      <c r="B318" s="241"/>
      <c r="C318" s="254"/>
      <c r="D318" s="254"/>
      <c r="E318" s="251"/>
      <c r="F318" s="140"/>
      <c r="G318" s="254"/>
      <c r="H318" s="254"/>
      <c r="I318" s="21" t="s">
        <v>351</v>
      </c>
      <c r="J318" s="21"/>
      <c r="K318" s="21"/>
      <c r="L318" s="21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105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1"/>
      <c r="BZ318" s="1"/>
      <c r="CA318" s="1"/>
      <c r="CC318" s="6"/>
    </row>
    <row r="319" spans="1:81" ht="15.75" customHeight="1">
      <c r="A319" s="265"/>
      <c r="B319" s="241"/>
      <c r="C319" s="254"/>
      <c r="D319" s="254"/>
      <c r="E319" s="251"/>
      <c r="F319" s="140"/>
      <c r="G319" s="254"/>
      <c r="H319" s="254"/>
      <c r="I319" s="21" t="s">
        <v>371</v>
      </c>
      <c r="J319" s="21"/>
      <c r="K319" s="21"/>
      <c r="L319" s="21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105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1"/>
      <c r="BZ319" s="1"/>
      <c r="CA319" s="1"/>
      <c r="CC319" s="6"/>
    </row>
    <row r="320" spans="1:81" ht="15.75" customHeight="1">
      <c r="A320" s="265"/>
      <c r="B320" s="241"/>
      <c r="C320" s="254"/>
      <c r="D320" s="254"/>
      <c r="E320" s="251"/>
      <c r="F320" s="140"/>
      <c r="G320" s="254"/>
      <c r="H320" s="254"/>
      <c r="I320" s="21" t="s">
        <v>353</v>
      </c>
      <c r="J320" s="21"/>
      <c r="K320" s="21"/>
      <c r="L320" s="21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105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1"/>
      <c r="BZ320" s="1"/>
      <c r="CA320" s="1"/>
      <c r="CC320" s="6"/>
    </row>
    <row r="321" spans="1:81" ht="15.75" customHeight="1">
      <c r="A321" s="265"/>
      <c r="B321" s="241"/>
      <c r="C321" s="254"/>
      <c r="D321" s="254"/>
      <c r="E321" s="251"/>
      <c r="F321" s="140"/>
      <c r="G321" s="254"/>
      <c r="H321" s="254"/>
      <c r="I321" s="21" t="s">
        <v>354</v>
      </c>
      <c r="J321" s="21"/>
      <c r="K321" s="21"/>
      <c r="L321" s="21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105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1"/>
      <c r="BZ321" s="1"/>
      <c r="CA321" s="1"/>
      <c r="CC321" s="6"/>
    </row>
    <row r="322" spans="1:81" ht="15.75" customHeight="1">
      <c r="A322" s="265"/>
      <c r="B322" s="241"/>
      <c r="C322" s="254"/>
      <c r="D322" s="254"/>
      <c r="E322" s="251"/>
      <c r="F322" s="140"/>
      <c r="G322" s="254"/>
      <c r="H322" s="254"/>
      <c r="I322" s="21" t="s">
        <v>355</v>
      </c>
      <c r="J322" s="21"/>
      <c r="K322" s="21"/>
      <c r="L322" s="21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105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1"/>
      <c r="BZ322" s="1"/>
      <c r="CA322" s="1"/>
      <c r="CC322" s="6"/>
    </row>
    <row r="323" spans="1:81" ht="15.75" customHeight="1">
      <c r="A323" s="265"/>
      <c r="B323" s="241"/>
      <c r="C323" s="254"/>
      <c r="D323" s="254"/>
      <c r="E323" s="251"/>
      <c r="F323" s="140"/>
      <c r="G323" s="254"/>
      <c r="H323" s="254"/>
      <c r="I323" s="21" t="s">
        <v>356</v>
      </c>
      <c r="J323" s="21"/>
      <c r="K323" s="21"/>
      <c r="L323" s="21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134.4</v>
      </c>
      <c r="AV323" s="3"/>
      <c r="AW323" s="3"/>
      <c r="AX323" s="3"/>
      <c r="AY323" s="3"/>
      <c r="AZ323" s="3"/>
      <c r="BA323" s="3"/>
      <c r="BB323" s="105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1"/>
      <c r="BZ323" s="1"/>
      <c r="CA323" s="1"/>
      <c r="CC323" s="6"/>
    </row>
    <row r="324" spans="1:81" ht="15.75" customHeight="1">
      <c r="A324" s="265"/>
      <c r="B324" s="241"/>
      <c r="C324" s="254"/>
      <c r="D324" s="254"/>
      <c r="E324" s="251"/>
      <c r="F324" s="140"/>
      <c r="G324" s="254"/>
      <c r="H324" s="254"/>
      <c r="I324" s="21" t="s">
        <v>357</v>
      </c>
      <c r="J324" s="21"/>
      <c r="K324" s="21"/>
      <c r="L324" s="21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105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1"/>
      <c r="BZ324" s="1"/>
      <c r="CA324" s="1"/>
      <c r="CC324" s="6"/>
    </row>
    <row r="325" spans="1:81" ht="15.75" customHeight="1">
      <c r="A325" s="265"/>
      <c r="B325" s="241"/>
      <c r="C325" s="254"/>
      <c r="D325" s="254"/>
      <c r="E325" s="251"/>
      <c r="F325" s="140"/>
      <c r="G325" s="254"/>
      <c r="H325" s="254"/>
      <c r="I325" s="23" t="s">
        <v>362</v>
      </c>
      <c r="J325" s="23"/>
      <c r="K325" s="23"/>
      <c r="L325" s="2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1515.02</v>
      </c>
      <c r="AV325" s="3"/>
      <c r="AW325" s="3"/>
      <c r="AX325" s="3"/>
      <c r="AY325" s="3"/>
      <c r="AZ325" s="3"/>
      <c r="BA325" s="3"/>
      <c r="BB325" s="105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1"/>
      <c r="BZ325" s="1"/>
      <c r="CA325" s="1"/>
      <c r="CC325" s="6"/>
    </row>
    <row r="326" spans="1:81" ht="15.75" customHeight="1">
      <c r="A326" s="265"/>
      <c r="B326" s="241"/>
      <c r="C326" s="254"/>
      <c r="D326" s="254"/>
      <c r="E326" s="251"/>
      <c r="F326" s="140"/>
      <c r="G326" s="254"/>
      <c r="H326" s="254"/>
      <c r="I326" s="22" t="s">
        <v>363</v>
      </c>
      <c r="J326" s="22"/>
      <c r="K326" s="22"/>
      <c r="L326" s="2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105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1"/>
      <c r="BZ326" s="1"/>
      <c r="CA326" s="1"/>
      <c r="CC326" s="6"/>
    </row>
    <row r="327" spans="1:81" ht="15.75" customHeight="1">
      <c r="A327" s="265"/>
      <c r="B327" s="241"/>
      <c r="C327" s="254"/>
      <c r="D327" s="254"/>
      <c r="E327" s="251"/>
      <c r="F327" s="140"/>
      <c r="G327" s="254"/>
      <c r="H327" s="254"/>
      <c r="I327" s="44" t="s">
        <v>364</v>
      </c>
      <c r="J327" s="44"/>
      <c r="K327" s="44"/>
      <c r="L327" s="4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105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1"/>
      <c r="BZ327" s="1"/>
      <c r="CA327" s="1"/>
      <c r="CC327" s="6"/>
    </row>
    <row r="328" spans="1:81" ht="15.75" customHeight="1">
      <c r="A328" s="266"/>
      <c r="B328" s="241"/>
      <c r="C328" s="255"/>
      <c r="D328" s="255"/>
      <c r="E328" s="252"/>
      <c r="F328" s="141"/>
      <c r="G328" s="255"/>
      <c r="H328" s="255"/>
      <c r="I328" s="52"/>
      <c r="J328" s="3">
        <f>SUM(J317:J326)-J327</f>
        <v>0</v>
      </c>
      <c r="K328" s="3">
        <f t="shared" ref="K328:AC328" si="143">SUM(K317:K326)-K327</f>
        <v>0</v>
      </c>
      <c r="L328" s="3">
        <f t="shared" si="143"/>
        <v>0</v>
      </c>
      <c r="M328" s="3">
        <f t="shared" si="143"/>
        <v>0</v>
      </c>
      <c r="N328" s="3">
        <f t="shared" si="143"/>
        <v>0</v>
      </c>
      <c r="O328" s="3">
        <f t="shared" si="143"/>
        <v>0</v>
      </c>
      <c r="P328" s="3">
        <f t="shared" si="143"/>
        <v>0</v>
      </c>
      <c r="Q328" s="3">
        <f t="shared" si="143"/>
        <v>0</v>
      </c>
      <c r="R328" s="3">
        <f t="shared" si="143"/>
        <v>0</v>
      </c>
      <c r="S328" s="3">
        <f t="shared" si="143"/>
        <v>0</v>
      </c>
      <c r="T328" s="3">
        <f t="shared" si="143"/>
        <v>0</v>
      </c>
      <c r="U328" s="3">
        <f t="shared" si="143"/>
        <v>0</v>
      </c>
      <c r="V328" s="3">
        <f t="shared" si="143"/>
        <v>0</v>
      </c>
      <c r="W328" s="3">
        <f t="shared" si="143"/>
        <v>0</v>
      </c>
      <c r="X328" s="3">
        <f t="shared" si="143"/>
        <v>0</v>
      </c>
      <c r="Y328" s="3">
        <f t="shared" si="143"/>
        <v>0</v>
      </c>
      <c r="Z328" s="3">
        <f t="shared" si="143"/>
        <v>0</v>
      </c>
      <c r="AA328" s="3">
        <f t="shared" si="143"/>
        <v>0</v>
      </c>
      <c r="AB328" s="3">
        <f t="shared" si="143"/>
        <v>0</v>
      </c>
      <c r="AC328" s="3">
        <f t="shared" si="143"/>
        <v>0</v>
      </c>
      <c r="AD328" s="3">
        <f>SUM(AD317:AD326)-AD327</f>
        <v>0</v>
      </c>
      <c r="AE328" s="3">
        <f>SUM(AE317:AE326)-AE327</f>
        <v>0</v>
      </c>
      <c r="AF328" s="3">
        <f>SUM(AF317:AF326)-AF327</f>
        <v>0</v>
      </c>
      <c r="AG328" s="3">
        <f t="shared" ref="AG328" si="144">SUM(AG317:AG326)-AG327</f>
        <v>0</v>
      </c>
      <c r="AH328" s="3">
        <f t="shared" ref="AH328" si="145">SUM(AH317:AH326)-AH327</f>
        <v>0</v>
      </c>
      <c r="AI328" s="3">
        <f>SUM(AI317:AI326)-AI327</f>
        <v>0</v>
      </c>
      <c r="AJ328" s="3">
        <f t="shared" ref="AJ328" si="146">SUM(AJ317:AJ326)-AJ327</f>
        <v>0</v>
      </c>
      <c r="AK328" s="3">
        <f>SUM(AK317:AK326)-AK327</f>
        <v>0</v>
      </c>
      <c r="AL328" s="3">
        <f t="shared" ref="AL328:AP328" si="147">SUM(AL317:AL326)-AL327</f>
        <v>0</v>
      </c>
      <c r="AM328" s="3">
        <f t="shared" si="147"/>
        <v>0</v>
      </c>
      <c r="AN328" s="3">
        <f t="shared" si="147"/>
        <v>0</v>
      </c>
      <c r="AO328" s="3">
        <f t="shared" si="147"/>
        <v>0</v>
      </c>
      <c r="AP328" s="3">
        <f t="shared" si="147"/>
        <v>0</v>
      </c>
      <c r="AQ328" s="3">
        <f t="shared" ref="AQ328:AY328" si="148">SUM(AQ317:AQ326)-AQ327</f>
        <v>0</v>
      </c>
      <c r="AR328" s="3">
        <f t="shared" si="148"/>
        <v>0</v>
      </c>
      <c r="AS328" s="3">
        <f t="shared" si="148"/>
        <v>0</v>
      </c>
      <c r="AT328" s="3">
        <f t="shared" si="148"/>
        <v>0</v>
      </c>
      <c r="AU328" s="3">
        <f t="shared" si="148"/>
        <v>1649.42</v>
      </c>
      <c r="AV328" s="3">
        <f t="shared" si="148"/>
        <v>0</v>
      </c>
      <c r="AW328" s="3">
        <f t="shared" si="148"/>
        <v>0</v>
      </c>
      <c r="AX328" s="3">
        <f t="shared" si="148"/>
        <v>0</v>
      </c>
      <c r="AY328" s="3">
        <f t="shared" si="148"/>
        <v>0</v>
      </c>
      <c r="AZ328" s="3">
        <f t="shared" ref="AZ328:BD328" si="149">SUM(AZ317:AZ326)-AZ327</f>
        <v>0</v>
      </c>
      <c r="BA328" s="3">
        <f t="shared" si="149"/>
        <v>0</v>
      </c>
      <c r="BB328" s="105">
        <f t="shared" si="149"/>
        <v>0</v>
      </c>
      <c r="BC328" s="3">
        <f t="shared" si="149"/>
        <v>0</v>
      </c>
      <c r="BD328" s="3">
        <f t="shared" si="149"/>
        <v>0</v>
      </c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>
        <f>SUM(J328:AY328)</f>
        <v>1649.42</v>
      </c>
      <c r="BY328" s="1"/>
      <c r="BZ328" s="1"/>
      <c r="CA328" s="1"/>
      <c r="CC328" s="6"/>
    </row>
    <row r="329" spans="1:81" ht="15.6" customHeight="1">
      <c r="A329" s="148" t="s">
        <v>346</v>
      </c>
      <c r="B329" s="148" t="s">
        <v>347</v>
      </c>
      <c r="C329" s="145" t="s">
        <v>310</v>
      </c>
      <c r="D329" s="145" t="s">
        <v>311</v>
      </c>
      <c r="E329" s="148" t="s">
        <v>312</v>
      </c>
      <c r="F329" s="148" t="s">
        <v>348</v>
      </c>
      <c r="G329" s="145" t="s">
        <v>314</v>
      </c>
      <c r="H329" s="145" t="s">
        <v>315</v>
      </c>
      <c r="I329" s="145" t="s">
        <v>349</v>
      </c>
      <c r="J329" s="146">
        <v>44105</v>
      </c>
      <c r="K329" s="146">
        <v>44136</v>
      </c>
      <c r="L329" s="146">
        <v>44166</v>
      </c>
      <c r="M329" s="146">
        <v>44197</v>
      </c>
      <c r="N329" s="146">
        <v>44228</v>
      </c>
      <c r="O329" s="146">
        <v>44256</v>
      </c>
      <c r="P329" s="146">
        <v>44287</v>
      </c>
      <c r="Q329" s="146">
        <v>44317</v>
      </c>
      <c r="R329" s="146">
        <v>44348</v>
      </c>
      <c r="S329" s="146">
        <v>44378</v>
      </c>
      <c r="T329" s="146">
        <v>44409</v>
      </c>
      <c r="U329" s="146">
        <v>44440</v>
      </c>
      <c r="V329" s="146">
        <v>44470</v>
      </c>
      <c r="W329" s="146">
        <v>44501</v>
      </c>
      <c r="X329" s="146">
        <v>44531</v>
      </c>
      <c r="Y329" s="146">
        <v>44562</v>
      </c>
      <c r="Z329" s="146">
        <v>44593</v>
      </c>
      <c r="AA329" s="146">
        <v>44621</v>
      </c>
      <c r="AB329" s="146">
        <v>44652</v>
      </c>
      <c r="AC329" s="146">
        <v>44682</v>
      </c>
      <c r="AD329" s="146">
        <v>44713</v>
      </c>
      <c r="AE329" s="146">
        <v>44743</v>
      </c>
      <c r="AF329" s="146">
        <v>44774</v>
      </c>
      <c r="AG329" s="146">
        <v>44805</v>
      </c>
      <c r="AH329" s="146">
        <v>44835</v>
      </c>
      <c r="AI329" s="146">
        <v>44866</v>
      </c>
      <c r="AJ329" s="146">
        <v>44896</v>
      </c>
      <c r="AK329" s="146">
        <v>44927</v>
      </c>
      <c r="AL329" s="146">
        <v>44958</v>
      </c>
      <c r="AM329" s="146">
        <v>44986</v>
      </c>
      <c r="AN329" s="146">
        <v>45017</v>
      </c>
      <c r="AO329" s="146">
        <v>45047</v>
      </c>
      <c r="AP329" s="146">
        <v>45078</v>
      </c>
      <c r="AQ329" s="146">
        <v>45108</v>
      </c>
      <c r="AR329" s="146">
        <v>45139</v>
      </c>
      <c r="AS329" s="146">
        <v>45170</v>
      </c>
      <c r="AT329" s="146">
        <v>45200</v>
      </c>
      <c r="AU329" s="146">
        <v>45231</v>
      </c>
      <c r="AV329" s="146">
        <v>45261</v>
      </c>
      <c r="AW329" s="146">
        <v>45292</v>
      </c>
      <c r="AX329" s="146">
        <v>45323</v>
      </c>
      <c r="AY329" s="146">
        <v>45352</v>
      </c>
      <c r="AZ329" s="146">
        <v>45383</v>
      </c>
      <c r="BA329" s="146">
        <v>45413</v>
      </c>
      <c r="BB329" s="146">
        <v>45444</v>
      </c>
      <c r="BC329" s="146">
        <v>45474</v>
      </c>
      <c r="BD329" s="146">
        <v>45505</v>
      </c>
      <c r="BE329" s="146">
        <v>45536</v>
      </c>
      <c r="BF329" s="146">
        <v>45566</v>
      </c>
      <c r="BG329" s="146">
        <v>45597</v>
      </c>
      <c r="BH329" s="146">
        <v>45627</v>
      </c>
      <c r="BI329" s="146">
        <v>45658</v>
      </c>
      <c r="BJ329" s="146">
        <v>45689</v>
      </c>
      <c r="BK329" s="146">
        <v>45717</v>
      </c>
      <c r="BL329" s="146">
        <v>45748</v>
      </c>
      <c r="BM329" s="146">
        <v>45778</v>
      </c>
      <c r="BN329" s="146">
        <v>45809</v>
      </c>
      <c r="BO329" s="146">
        <v>45839</v>
      </c>
      <c r="BP329" s="146">
        <v>45870</v>
      </c>
      <c r="BQ329" s="146">
        <v>45901</v>
      </c>
      <c r="BR329" s="146"/>
      <c r="BS329" s="146"/>
      <c r="BT329" s="146"/>
      <c r="BU329" s="146"/>
      <c r="BV329" s="146"/>
      <c r="BW329" s="146"/>
      <c r="BX329" s="147" t="s">
        <v>13</v>
      </c>
      <c r="BY329" s="5"/>
      <c r="BZ329" s="5"/>
      <c r="CA329" s="5"/>
    </row>
    <row r="330" spans="1:81" ht="15.75" customHeight="1">
      <c r="A330" s="264">
        <v>24</v>
      </c>
      <c r="B330" s="241" t="s">
        <v>179</v>
      </c>
      <c r="C330" s="253" t="s">
        <v>23</v>
      </c>
      <c r="D330" s="253" t="s">
        <v>89</v>
      </c>
      <c r="E330" s="250" t="s">
        <v>150</v>
      </c>
      <c r="F330" s="250" t="s">
        <v>150</v>
      </c>
      <c r="G330" s="256">
        <v>45701</v>
      </c>
      <c r="H330" s="253"/>
      <c r="I330" s="21" t="s">
        <v>350</v>
      </c>
      <c r="J330" s="21"/>
      <c r="K330" s="21"/>
      <c r="L330" s="21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105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1"/>
      <c r="BZ330" s="1"/>
      <c r="CA330" s="1"/>
      <c r="CC330" s="6"/>
    </row>
    <row r="331" spans="1:81" ht="15.75" customHeight="1">
      <c r="A331" s="265"/>
      <c r="B331" s="241"/>
      <c r="C331" s="254"/>
      <c r="D331" s="254"/>
      <c r="E331" s="251"/>
      <c r="F331" s="251"/>
      <c r="G331" s="254"/>
      <c r="H331" s="254"/>
      <c r="I331" s="21" t="s">
        <v>351</v>
      </c>
      <c r="J331" s="21"/>
      <c r="K331" s="21"/>
      <c r="L331" s="21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105"/>
      <c r="BC331" s="3"/>
      <c r="BD331" s="3"/>
      <c r="BE331" s="3"/>
      <c r="BF331" s="3"/>
      <c r="BG331" s="3"/>
      <c r="BH331" s="3"/>
      <c r="BI331" s="3"/>
      <c r="BJ331" s="3">
        <v>1109.8900000000001</v>
      </c>
      <c r="BK331" s="3">
        <v>1849.81</v>
      </c>
      <c r="BL331" s="3">
        <v>1849.81</v>
      </c>
      <c r="BM331" s="3">
        <v>1849.81</v>
      </c>
      <c r="BN331" s="3">
        <v>1849.81</v>
      </c>
      <c r="BO331" s="3">
        <v>1849.81</v>
      </c>
      <c r="BP331" s="3">
        <v>1849.81</v>
      </c>
      <c r="BQ331" s="3">
        <v>369.96</v>
      </c>
      <c r="BR331" s="3"/>
      <c r="BS331" s="3"/>
      <c r="BT331" s="3"/>
      <c r="BU331" s="3"/>
      <c r="BV331" s="3"/>
      <c r="BW331" s="3"/>
      <c r="BX331" s="3"/>
      <c r="BY331" s="1"/>
      <c r="BZ331" s="1"/>
      <c r="CA331" s="1"/>
      <c r="CC331" s="6"/>
    </row>
    <row r="332" spans="1:81" ht="15.75" customHeight="1">
      <c r="A332" s="265"/>
      <c r="B332" s="241"/>
      <c r="C332" s="254"/>
      <c r="D332" s="254"/>
      <c r="E332" s="251"/>
      <c r="F332" s="251"/>
      <c r="G332" s="254"/>
      <c r="H332" s="254"/>
      <c r="I332" s="21" t="s">
        <v>371</v>
      </c>
      <c r="J332" s="21"/>
      <c r="K332" s="21"/>
      <c r="L332" s="21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105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1"/>
      <c r="BZ332" s="1"/>
      <c r="CA332" s="1"/>
      <c r="CC332" s="6"/>
    </row>
    <row r="333" spans="1:81" ht="15.75" customHeight="1">
      <c r="A333" s="265"/>
      <c r="B333" s="241"/>
      <c r="C333" s="254"/>
      <c r="D333" s="254"/>
      <c r="E333" s="251"/>
      <c r="F333" s="251"/>
      <c r="G333" s="254"/>
      <c r="H333" s="254"/>
      <c r="I333" s="21" t="s">
        <v>353</v>
      </c>
      <c r="J333" s="21"/>
      <c r="K333" s="21"/>
      <c r="L333" s="21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105"/>
      <c r="BC333" s="3"/>
      <c r="BD333" s="3"/>
      <c r="BE333" s="3"/>
      <c r="BF333" s="3"/>
      <c r="BG333" s="3"/>
      <c r="BH333" s="3"/>
      <c r="BI333" s="3"/>
      <c r="BK333" s="3">
        <f>245.6+49</f>
        <v>294.60000000000002</v>
      </c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1"/>
      <c r="BZ333" s="1"/>
      <c r="CA333" s="1"/>
      <c r="CC333" s="6"/>
    </row>
    <row r="334" spans="1:81" ht="15.75" customHeight="1">
      <c r="A334" s="265"/>
      <c r="B334" s="241"/>
      <c r="C334" s="254"/>
      <c r="D334" s="254"/>
      <c r="E334" s="251"/>
      <c r="F334" s="251"/>
      <c r="G334" s="254"/>
      <c r="H334" s="254"/>
      <c r="I334" s="21" t="s">
        <v>354</v>
      </c>
      <c r="J334" s="21"/>
      <c r="K334" s="21"/>
      <c r="L334" s="21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105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1"/>
      <c r="BZ334" s="1"/>
      <c r="CA334" s="1"/>
      <c r="CC334" s="6"/>
    </row>
    <row r="335" spans="1:81" ht="15.75" customHeight="1">
      <c r="A335" s="265"/>
      <c r="B335" s="241"/>
      <c r="C335" s="254"/>
      <c r="D335" s="254"/>
      <c r="E335" s="251"/>
      <c r="F335" s="251"/>
      <c r="G335" s="254"/>
      <c r="H335" s="254"/>
      <c r="I335" s="21" t="s">
        <v>355</v>
      </c>
      <c r="J335" s="21"/>
      <c r="K335" s="21"/>
      <c r="L335" s="21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105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1"/>
      <c r="BZ335" s="1"/>
      <c r="CA335" s="1"/>
      <c r="CC335" s="6"/>
    </row>
    <row r="336" spans="1:81" ht="15.75" customHeight="1">
      <c r="A336" s="265"/>
      <c r="B336" s="241"/>
      <c r="C336" s="254"/>
      <c r="D336" s="254"/>
      <c r="E336" s="251"/>
      <c r="F336" s="251"/>
      <c r="G336" s="254"/>
      <c r="H336" s="254"/>
      <c r="I336" s="21" t="s">
        <v>356</v>
      </c>
      <c r="J336" s="21"/>
      <c r="K336" s="21"/>
      <c r="L336" s="21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105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1"/>
      <c r="BZ336" s="1"/>
      <c r="CA336" s="1"/>
      <c r="CC336" s="6"/>
    </row>
    <row r="337" spans="1:81" ht="15.75" customHeight="1">
      <c r="A337" s="265"/>
      <c r="B337" s="241"/>
      <c r="C337" s="254"/>
      <c r="D337" s="254"/>
      <c r="E337" s="251"/>
      <c r="F337" s="251"/>
      <c r="G337" s="254"/>
      <c r="H337" s="254"/>
      <c r="I337" s="21" t="s">
        <v>357</v>
      </c>
      <c r="J337" s="21"/>
      <c r="K337" s="21"/>
      <c r="L337" s="21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105"/>
      <c r="BC337" s="3"/>
      <c r="BD337" s="3"/>
      <c r="BE337" s="3"/>
      <c r="BF337" s="3"/>
      <c r="BG337" s="3"/>
      <c r="BH337" s="3"/>
      <c r="BI337" s="3"/>
      <c r="BJ337" s="3">
        <f>148.8+138.67</f>
        <v>287.47000000000003</v>
      </c>
      <c r="BK337" s="3">
        <v>606</v>
      </c>
      <c r="BL337" s="3">
        <f>264+320</f>
        <v>584</v>
      </c>
      <c r="BM337" s="3">
        <v>606</v>
      </c>
      <c r="BN337" s="3">
        <f>264+320</f>
        <v>584</v>
      </c>
      <c r="BO337" s="3">
        <f>242+320</f>
        <v>562</v>
      </c>
      <c r="BP337" s="3">
        <f>320+220</f>
        <v>540</v>
      </c>
      <c r="BQ337" s="3"/>
      <c r="BR337" s="3"/>
      <c r="BS337" s="3"/>
      <c r="BT337" s="3"/>
      <c r="BU337" s="3"/>
      <c r="BV337" s="3"/>
      <c r="BW337" s="3"/>
      <c r="BX337" s="3"/>
      <c r="BY337" s="1"/>
      <c r="BZ337" s="1"/>
      <c r="CA337" s="1"/>
      <c r="CC337" s="6"/>
    </row>
    <row r="338" spans="1:81" ht="15.75" customHeight="1">
      <c r="A338" s="265"/>
      <c r="B338" s="241"/>
      <c r="C338" s="254"/>
      <c r="D338" s="254"/>
      <c r="E338" s="251"/>
      <c r="F338" s="251"/>
      <c r="G338" s="254"/>
      <c r="H338" s="254"/>
      <c r="I338" s="23" t="s">
        <v>362</v>
      </c>
      <c r="J338" s="23"/>
      <c r="K338" s="23"/>
      <c r="L338" s="2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105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1"/>
      <c r="BZ338" s="1"/>
      <c r="CA338" s="1"/>
      <c r="CC338" s="6"/>
    </row>
    <row r="339" spans="1:81" ht="15.75" customHeight="1">
      <c r="A339" s="265"/>
      <c r="B339" s="241"/>
      <c r="C339" s="254"/>
      <c r="D339" s="254"/>
      <c r="E339" s="251"/>
      <c r="F339" s="251"/>
      <c r="G339" s="254"/>
      <c r="H339" s="254"/>
      <c r="I339" s="22" t="s">
        <v>363</v>
      </c>
      <c r="J339" s="22"/>
      <c r="K339" s="22"/>
      <c r="L339" s="2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105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1"/>
      <c r="BZ339" s="1"/>
      <c r="CA339" s="1"/>
      <c r="CC339" s="6"/>
    </row>
    <row r="340" spans="1:81" ht="15.75" customHeight="1">
      <c r="A340" s="265"/>
      <c r="B340" s="241"/>
      <c r="C340" s="254"/>
      <c r="D340" s="254"/>
      <c r="E340" s="251"/>
      <c r="F340" s="251"/>
      <c r="G340" s="254"/>
      <c r="H340" s="254"/>
      <c r="I340" s="44" t="s">
        <v>364</v>
      </c>
      <c r="J340" s="44"/>
      <c r="K340" s="44"/>
      <c r="L340" s="4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105"/>
      <c r="BC340" s="3"/>
      <c r="BD340" s="3"/>
      <c r="BE340" s="3"/>
      <c r="BF340" s="3"/>
      <c r="BG340" s="3"/>
      <c r="BH340" s="3"/>
      <c r="BI340" s="3"/>
      <c r="BJ340" s="3">
        <v>254.7</v>
      </c>
      <c r="BK340" s="3">
        <v>281.16000000000003</v>
      </c>
      <c r="BL340" s="3">
        <v>254.7</v>
      </c>
      <c r="BM340" s="3">
        <v>254.7</v>
      </c>
      <c r="BN340" s="3">
        <v>254.7</v>
      </c>
      <c r="BO340" s="3">
        <v>254.7</v>
      </c>
      <c r="BP340" s="3">
        <v>254.7</v>
      </c>
      <c r="BQ340" s="3">
        <v>369.96</v>
      </c>
      <c r="BR340" s="3"/>
      <c r="BS340" s="3"/>
      <c r="BT340" s="3"/>
      <c r="BU340" s="3"/>
      <c r="BV340" s="3"/>
      <c r="BW340" s="3"/>
      <c r="BX340" s="3"/>
      <c r="BY340" s="1"/>
      <c r="BZ340" s="1"/>
      <c r="CA340" s="1"/>
      <c r="CC340" s="6"/>
    </row>
    <row r="341" spans="1:81" ht="15.75" customHeight="1">
      <c r="A341" s="266"/>
      <c r="B341" s="241"/>
      <c r="C341" s="255"/>
      <c r="D341" s="255"/>
      <c r="E341" s="252"/>
      <c r="F341" s="252"/>
      <c r="G341" s="255"/>
      <c r="H341" s="255"/>
      <c r="I341" s="52"/>
      <c r="J341" s="3">
        <f>SUM(J330:J339)-J340</f>
        <v>0</v>
      </c>
      <c r="K341" s="3">
        <f t="shared" ref="K341:AC341" si="150">SUM(K330:K339)-K340</f>
        <v>0</v>
      </c>
      <c r="L341" s="3">
        <f t="shared" si="150"/>
        <v>0</v>
      </c>
      <c r="M341" s="3">
        <f t="shared" si="150"/>
        <v>0</v>
      </c>
      <c r="N341" s="3">
        <f t="shared" si="150"/>
        <v>0</v>
      </c>
      <c r="O341" s="3">
        <f t="shared" si="150"/>
        <v>0</v>
      </c>
      <c r="P341" s="3">
        <f t="shared" si="150"/>
        <v>0</v>
      </c>
      <c r="Q341" s="3">
        <f t="shared" si="150"/>
        <v>0</v>
      </c>
      <c r="R341" s="3">
        <f t="shared" si="150"/>
        <v>0</v>
      </c>
      <c r="S341" s="3">
        <f t="shared" si="150"/>
        <v>0</v>
      </c>
      <c r="T341" s="3">
        <f t="shared" si="150"/>
        <v>0</v>
      </c>
      <c r="U341" s="3">
        <f t="shared" si="150"/>
        <v>0</v>
      </c>
      <c r="V341" s="3">
        <f t="shared" si="150"/>
        <v>0</v>
      </c>
      <c r="W341" s="3">
        <f t="shared" si="150"/>
        <v>0</v>
      </c>
      <c r="X341" s="3">
        <f t="shared" si="150"/>
        <v>0</v>
      </c>
      <c r="Y341" s="3">
        <f t="shared" si="150"/>
        <v>0</v>
      </c>
      <c r="Z341" s="3">
        <f t="shared" si="150"/>
        <v>0</v>
      </c>
      <c r="AA341" s="3">
        <f t="shared" si="150"/>
        <v>0</v>
      </c>
      <c r="AB341" s="3">
        <f t="shared" si="150"/>
        <v>0</v>
      </c>
      <c r="AC341" s="3">
        <f t="shared" si="150"/>
        <v>0</v>
      </c>
      <c r="AD341" s="3">
        <f>SUM(AD330:AD339)-AD340</f>
        <v>0</v>
      </c>
      <c r="AE341" s="3">
        <f>SUM(AE330:AE339)-AE340</f>
        <v>0</v>
      </c>
      <c r="AF341" s="3">
        <f>SUM(AF330:AF339)-AF340</f>
        <v>0</v>
      </c>
      <c r="AG341" s="3">
        <f t="shared" ref="AG341" si="151">SUM(AG330:AG339)-AG340</f>
        <v>0</v>
      </c>
      <c r="AH341" s="3">
        <f t="shared" ref="AH341" si="152">SUM(AH330:AH339)-AH340</f>
        <v>0</v>
      </c>
      <c r="AI341" s="3">
        <f>SUM(AI330:AI339)-AI340</f>
        <v>0</v>
      </c>
      <c r="AJ341" s="3">
        <f t="shared" ref="AJ341" si="153">SUM(AJ330:AJ339)-AJ340</f>
        <v>0</v>
      </c>
      <c r="AK341" s="3">
        <f>SUM(AK330:AK339)-AK340</f>
        <v>0</v>
      </c>
      <c r="AL341" s="3">
        <f t="shared" ref="AL341:AP341" si="154">SUM(AL330:AL339)-AL340</f>
        <v>0</v>
      </c>
      <c r="AM341" s="3">
        <f t="shared" si="154"/>
        <v>0</v>
      </c>
      <c r="AN341" s="3">
        <f t="shared" si="154"/>
        <v>0</v>
      </c>
      <c r="AO341" s="3">
        <f t="shared" si="154"/>
        <v>0</v>
      </c>
      <c r="AP341" s="3">
        <f t="shared" si="154"/>
        <v>0</v>
      </c>
      <c r="AQ341" s="3">
        <f t="shared" ref="AQ341:AT341" si="155">SUM(AQ330:AQ339)-AQ340</f>
        <v>0</v>
      </c>
      <c r="AR341" s="3">
        <f t="shared" si="155"/>
        <v>0</v>
      </c>
      <c r="AS341" s="3">
        <f t="shared" si="155"/>
        <v>0</v>
      </c>
      <c r="AT341" s="3">
        <f t="shared" si="155"/>
        <v>0</v>
      </c>
      <c r="AU341" s="3">
        <f>SUM(AU330:AU339)-AU340</f>
        <v>0</v>
      </c>
      <c r="AV341" s="3"/>
      <c r="AW341" s="3">
        <f t="shared" ref="AW341:BC341" si="156">SUM(AW330:AW339)-AW340</f>
        <v>0</v>
      </c>
      <c r="AX341" s="3">
        <f t="shared" si="156"/>
        <v>0</v>
      </c>
      <c r="AY341" s="3">
        <f t="shared" si="156"/>
        <v>0</v>
      </c>
      <c r="AZ341" s="3">
        <f t="shared" si="156"/>
        <v>0</v>
      </c>
      <c r="BA341" s="3">
        <f t="shared" si="156"/>
        <v>0</v>
      </c>
      <c r="BB341" s="105">
        <f t="shared" si="156"/>
        <v>0</v>
      </c>
      <c r="BC341" s="3">
        <f t="shared" si="156"/>
        <v>0</v>
      </c>
      <c r="BD341" s="3">
        <f t="shared" ref="BD341" si="157">SUM(BD330:BD339)-BD340</f>
        <v>0</v>
      </c>
      <c r="BE341" s="3"/>
      <c r="BF341" s="3"/>
      <c r="BG341" s="3"/>
      <c r="BH341" s="3"/>
      <c r="BI341" s="3"/>
      <c r="BJ341" s="3">
        <f>BJ331+BJ337-BJ340</f>
        <v>1142.6600000000001</v>
      </c>
      <c r="BK341" s="3">
        <f t="shared" ref="BK341:BP341" si="158">BK331+BK333+BK337-BK340</f>
        <v>2469.25</v>
      </c>
      <c r="BL341" s="3">
        <f t="shared" si="158"/>
        <v>2179.11</v>
      </c>
      <c r="BM341" s="3">
        <f t="shared" si="158"/>
        <v>2201.11</v>
      </c>
      <c r="BN341" s="3">
        <f t="shared" si="158"/>
        <v>2179.11</v>
      </c>
      <c r="BO341" s="3">
        <f t="shared" si="158"/>
        <v>2157.11</v>
      </c>
      <c r="BP341" s="3">
        <f t="shared" si="158"/>
        <v>2135.11</v>
      </c>
      <c r="BQ341" s="3">
        <f t="shared" ref="BQ341" si="159">BQ331+BQ333+BQ337-BQ340</f>
        <v>0</v>
      </c>
      <c r="BR341" s="3"/>
      <c r="BS341" s="3"/>
      <c r="BT341" s="3"/>
      <c r="BU341" s="3"/>
      <c r="BV341" s="3"/>
      <c r="BW341" s="3"/>
      <c r="BX341" s="105">
        <f>SUM(BJ341:BR341)</f>
        <v>14463.460000000003</v>
      </c>
      <c r="BY341" s="1"/>
      <c r="BZ341" s="1"/>
      <c r="CA341" s="1"/>
      <c r="CC341" s="6"/>
    </row>
    <row r="342" spans="1:81" ht="15.6" customHeight="1">
      <c r="A342" s="148" t="s">
        <v>346</v>
      </c>
      <c r="B342" s="148" t="s">
        <v>347</v>
      </c>
      <c r="C342" s="145" t="s">
        <v>310</v>
      </c>
      <c r="D342" s="145" t="s">
        <v>311</v>
      </c>
      <c r="E342" s="148" t="s">
        <v>312</v>
      </c>
      <c r="F342" s="148" t="s">
        <v>348</v>
      </c>
      <c r="G342" s="145" t="s">
        <v>314</v>
      </c>
      <c r="H342" s="145" t="s">
        <v>315</v>
      </c>
      <c r="I342" s="145" t="s">
        <v>349</v>
      </c>
      <c r="J342" s="146">
        <v>44105</v>
      </c>
      <c r="K342" s="146">
        <v>44136</v>
      </c>
      <c r="L342" s="146">
        <v>44166</v>
      </c>
      <c r="M342" s="146">
        <v>44197</v>
      </c>
      <c r="N342" s="146">
        <v>44228</v>
      </c>
      <c r="O342" s="146">
        <v>44256</v>
      </c>
      <c r="P342" s="146">
        <v>44287</v>
      </c>
      <c r="Q342" s="146">
        <v>44317</v>
      </c>
      <c r="R342" s="146">
        <v>44348</v>
      </c>
      <c r="S342" s="146">
        <v>44378</v>
      </c>
      <c r="T342" s="146">
        <v>44409</v>
      </c>
      <c r="U342" s="146">
        <v>44440</v>
      </c>
      <c r="V342" s="146">
        <v>44470</v>
      </c>
      <c r="W342" s="146">
        <v>44501</v>
      </c>
      <c r="X342" s="146">
        <v>44531</v>
      </c>
      <c r="Y342" s="146">
        <v>44562</v>
      </c>
      <c r="Z342" s="146">
        <v>44593</v>
      </c>
      <c r="AA342" s="146">
        <v>44621</v>
      </c>
      <c r="AB342" s="146">
        <v>44652</v>
      </c>
      <c r="AC342" s="146">
        <v>44682</v>
      </c>
      <c r="AD342" s="146">
        <v>44713</v>
      </c>
      <c r="AE342" s="146">
        <v>44743</v>
      </c>
      <c r="AF342" s="146">
        <v>44774</v>
      </c>
      <c r="AG342" s="146">
        <v>44805</v>
      </c>
      <c r="AH342" s="146">
        <v>44835</v>
      </c>
      <c r="AI342" s="146">
        <v>44866</v>
      </c>
      <c r="AJ342" s="146">
        <v>44896</v>
      </c>
      <c r="AK342" s="146">
        <v>44927</v>
      </c>
      <c r="AL342" s="146">
        <v>44958</v>
      </c>
      <c r="AM342" s="146">
        <v>44986</v>
      </c>
      <c r="AN342" s="146">
        <v>45017</v>
      </c>
      <c r="AO342" s="146">
        <v>45047</v>
      </c>
      <c r="AP342" s="146">
        <v>45078</v>
      </c>
      <c r="AQ342" s="146">
        <v>45108</v>
      </c>
      <c r="AR342" s="146">
        <v>45139</v>
      </c>
      <c r="AS342" s="146">
        <v>45170</v>
      </c>
      <c r="AT342" s="146">
        <v>45200</v>
      </c>
      <c r="AU342" s="146">
        <v>45231</v>
      </c>
      <c r="AV342" s="146">
        <v>45261</v>
      </c>
      <c r="AW342" s="146">
        <v>45292</v>
      </c>
      <c r="AX342" s="146">
        <v>45323</v>
      </c>
      <c r="AY342" s="146">
        <v>45352</v>
      </c>
      <c r="AZ342" s="146">
        <v>45383</v>
      </c>
      <c r="BA342" s="146">
        <v>45413</v>
      </c>
      <c r="BB342" s="146">
        <v>45444</v>
      </c>
      <c r="BC342" s="146">
        <v>45474</v>
      </c>
      <c r="BD342" s="146">
        <v>45505</v>
      </c>
      <c r="BE342" s="146">
        <v>45536</v>
      </c>
      <c r="BF342" s="146">
        <v>45566</v>
      </c>
      <c r="BG342" s="146">
        <v>45597</v>
      </c>
      <c r="BH342" s="146">
        <v>45627</v>
      </c>
      <c r="BI342" s="146">
        <v>45658</v>
      </c>
      <c r="BJ342" s="146">
        <v>45689</v>
      </c>
      <c r="BK342" s="146"/>
      <c r="BL342" s="146"/>
      <c r="BM342" s="146"/>
      <c r="BN342" s="146"/>
      <c r="BO342" s="146"/>
      <c r="BP342" s="146"/>
      <c r="BQ342" s="146"/>
      <c r="BR342" s="146"/>
      <c r="BS342" s="146"/>
      <c r="BT342" s="146"/>
      <c r="BU342" s="146"/>
      <c r="BV342" s="146"/>
      <c r="BW342" s="146"/>
      <c r="BX342" s="147" t="s">
        <v>13</v>
      </c>
      <c r="BY342" s="5"/>
      <c r="BZ342" s="5"/>
      <c r="CA342" s="5"/>
    </row>
    <row r="343" spans="1:81" ht="15.75" customHeight="1">
      <c r="A343" s="264">
        <v>25</v>
      </c>
      <c r="B343" s="241" t="s">
        <v>380</v>
      </c>
      <c r="C343" s="253" t="s">
        <v>92</v>
      </c>
      <c r="D343" s="253" t="s">
        <v>89</v>
      </c>
      <c r="E343" s="250" t="s">
        <v>150</v>
      </c>
      <c r="F343" s="250" t="s">
        <v>150</v>
      </c>
      <c r="G343" s="256">
        <f>'CONSOLIDADO ATIVO INATIVO NOVO'!J28</f>
        <v>45018</v>
      </c>
      <c r="H343" s="256">
        <f>'CONSOLIDADO ATIVO INATIVO NOVO'!K28</f>
        <v>45610</v>
      </c>
      <c r="I343" s="21" t="s">
        <v>350</v>
      </c>
      <c r="J343" s="21"/>
      <c r="K343" s="21"/>
      <c r="L343" s="21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105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1"/>
      <c r="BZ343" s="1"/>
      <c r="CA343" s="1"/>
      <c r="CC343" s="6"/>
    </row>
    <row r="344" spans="1:81" ht="15.75" customHeight="1">
      <c r="A344" s="265"/>
      <c r="B344" s="241"/>
      <c r="C344" s="254"/>
      <c r="D344" s="254"/>
      <c r="E344" s="251"/>
      <c r="F344" s="251"/>
      <c r="G344" s="254"/>
      <c r="H344" s="254"/>
      <c r="I344" s="21" t="s">
        <v>351</v>
      </c>
      <c r="J344" s="21"/>
      <c r="K344" s="21"/>
      <c r="L344" s="21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105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1"/>
      <c r="BZ344" s="1"/>
      <c r="CA344" s="1"/>
      <c r="CC344" s="6"/>
    </row>
    <row r="345" spans="1:81" ht="15.75" customHeight="1">
      <c r="A345" s="265"/>
      <c r="B345" s="241"/>
      <c r="C345" s="254"/>
      <c r="D345" s="254"/>
      <c r="E345" s="251"/>
      <c r="F345" s="251"/>
      <c r="G345" s="254"/>
      <c r="H345" s="254"/>
      <c r="I345" s="21" t="s">
        <v>371</v>
      </c>
      <c r="J345" s="21"/>
      <c r="K345" s="21"/>
      <c r="L345" s="21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105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1"/>
      <c r="BZ345" s="1"/>
      <c r="CA345" s="1"/>
      <c r="CC345" s="6"/>
    </row>
    <row r="346" spans="1:81" ht="15.75" customHeight="1">
      <c r="A346" s="265"/>
      <c r="B346" s="241"/>
      <c r="C346" s="254"/>
      <c r="D346" s="254"/>
      <c r="E346" s="251"/>
      <c r="F346" s="251"/>
      <c r="G346" s="254"/>
      <c r="H346" s="254"/>
      <c r="I346" s="21" t="s">
        <v>353</v>
      </c>
      <c r="J346" s="21"/>
      <c r="K346" s="21"/>
      <c r="L346" s="21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105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1"/>
      <c r="BZ346" s="1"/>
      <c r="CA346" s="1"/>
      <c r="CC346" s="6"/>
    </row>
    <row r="347" spans="1:81" ht="15.75" customHeight="1">
      <c r="A347" s="265"/>
      <c r="B347" s="241"/>
      <c r="C347" s="254"/>
      <c r="D347" s="254"/>
      <c r="E347" s="251"/>
      <c r="F347" s="251"/>
      <c r="G347" s="254"/>
      <c r="H347" s="254"/>
      <c r="I347" s="21" t="s">
        <v>354</v>
      </c>
      <c r="J347" s="21"/>
      <c r="K347" s="21"/>
      <c r="L347" s="21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105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1"/>
      <c r="BZ347" s="1"/>
      <c r="CA347" s="1"/>
      <c r="CC347" s="6"/>
    </row>
    <row r="348" spans="1:81" ht="15.75" customHeight="1">
      <c r="A348" s="265"/>
      <c r="B348" s="241"/>
      <c r="C348" s="254"/>
      <c r="D348" s="254"/>
      <c r="E348" s="251"/>
      <c r="F348" s="251"/>
      <c r="G348" s="254"/>
      <c r="H348" s="254"/>
      <c r="I348" s="21" t="s">
        <v>355</v>
      </c>
      <c r="J348" s="21"/>
      <c r="K348" s="21"/>
      <c r="L348" s="21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105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1"/>
      <c r="BZ348" s="1"/>
      <c r="CA348" s="1"/>
      <c r="CC348" s="6"/>
    </row>
    <row r="349" spans="1:81" ht="15.75" customHeight="1">
      <c r="A349" s="265"/>
      <c r="B349" s="241"/>
      <c r="C349" s="254"/>
      <c r="D349" s="254"/>
      <c r="E349" s="251"/>
      <c r="F349" s="251"/>
      <c r="G349" s="254"/>
      <c r="H349" s="254"/>
      <c r="I349" s="21" t="s">
        <v>356</v>
      </c>
      <c r="J349" s="21"/>
      <c r="K349" s="21"/>
      <c r="L349" s="21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105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1"/>
      <c r="BZ349" s="1"/>
      <c r="CA349" s="1"/>
      <c r="CC349" s="6"/>
    </row>
    <row r="350" spans="1:81" ht="15.75" customHeight="1">
      <c r="A350" s="265"/>
      <c r="B350" s="241"/>
      <c r="C350" s="254"/>
      <c r="D350" s="254"/>
      <c r="E350" s="251"/>
      <c r="F350" s="251"/>
      <c r="G350" s="254"/>
      <c r="H350" s="254"/>
      <c r="I350" s="21" t="s">
        <v>357</v>
      </c>
      <c r="J350" s="21"/>
      <c r="K350" s="21"/>
      <c r="L350" s="21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>
        <v>440.55</v>
      </c>
      <c r="AW350" s="3"/>
      <c r="AX350" s="3"/>
      <c r="AY350" s="3"/>
      <c r="AZ350" s="3"/>
      <c r="BA350" s="3"/>
      <c r="BB350" s="105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1"/>
      <c r="BZ350" s="1"/>
      <c r="CA350" s="1"/>
      <c r="CC350" s="6"/>
    </row>
    <row r="351" spans="1:81" ht="15.75" customHeight="1">
      <c r="A351" s="265"/>
      <c r="B351" s="241"/>
      <c r="C351" s="254"/>
      <c r="D351" s="254"/>
      <c r="E351" s="251"/>
      <c r="F351" s="251"/>
      <c r="G351" s="254"/>
      <c r="H351" s="254"/>
      <c r="I351" s="23" t="s">
        <v>362</v>
      </c>
      <c r="J351" s="23"/>
      <c r="K351" s="23"/>
      <c r="L351" s="2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>
        <f>1757.32+82.86</f>
        <v>1840.1799999999998</v>
      </c>
      <c r="AW351" s="3"/>
      <c r="AX351" s="3"/>
      <c r="AY351" s="3"/>
      <c r="AZ351" s="3"/>
      <c r="BA351" s="3"/>
      <c r="BB351" s="105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1"/>
      <c r="BZ351" s="1"/>
      <c r="CA351" s="1"/>
      <c r="CC351" s="6"/>
    </row>
    <row r="352" spans="1:81" ht="15.75" customHeight="1">
      <c r="A352" s="265"/>
      <c r="B352" s="241"/>
      <c r="C352" s="254"/>
      <c r="D352" s="254"/>
      <c r="E352" s="251"/>
      <c r="F352" s="251"/>
      <c r="G352" s="254"/>
      <c r="H352" s="254"/>
      <c r="I352" s="22" t="s">
        <v>363</v>
      </c>
      <c r="J352" s="22"/>
      <c r="K352" s="22"/>
      <c r="L352" s="2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105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1"/>
      <c r="BZ352" s="1"/>
      <c r="CA352" s="1"/>
      <c r="CC352" s="6"/>
    </row>
    <row r="353" spans="1:81" ht="15.75" customHeight="1">
      <c r="A353" s="265"/>
      <c r="B353" s="241"/>
      <c r="C353" s="254"/>
      <c r="D353" s="254"/>
      <c r="E353" s="251"/>
      <c r="F353" s="251"/>
      <c r="G353" s="254"/>
      <c r="H353" s="254"/>
      <c r="I353" s="44" t="s">
        <v>364</v>
      </c>
      <c r="J353" s="44"/>
      <c r="K353" s="44"/>
      <c r="L353" s="4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>
        <v>55.49</v>
      </c>
      <c r="AW353" s="3"/>
      <c r="AX353" s="3"/>
      <c r="AY353" s="3"/>
      <c r="AZ353" s="3"/>
      <c r="BA353" s="3"/>
      <c r="BB353" s="105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1"/>
      <c r="BZ353" s="1"/>
      <c r="CA353" s="1"/>
      <c r="CC353" s="6"/>
    </row>
    <row r="354" spans="1:81" ht="15.75" customHeight="1">
      <c r="A354" s="266"/>
      <c r="B354" s="241"/>
      <c r="C354" s="255"/>
      <c r="D354" s="255"/>
      <c r="E354" s="252"/>
      <c r="F354" s="252"/>
      <c r="G354" s="255"/>
      <c r="H354" s="255"/>
      <c r="I354" s="52"/>
      <c r="J354" s="3">
        <f>SUM(J343:J352)-J353</f>
        <v>0</v>
      </c>
      <c r="K354" s="3">
        <f t="shared" ref="K354:AC354" si="160">SUM(K343:K352)-K353</f>
        <v>0</v>
      </c>
      <c r="L354" s="3">
        <f t="shared" si="160"/>
        <v>0</v>
      </c>
      <c r="M354" s="3">
        <f t="shared" si="160"/>
        <v>0</v>
      </c>
      <c r="N354" s="3">
        <f t="shared" si="160"/>
        <v>0</v>
      </c>
      <c r="O354" s="3">
        <f t="shared" si="160"/>
        <v>0</v>
      </c>
      <c r="P354" s="3">
        <f t="shared" si="160"/>
        <v>0</v>
      </c>
      <c r="Q354" s="3">
        <f t="shared" si="160"/>
        <v>0</v>
      </c>
      <c r="R354" s="3">
        <f t="shared" si="160"/>
        <v>0</v>
      </c>
      <c r="S354" s="3">
        <f t="shared" si="160"/>
        <v>0</v>
      </c>
      <c r="T354" s="3">
        <f t="shared" si="160"/>
        <v>0</v>
      </c>
      <c r="U354" s="3">
        <f t="shared" si="160"/>
        <v>0</v>
      </c>
      <c r="V354" s="3">
        <f t="shared" si="160"/>
        <v>0</v>
      </c>
      <c r="W354" s="3">
        <f t="shared" si="160"/>
        <v>0</v>
      </c>
      <c r="X354" s="3">
        <f t="shared" si="160"/>
        <v>0</v>
      </c>
      <c r="Y354" s="3">
        <f t="shared" si="160"/>
        <v>0</v>
      </c>
      <c r="Z354" s="3">
        <f t="shared" si="160"/>
        <v>0</v>
      </c>
      <c r="AA354" s="3">
        <f t="shared" si="160"/>
        <v>0</v>
      </c>
      <c r="AB354" s="3">
        <f t="shared" si="160"/>
        <v>0</v>
      </c>
      <c r="AC354" s="3">
        <f t="shared" si="160"/>
        <v>0</v>
      </c>
      <c r="AD354" s="3">
        <f>SUM(AD343:AD352)-AD353</f>
        <v>0</v>
      </c>
      <c r="AE354" s="3">
        <f>SUM(AE343:AE352)-AE353</f>
        <v>0</v>
      </c>
      <c r="AF354" s="3">
        <f>SUM(AF343:AF352)-AF353</f>
        <v>0</v>
      </c>
      <c r="AG354" s="3">
        <f t="shared" ref="AG354" si="161">SUM(AG343:AG352)-AG353</f>
        <v>0</v>
      </c>
      <c r="AH354" s="3">
        <f t="shared" ref="AH354" si="162">SUM(AH343:AH352)-AH353</f>
        <v>0</v>
      </c>
      <c r="AI354" s="3">
        <f>SUM(AI343:AI352)-AI353</f>
        <v>0</v>
      </c>
      <c r="AJ354" s="3">
        <f t="shared" ref="AJ354" si="163">SUM(AJ343:AJ352)-AJ353</f>
        <v>0</v>
      </c>
      <c r="AK354" s="3">
        <f>SUM(AK343:AK352)-AK353</f>
        <v>0</v>
      </c>
      <c r="AL354" s="3">
        <f t="shared" ref="AL354:AP354" si="164">SUM(AL343:AL352)-AL353</f>
        <v>0</v>
      </c>
      <c r="AM354" s="3">
        <f t="shared" si="164"/>
        <v>0</v>
      </c>
      <c r="AN354" s="3">
        <f t="shared" si="164"/>
        <v>0</v>
      </c>
      <c r="AO354" s="3">
        <f t="shared" si="164"/>
        <v>0</v>
      </c>
      <c r="AP354" s="3">
        <f t="shared" si="164"/>
        <v>0</v>
      </c>
      <c r="AQ354" s="3">
        <f t="shared" ref="AQ354:AT354" si="165">SUM(AQ343:AQ352)-AQ353</f>
        <v>0</v>
      </c>
      <c r="AR354" s="3">
        <f t="shared" si="165"/>
        <v>0</v>
      </c>
      <c r="AS354" s="3">
        <f t="shared" si="165"/>
        <v>0</v>
      </c>
      <c r="AT354" s="3">
        <f t="shared" si="165"/>
        <v>0</v>
      </c>
      <c r="AU354" s="3">
        <f>SUM(AU343:AU352)-AU353</f>
        <v>0</v>
      </c>
      <c r="AV354" s="3">
        <f t="shared" ref="AV354:BC354" si="166">SUM(AV343:AV352)-AV353</f>
        <v>2225.2400000000002</v>
      </c>
      <c r="AW354" s="3">
        <f t="shared" si="166"/>
        <v>0</v>
      </c>
      <c r="AX354" s="3">
        <f t="shared" si="166"/>
        <v>0</v>
      </c>
      <c r="AY354" s="3">
        <f t="shared" si="166"/>
        <v>0</v>
      </c>
      <c r="AZ354" s="3">
        <f t="shared" si="166"/>
        <v>0</v>
      </c>
      <c r="BA354" s="3">
        <f t="shared" si="166"/>
        <v>0</v>
      </c>
      <c r="BB354" s="105">
        <f t="shared" si="166"/>
        <v>0</v>
      </c>
      <c r="BC354" s="3">
        <f t="shared" si="166"/>
        <v>0</v>
      </c>
      <c r="BD354" s="3">
        <f t="shared" ref="BD354" si="167">SUM(BD343:BD352)-BD353</f>
        <v>0</v>
      </c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105">
        <f>SUM(J354:AY354)</f>
        <v>2225.2400000000002</v>
      </c>
      <c r="BY354" s="1"/>
      <c r="BZ354" s="1"/>
      <c r="CA354" s="1"/>
      <c r="CC354" s="6"/>
    </row>
    <row r="355" spans="1:81" ht="15.6" customHeight="1">
      <c r="A355" s="148" t="s">
        <v>346</v>
      </c>
      <c r="B355" s="148" t="s">
        <v>347</v>
      </c>
      <c r="C355" s="145" t="s">
        <v>310</v>
      </c>
      <c r="D355" s="145" t="s">
        <v>311</v>
      </c>
      <c r="E355" s="148" t="s">
        <v>312</v>
      </c>
      <c r="F355" s="148" t="s">
        <v>348</v>
      </c>
      <c r="G355" s="145" t="s">
        <v>314</v>
      </c>
      <c r="H355" s="145" t="s">
        <v>315</v>
      </c>
      <c r="I355" s="145" t="s">
        <v>349</v>
      </c>
      <c r="J355" s="146">
        <v>44105</v>
      </c>
      <c r="K355" s="146">
        <v>44136</v>
      </c>
      <c r="L355" s="146">
        <v>44166</v>
      </c>
      <c r="M355" s="146">
        <v>44197</v>
      </c>
      <c r="N355" s="146">
        <v>44228</v>
      </c>
      <c r="O355" s="146">
        <v>44256</v>
      </c>
      <c r="P355" s="146">
        <v>44287</v>
      </c>
      <c r="Q355" s="146">
        <v>44317</v>
      </c>
      <c r="R355" s="146">
        <v>44348</v>
      </c>
      <c r="S355" s="146">
        <v>44378</v>
      </c>
      <c r="T355" s="146">
        <v>44409</v>
      </c>
      <c r="U355" s="146">
        <v>44440</v>
      </c>
      <c r="V355" s="146">
        <v>44470</v>
      </c>
      <c r="W355" s="146">
        <v>44501</v>
      </c>
      <c r="X355" s="146">
        <v>44531</v>
      </c>
      <c r="Y355" s="146">
        <v>44562</v>
      </c>
      <c r="Z355" s="146">
        <v>44593</v>
      </c>
      <c r="AA355" s="146">
        <v>44621</v>
      </c>
      <c r="AB355" s="146">
        <v>44652</v>
      </c>
      <c r="AC355" s="146">
        <v>44682</v>
      </c>
      <c r="AD355" s="146">
        <v>44713</v>
      </c>
      <c r="AE355" s="146">
        <v>44743</v>
      </c>
      <c r="AF355" s="146">
        <v>44774</v>
      </c>
      <c r="AG355" s="146">
        <v>44805</v>
      </c>
      <c r="AH355" s="146">
        <v>44835</v>
      </c>
      <c r="AI355" s="146">
        <v>44866</v>
      </c>
      <c r="AJ355" s="146">
        <v>44896</v>
      </c>
      <c r="AK355" s="146">
        <v>44927</v>
      </c>
      <c r="AL355" s="146">
        <v>44958</v>
      </c>
      <c r="AM355" s="146">
        <v>44986</v>
      </c>
      <c r="AN355" s="146">
        <v>45017</v>
      </c>
      <c r="AO355" s="146">
        <v>45047</v>
      </c>
      <c r="AP355" s="146">
        <v>45078</v>
      </c>
      <c r="AQ355" s="146">
        <v>45108</v>
      </c>
      <c r="AR355" s="146">
        <v>45139</v>
      </c>
      <c r="AS355" s="146">
        <v>45170</v>
      </c>
      <c r="AT355" s="146">
        <v>45200</v>
      </c>
      <c r="AU355" s="146">
        <v>45231</v>
      </c>
      <c r="AV355" s="146">
        <v>45261</v>
      </c>
      <c r="AW355" s="146">
        <v>45292</v>
      </c>
      <c r="AX355" s="146">
        <v>45323</v>
      </c>
      <c r="AY355" s="146">
        <v>45352</v>
      </c>
      <c r="AZ355" s="146">
        <v>45383</v>
      </c>
      <c r="BA355" s="146">
        <v>45413</v>
      </c>
      <c r="BB355" s="146">
        <v>45444</v>
      </c>
      <c r="BC355" s="146">
        <v>45474</v>
      </c>
      <c r="BD355" s="146">
        <v>45505</v>
      </c>
      <c r="BE355" s="146">
        <v>45536</v>
      </c>
      <c r="BF355" s="146">
        <v>45566</v>
      </c>
      <c r="BG355" s="146">
        <v>45597</v>
      </c>
      <c r="BH355" s="146">
        <v>45627</v>
      </c>
      <c r="BI355" s="146">
        <v>45658</v>
      </c>
      <c r="BJ355" s="146">
        <v>45689</v>
      </c>
      <c r="BK355" s="146">
        <v>45717</v>
      </c>
      <c r="BL355" s="146"/>
      <c r="BM355" s="146"/>
      <c r="BN355" s="146"/>
      <c r="BO355" s="146"/>
      <c r="BP355" s="146"/>
      <c r="BQ355" s="146"/>
      <c r="BR355" s="146"/>
      <c r="BS355" s="146"/>
      <c r="BT355" s="146"/>
      <c r="BU355" s="146"/>
      <c r="BV355" s="146"/>
      <c r="BW355" s="146"/>
      <c r="BX355" s="147" t="s">
        <v>13</v>
      </c>
      <c r="BY355" s="5"/>
      <c r="BZ355" s="5"/>
      <c r="CA355" s="5"/>
    </row>
    <row r="356" spans="1:81" ht="15.75" customHeight="1">
      <c r="A356" s="264">
        <v>26</v>
      </c>
      <c r="B356" s="241" t="s">
        <v>47</v>
      </c>
      <c r="C356" s="253" t="s">
        <v>92</v>
      </c>
      <c r="D356" s="253" t="s">
        <v>89</v>
      </c>
      <c r="E356" s="250" t="s">
        <v>150</v>
      </c>
      <c r="F356" s="250" t="s">
        <v>150</v>
      </c>
      <c r="G356" s="256">
        <f>'CONSOLIDADO ATIVO INATIVO NOVO'!J29</f>
        <v>45390</v>
      </c>
      <c r="H356" s="256">
        <f>'CONSOLIDADO ATIVO INATIVO NOVO'!K29</f>
        <v>0</v>
      </c>
      <c r="I356" s="21" t="s">
        <v>350</v>
      </c>
      <c r="J356" s="21"/>
      <c r="K356" s="21"/>
      <c r="L356" s="21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105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1"/>
      <c r="BZ356" s="1"/>
      <c r="CA356" s="1"/>
      <c r="CC356" s="6"/>
    </row>
    <row r="357" spans="1:81" ht="15.75" customHeight="1">
      <c r="A357" s="265"/>
      <c r="B357" s="241"/>
      <c r="C357" s="254"/>
      <c r="D357" s="254"/>
      <c r="E357" s="251"/>
      <c r="F357" s="251"/>
      <c r="G357" s="254"/>
      <c r="H357" s="254"/>
      <c r="I357" s="21" t="s">
        <v>351</v>
      </c>
      <c r="J357" s="21"/>
      <c r="K357" s="21"/>
      <c r="L357" s="21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1578.6</v>
      </c>
      <c r="AA357" s="3">
        <v>1578.6</v>
      </c>
      <c r="AB357" s="3">
        <v>1578.6</v>
      </c>
      <c r="AC357" s="3">
        <v>1578.6</v>
      </c>
      <c r="AD357" s="3">
        <v>1578.6</v>
      </c>
      <c r="AE357" s="3">
        <v>1578.6</v>
      </c>
      <c r="AF357" s="3">
        <v>1578.6</v>
      </c>
      <c r="AG357" s="3">
        <v>1578.6</v>
      </c>
      <c r="AH357" s="3">
        <v>1708.83</v>
      </c>
      <c r="AI357" s="3">
        <v>1708.83</v>
      </c>
      <c r="AJ357" s="3">
        <v>1708.83</v>
      </c>
      <c r="AK357" s="3">
        <v>1708.83</v>
      </c>
      <c r="AL357" s="3">
        <v>1708.83</v>
      </c>
      <c r="AM357" s="3">
        <v>1708.83</v>
      </c>
      <c r="AN357" s="3">
        <v>1708.83</v>
      </c>
      <c r="AO357" s="3">
        <v>1708.83</v>
      </c>
      <c r="AP357" s="3">
        <v>1708.83</v>
      </c>
      <c r="AQ357" s="3">
        <v>1708.83</v>
      </c>
      <c r="AR357" s="3">
        <v>1708.83</v>
      </c>
      <c r="AS357" s="3">
        <v>1708.83</v>
      </c>
      <c r="AT357" s="3">
        <v>2591.31</v>
      </c>
      <c r="AU357" s="3">
        <v>2652.54</v>
      </c>
      <c r="AV357" s="3">
        <v>1849.81</v>
      </c>
      <c r="AW357" s="3">
        <v>1849.81</v>
      </c>
      <c r="AX357" s="3"/>
      <c r="AY357" s="3"/>
      <c r="AZ357" s="3"/>
      <c r="BA357" s="3"/>
      <c r="BB357" s="105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1"/>
      <c r="BZ357" s="1"/>
      <c r="CA357" s="1"/>
      <c r="CC357" s="6"/>
    </row>
    <row r="358" spans="1:81" ht="15.75" customHeight="1">
      <c r="A358" s="265"/>
      <c r="B358" s="241"/>
      <c r="C358" s="254"/>
      <c r="D358" s="254"/>
      <c r="E358" s="251"/>
      <c r="F358" s="251"/>
      <c r="G358" s="254"/>
      <c r="H358" s="254"/>
      <c r="I358" s="21" t="s">
        <v>371</v>
      </c>
      <c r="J358" s="21"/>
      <c r="K358" s="21"/>
      <c r="L358" s="21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>
        <v>200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105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1"/>
      <c r="BZ358" s="1"/>
      <c r="CA358" s="1"/>
      <c r="CC358" s="6"/>
    </row>
    <row r="359" spans="1:81" ht="15.75" customHeight="1">
      <c r="A359" s="265"/>
      <c r="B359" s="241"/>
      <c r="C359" s="254"/>
      <c r="D359" s="254"/>
      <c r="E359" s="251"/>
      <c r="F359" s="251"/>
      <c r="G359" s="254"/>
      <c r="H359" s="254"/>
      <c r="I359" s="21" t="s">
        <v>353</v>
      </c>
      <c r="J359" s="21"/>
      <c r="K359" s="21"/>
      <c r="L359" s="21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>
        <f>2529.67+505.93</f>
        <v>3035.6</v>
      </c>
      <c r="AE359" s="3"/>
      <c r="AF359" s="3"/>
      <c r="AG359" s="3"/>
      <c r="AH359" s="3">
        <f>52.52+210.07</f>
        <v>262.58999999999997</v>
      </c>
      <c r="AI359" s="3"/>
      <c r="AJ359" s="3"/>
      <c r="AK359" s="3"/>
      <c r="AL359" s="81">
        <f>144.31+938.03</f>
        <v>1082.3399999999999</v>
      </c>
      <c r="AM359" s="3"/>
      <c r="AN359" s="3"/>
      <c r="AO359" s="3"/>
      <c r="AP359" s="3">
        <f>26.63+133.17</f>
        <v>159.79999999999998</v>
      </c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105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1"/>
      <c r="BZ359" s="1"/>
      <c r="CA359" s="1"/>
      <c r="CC359" s="6"/>
    </row>
    <row r="360" spans="1:81" ht="15.75" customHeight="1">
      <c r="A360" s="265"/>
      <c r="B360" s="241"/>
      <c r="C360" s="254"/>
      <c r="D360" s="254"/>
      <c r="E360" s="251"/>
      <c r="F360" s="251"/>
      <c r="G360" s="254"/>
      <c r="H360" s="254"/>
      <c r="I360" s="21" t="s">
        <v>354</v>
      </c>
      <c r="J360" s="21"/>
      <c r="K360" s="21"/>
      <c r="L360" s="21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f>1.62+0.41</f>
        <v>2.0300000000000002</v>
      </c>
      <c r="AC360" s="3">
        <f>18.41+3.68</f>
        <v>22.09</v>
      </c>
      <c r="AD360" s="3"/>
      <c r="AE360" s="3"/>
      <c r="AF360" s="3"/>
      <c r="AG360" s="3"/>
      <c r="AH360" s="3"/>
      <c r="AI360" s="3"/>
      <c r="AJ360" s="3"/>
      <c r="AK360" s="3">
        <f>0.67+0.13</f>
        <v>0.8</v>
      </c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105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1"/>
      <c r="BZ360" s="1"/>
      <c r="CA360" s="1"/>
      <c r="CC360" s="6"/>
    </row>
    <row r="361" spans="1:81" ht="15.75" customHeight="1">
      <c r="A361" s="265"/>
      <c r="B361" s="241"/>
      <c r="C361" s="254"/>
      <c r="D361" s="254"/>
      <c r="E361" s="251"/>
      <c r="F361" s="251"/>
      <c r="G361" s="254"/>
      <c r="H361" s="254"/>
      <c r="I361" s="21" t="s">
        <v>355</v>
      </c>
      <c r="J361" s="21"/>
      <c r="K361" s="21"/>
      <c r="L361" s="21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105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1"/>
      <c r="BZ361" s="1"/>
      <c r="CA361" s="1"/>
      <c r="CC361" s="6"/>
    </row>
    <row r="362" spans="1:81" ht="15.75" customHeight="1">
      <c r="A362" s="265"/>
      <c r="B362" s="241"/>
      <c r="C362" s="254"/>
      <c r="D362" s="254"/>
      <c r="E362" s="251"/>
      <c r="F362" s="251"/>
      <c r="G362" s="254"/>
      <c r="H362" s="254"/>
      <c r="I362" s="21" t="s">
        <v>356</v>
      </c>
      <c r="J362" s="21"/>
      <c r="K362" s="21"/>
      <c r="L362" s="21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223.2</v>
      </c>
      <c r="AA362" s="3">
        <v>263.10000000000002</v>
      </c>
      <c r="AB362" s="3">
        <v>249.6</v>
      </c>
      <c r="AC362" s="3">
        <v>269.10000000000002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105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1"/>
      <c r="BZ362" s="1"/>
      <c r="CA362" s="1"/>
      <c r="CC362" s="6"/>
    </row>
    <row r="363" spans="1:81" ht="15.75" customHeight="1">
      <c r="A363" s="265"/>
      <c r="B363" s="241"/>
      <c r="C363" s="254"/>
      <c r="D363" s="254"/>
      <c r="E363" s="251"/>
      <c r="F363" s="251"/>
      <c r="G363" s="254"/>
      <c r="H363" s="254"/>
      <c r="I363" s="21" t="s">
        <v>357</v>
      </c>
      <c r="J363" s="21"/>
      <c r="K363" s="21"/>
      <c r="L363" s="21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239.93</v>
      </c>
      <c r="AE363" s="3">
        <v>509.93</v>
      </c>
      <c r="AF363" s="3">
        <v>522.05999999999995</v>
      </c>
      <c r="AG363" s="3">
        <v>450.31</v>
      </c>
      <c r="AH363" s="3">
        <v>418.38</v>
      </c>
      <c r="AI363" s="3">
        <v>431.42</v>
      </c>
      <c r="AJ363" s="3">
        <v>443.14</v>
      </c>
      <c r="AK363" s="3">
        <v>431.98</v>
      </c>
      <c r="AL363" s="3">
        <v>409.91</v>
      </c>
      <c r="AM363" s="3">
        <v>438.18</v>
      </c>
      <c r="AN363" s="3">
        <v>408.81</v>
      </c>
      <c r="AO363" s="3">
        <v>435.92</v>
      </c>
      <c r="AP363" s="3">
        <v>427.03</v>
      </c>
      <c r="AQ363" s="3">
        <v>436.94</v>
      </c>
      <c r="AR363" s="3">
        <v>445.84</v>
      </c>
      <c r="AS363" s="3">
        <v>430.36</v>
      </c>
      <c r="AT363" s="3">
        <v>451.26</v>
      </c>
      <c r="AU363" s="3">
        <v>333.32</v>
      </c>
      <c r="AV363" s="3">
        <v>512.07000000000005</v>
      </c>
      <c r="AW363" s="3">
        <v>499.8</v>
      </c>
      <c r="AX363" s="3">
        <v>489.26</v>
      </c>
      <c r="AY363" s="3"/>
      <c r="AZ363" s="3"/>
      <c r="BA363" s="3"/>
      <c r="BB363" s="105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1"/>
      <c r="BZ363" s="1"/>
      <c r="CA363" s="1"/>
      <c r="CC363" s="6"/>
    </row>
    <row r="364" spans="1:81" ht="15.75" customHeight="1">
      <c r="A364" s="265"/>
      <c r="B364" s="241"/>
      <c r="C364" s="254"/>
      <c r="D364" s="254"/>
      <c r="E364" s="251"/>
      <c r="F364" s="251"/>
      <c r="G364" s="254"/>
      <c r="H364" s="254"/>
      <c r="I364" s="21" t="s">
        <v>368</v>
      </c>
      <c r="J364" s="21"/>
      <c r="K364" s="21"/>
      <c r="L364" s="21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>
        <v>2535.0100000000002</v>
      </c>
      <c r="AU364" s="3"/>
      <c r="AV364" s="3"/>
      <c r="AW364" s="3"/>
      <c r="AX364" s="3"/>
      <c r="AY364" s="3"/>
      <c r="AZ364" s="3"/>
      <c r="BA364" s="3"/>
      <c r="BB364" s="105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1"/>
      <c r="BZ364" s="1"/>
      <c r="CA364" s="1"/>
      <c r="CC364" s="6"/>
    </row>
    <row r="365" spans="1:81" ht="15.75" customHeight="1">
      <c r="A365" s="265"/>
      <c r="B365" s="241"/>
      <c r="C365" s="254"/>
      <c r="D365" s="254"/>
      <c r="E365" s="251"/>
      <c r="F365" s="251"/>
      <c r="G365" s="254"/>
      <c r="H365" s="254"/>
      <c r="I365" s="23" t="s">
        <v>362</v>
      </c>
      <c r="J365" s="23"/>
      <c r="K365" s="23"/>
      <c r="L365" s="2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3551.87</v>
      </c>
      <c r="AY365" s="3"/>
      <c r="AZ365" s="3"/>
      <c r="BA365" s="3"/>
      <c r="BB365" s="105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1"/>
      <c r="BZ365" s="1"/>
      <c r="CA365" s="1"/>
      <c r="CC365" s="6"/>
    </row>
    <row r="366" spans="1:81" ht="15.75" customHeight="1">
      <c r="A366" s="265"/>
      <c r="B366" s="241"/>
      <c r="C366" s="254"/>
      <c r="D366" s="254"/>
      <c r="E366" s="251"/>
      <c r="F366" s="251"/>
      <c r="G366" s="254"/>
      <c r="H366" s="254"/>
      <c r="I366" s="22" t="s">
        <v>363</v>
      </c>
      <c r="J366" s="22"/>
      <c r="K366" s="22"/>
      <c r="L366" s="2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>
        <v>712.01</v>
      </c>
      <c r="AJ366" s="3">
        <v>731.63</v>
      </c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924.91</v>
      </c>
      <c r="AV366" s="3">
        <v>778.22</v>
      </c>
      <c r="AW366" s="3"/>
      <c r="AX366" s="3"/>
      <c r="AY366" s="3"/>
      <c r="AZ366" s="3"/>
      <c r="BA366" s="3"/>
      <c r="BB366" s="105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1"/>
      <c r="BZ366" s="1"/>
      <c r="CA366" s="1"/>
      <c r="CC366" s="6"/>
    </row>
    <row r="367" spans="1:81" ht="15.75" customHeight="1">
      <c r="A367" s="265"/>
      <c r="B367" s="241"/>
      <c r="C367" s="254"/>
      <c r="D367" s="254"/>
      <c r="E367" s="251"/>
      <c r="F367" s="251"/>
      <c r="G367" s="254"/>
      <c r="H367" s="254"/>
      <c r="I367" s="44" t="s">
        <v>364</v>
      </c>
      <c r="J367" s="44"/>
      <c r="K367" s="44"/>
      <c r="L367" s="4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f>114.42+52.62+52.62+94.72</f>
        <v>314.38</v>
      </c>
      <c r="AA367" s="3">
        <f>123.89+94.72</f>
        <v>218.61</v>
      </c>
      <c r="AB367" s="3">
        <f>124.07+94.72</f>
        <v>218.79</v>
      </c>
      <c r="AC367" s="3">
        <f>116.41+52.62+52.62</f>
        <v>221.65</v>
      </c>
      <c r="AD367" s="3">
        <f>467.43+273.21+52.62+52.62</f>
        <v>845.88</v>
      </c>
      <c r="AE367" s="3">
        <v>123.89</v>
      </c>
      <c r="AF367" s="3">
        <v>123.89</v>
      </c>
      <c r="AG367" s="3">
        <v>123.89</v>
      </c>
      <c r="AH367" s="3">
        <v>159.24</v>
      </c>
      <c r="AI367" s="3">
        <v>135.61000000000001</v>
      </c>
      <c r="AJ367" s="3">
        <v>135.61000000000001</v>
      </c>
      <c r="AK367" s="3">
        <v>134.33000000000001</v>
      </c>
      <c r="AL367" s="3">
        <f>238.26+48.67</f>
        <v>286.93</v>
      </c>
      <c r="AM367" s="3">
        <v>134.26</v>
      </c>
      <c r="AN367" s="3">
        <v>134.26</v>
      </c>
      <c r="AO367" s="3">
        <v>133.99</v>
      </c>
      <c r="AP367" s="3">
        <v>148.37</v>
      </c>
      <c r="AQ367" s="3">
        <v>133.99</v>
      </c>
      <c r="AR367" s="3">
        <v>133.99</v>
      </c>
      <c r="AS367" s="3">
        <v>133.99</v>
      </c>
      <c r="AT367" s="3">
        <v>1937.67</v>
      </c>
      <c r="AU367" s="3">
        <v>949.41</v>
      </c>
      <c r="AV367" s="3">
        <v>146.68</v>
      </c>
      <c r="AW367" s="3">
        <v>173.05</v>
      </c>
      <c r="AX367" s="3"/>
      <c r="AY367" s="3"/>
      <c r="AZ367" s="3"/>
      <c r="BA367" s="3"/>
      <c r="BB367" s="105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1"/>
      <c r="BZ367" s="1"/>
      <c r="CA367" s="1"/>
      <c r="CC367" s="6"/>
    </row>
    <row r="368" spans="1:81" ht="15.75" customHeight="1">
      <c r="A368" s="266"/>
      <c r="B368" s="241"/>
      <c r="C368" s="255"/>
      <c r="D368" s="255"/>
      <c r="E368" s="252"/>
      <c r="F368" s="252"/>
      <c r="G368" s="255"/>
      <c r="H368" s="255"/>
      <c r="I368" s="52"/>
      <c r="J368" s="3">
        <f>SUM(J356:J366)-J367</f>
        <v>0</v>
      </c>
      <c r="K368" s="3">
        <f t="shared" ref="K368:AC368" si="168">SUM(K356:K366)-K367</f>
        <v>0</v>
      </c>
      <c r="L368" s="3">
        <f t="shared" si="168"/>
        <v>0</v>
      </c>
      <c r="M368" s="3">
        <f t="shared" si="168"/>
        <v>0</v>
      </c>
      <c r="N368" s="3">
        <f t="shared" si="168"/>
        <v>0</v>
      </c>
      <c r="O368" s="3">
        <f t="shared" si="168"/>
        <v>0</v>
      </c>
      <c r="P368" s="3">
        <f t="shared" si="168"/>
        <v>0</v>
      </c>
      <c r="Q368" s="3">
        <f t="shared" si="168"/>
        <v>0</v>
      </c>
      <c r="R368" s="3">
        <f t="shared" si="168"/>
        <v>0</v>
      </c>
      <c r="S368" s="3">
        <f t="shared" si="168"/>
        <v>0</v>
      </c>
      <c r="T368" s="3">
        <f t="shared" si="168"/>
        <v>0</v>
      </c>
      <c r="U368" s="3">
        <f t="shared" si="168"/>
        <v>0</v>
      </c>
      <c r="V368" s="3">
        <f t="shared" si="168"/>
        <v>0</v>
      </c>
      <c r="W368" s="3">
        <f t="shared" si="168"/>
        <v>0</v>
      </c>
      <c r="X368" s="3">
        <f t="shared" si="168"/>
        <v>0</v>
      </c>
      <c r="Y368" s="3">
        <f t="shared" si="168"/>
        <v>0</v>
      </c>
      <c r="Z368" s="3">
        <f t="shared" si="168"/>
        <v>1687.42</v>
      </c>
      <c r="AA368" s="3">
        <f t="shared" si="168"/>
        <v>1623.0899999999997</v>
      </c>
      <c r="AB368" s="3">
        <f>SUM(AB356:AB366)-AB367</f>
        <v>1611.4399999999998</v>
      </c>
      <c r="AC368" s="3">
        <f t="shared" si="168"/>
        <v>1648.1399999999999</v>
      </c>
      <c r="AD368" s="3">
        <f>SUM(AD356:AD366)-AD367</f>
        <v>4008.25</v>
      </c>
      <c r="AE368" s="3">
        <f>SUM(AE356:AE366)-AE367</f>
        <v>1964.6399999999996</v>
      </c>
      <c r="AF368" s="3">
        <f>SUM(AF356:AF366)-AF367</f>
        <v>1976.7699999999998</v>
      </c>
      <c r="AG368" s="3">
        <f t="shared" ref="AG368" si="169">SUM(AG356:AG366)-AG367</f>
        <v>1905.0199999999998</v>
      </c>
      <c r="AH368" s="3">
        <f t="shared" ref="AH368" si="170">SUM(AH356:AH366)-AH367</f>
        <v>2230.5599999999995</v>
      </c>
      <c r="AI368" s="3">
        <f>SUM(AI356:AI366)-AI367</f>
        <v>2716.65</v>
      </c>
      <c r="AJ368" s="3">
        <f t="shared" ref="AJ368" si="171">SUM(AJ356:AJ366)-AJ367</f>
        <v>2747.99</v>
      </c>
      <c r="AK368" s="3">
        <f>SUM(AK356:AK366)-AK367</f>
        <v>2007.2799999999997</v>
      </c>
      <c r="AL368" s="3">
        <f t="shared" ref="AL368:AP368" si="172">SUM(AL356:AL366)-AL367</f>
        <v>2914.15</v>
      </c>
      <c r="AM368" s="3">
        <f t="shared" si="172"/>
        <v>2012.7499999999998</v>
      </c>
      <c r="AN368" s="3">
        <f t="shared" si="172"/>
        <v>1983.3799999999999</v>
      </c>
      <c r="AO368" s="3">
        <f t="shared" si="172"/>
        <v>2010.76</v>
      </c>
      <c r="AP368" s="3">
        <f t="shared" si="172"/>
        <v>2147.29</v>
      </c>
      <c r="AQ368" s="3">
        <f t="shared" ref="AQ368:AT368" si="173">SUM(AQ356:AQ366)-AQ367</f>
        <v>2011.78</v>
      </c>
      <c r="AR368" s="3">
        <f t="shared" si="173"/>
        <v>2020.68</v>
      </c>
      <c r="AS368" s="3">
        <f t="shared" si="173"/>
        <v>2005.2</v>
      </c>
      <c r="AT368" s="3">
        <f t="shared" si="173"/>
        <v>3639.91</v>
      </c>
      <c r="AU368" s="3">
        <f>SUM(AU356:AU366)-AU367</f>
        <v>2961.36</v>
      </c>
      <c r="AV368" s="3">
        <f t="shared" ref="AV368:AY368" si="174">SUM(AV356:AV366)-AV367</f>
        <v>2993.4200000000005</v>
      </c>
      <c r="AW368" s="3">
        <f t="shared" si="174"/>
        <v>2176.56</v>
      </c>
      <c r="AX368" s="3">
        <f t="shared" si="174"/>
        <v>4041.13</v>
      </c>
      <c r="AY368" s="3">
        <f t="shared" si="174"/>
        <v>0</v>
      </c>
      <c r="AZ368" s="3">
        <f t="shared" ref="AZ368:BC368" si="175">SUM(AZ357:AZ366)-AZ367</f>
        <v>0</v>
      </c>
      <c r="BA368" s="3">
        <f t="shared" si="175"/>
        <v>0</v>
      </c>
      <c r="BB368" s="105">
        <f t="shared" si="175"/>
        <v>0</v>
      </c>
      <c r="BC368" s="3">
        <f t="shared" si="175"/>
        <v>0</v>
      </c>
      <c r="BD368" s="3">
        <f t="shared" ref="BD368" si="176">SUM(BD357:BD366)-BD367</f>
        <v>0</v>
      </c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105">
        <f>SUM(K368:AY368)</f>
        <v>59045.619999999988</v>
      </c>
      <c r="BY368" s="1"/>
      <c r="BZ368" s="1"/>
      <c r="CA368" s="1"/>
      <c r="CC368" s="6"/>
    </row>
    <row r="369" spans="1:81" ht="15.6" customHeight="1">
      <c r="A369" s="148" t="s">
        <v>346</v>
      </c>
      <c r="B369" s="148" t="s">
        <v>347</v>
      </c>
      <c r="C369" s="145" t="s">
        <v>310</v>
      </c>
      <c r="D369" s="145" t="s">
        <v>311</v>
      </c>
      <c r="E369" s="148" t="s">
        <v>312</v>
      </c>
      <c r="F369" s="148" t="s">
        <v>348</v>
      </c>
      <c r="G369" s="145" t="s">
        <v>314</v>
      </c>
      <c r="H369" s="145" t="s">
        <v>315</v>
      </c>
      <c r="I369" s="145" t="s">
        <v>349</v>
      </c>
      <c r="J369" s="146">
        <v>44105</v>
      </c>
      <c r="K369" s="146">
        <v>44136</v>
      </c>
      <c r="L369" s="146">
        <v>44166</v>
      </c>
      <c r="M369" s="146">
        <v>44197</v>
      </c>
      <c r="N369" s="146">
        <v>44228</v>
      </c>
      <c r="O369" s="146">
        <v>44256</v>
      </c>
      <c r="P369" s="146">
        <v>44287</v>
      </c>
      <c r="Q369" s="146">
        <v>44317</v>
      </c>
      <c r="R369" s="146">
        <v>44348</v>
      </c>
      <c r="S369" s="146">
        <v>44378</v>
      </c>
      <c r="T369" s="146">
        <v>44409</v>
      </c>
      <c r="U369" s="146">
        <v>44440</v>
      </c>
      <c r="V369" s="146">
        <v>44470</v>
      </c>
      <c r="W369" s="146">
        <v>44501</v>
      </c>
      <c r="X369" s="146">
        <v>44531</v>
      </c>
      <c r="Y369" s="146">
        <v>44562</v>
      </c>
      <c r="Z369" s="146">
        <v>44593</v>
      </c>
      <c r="AA369" s="146">
        <v>44621</v>
      </c>
      <c r="AB369" s="146">
        <v>44652</v>
      </c>
      <c r="AC369" s="146">
        <v>44682</v>
      </c>
      <c r="AD369" s="146">
        <v>44713</v>
      </c>
      <c r="AE369" s="146">
        <v>44743</v>
      </c>
      <c r="AF369" s="146">
        <v>44774</v>
      </c>
      <c r="AG369" s="146">
        <v>44805</v>
      </c>
      <c r="AH369" s="146">
        <v>44835</v>
      </c>
      <c r="AI369" s="146">
        <v>44866</v>
      </c>
      <c r="AJ369" s="146">
        <v>44896</v>
      </c>
      <c r="AK369" s="146">
        <v>44927</v>
      </c>
      <c r="AL369" s="146">
        <v>44958</v>
      </c>
      <c r="AM369" s="146">
        <v>44986</v>
      </c>
      <c r="AN369" s="146">
        <v>45017</v>
      </c>
      <c r="AO369" s="146">
        <v>45047</v>
      </c>
      <c r="AP369" s="146">
        <v>45078</v>
      </c>
      <c r="AQ369" s="146">
        <v>45108</v>
      </c>
      <c r="AR369" s="146">
        <v>45139</v>
      </c>
      <c r="AS369" s="146">
        <v>45170</v>
      </c>
      <c r="AT369" s="146">
        <v>45200</v>
      </c>
      <c r="AU369" s="146">
        <v>45231</v>
      </c>
      <c r="AV369" s="146">
        <v>45261</v>
      </c>
      <c r="AW369" s="146">
        <v>45292</v>
      </c>
      <c r="AX369" s="146">
        <v>45323</v>
      </c>
      <c r="AY369" s="146">
        <v>45352</v>
      </c>
      <c r="AZ369" s="146">
        <v>45383</v>
      </c>
      <c r="BA369" s="146">
        <v>45413</v>
      </c>
      <c r="BB369" s="146">
        <v>45444</v>
      </c>
      <c r="BC369" s="146">
        <v>45474</v>
      </c>
      <c r="BD369" s="146">
        <v>45505</v>
      </c>
      <c r="BE369" s="146">
        <v>45536</v>
      </c>
      <c r="BF369" s="146">
        <v>45566</v>
      </c>
      <c r="BG369" s="146">
        <v>45597</v>
      </c>
      <c r="BH369" s="146">
        <v>45627</v>
      </c>
      <c r="BI369" s="146">
        <v>45658</v>
      </c>
      <c r="BJ369" s="146">
        <v>45689</v>
      </c>
      <c r="BK369" s="146">
        <v>45717</v>
      </c>
      <c r="BL369" s="146">
        <v>45748</v>
      </c>
      <c r="BM369" s="146">
        <v>45778</v>
      </c>
      <c r="BN369" s="146">
        <v>45809</v>
      </c>
      <c r="BO369" s="146">
        <v>45839</v>
      </c>
      <c r="BP369" s="146">
        <v>45870</v>
      </c>
      <c r="BQ369" s="146">
        <v>45901</v>
      </c>
      <c r="BR369" s="146">
        <v>45931</v>
      </c>
      <c r="BS369" s="146"/>
      <c r="BT369" s="146"/>
      <c r="BU369" s="146"/>
      <c r="BV369" s="146"/>
      <c r="BW369" s="146"/>
      <c r="BX369" s="147" t="s">
        <v>13</v>
      </c>
      <c r="BY369" s="5"/>
      <c r="BZ369" s="5"/>
      <c r="CA369" s="5"/>
    </row>
    <row r="370" spans="1:81" ht="15.75" customHeight="1">
      <c r="A370" s="264">
        <v>27</v>
      </c>
      <c r="B370" s="241" t="s">
        <v>181</v>
      </c>
      <c r="C370" s="253" t="s">
        <v>23</v>
      </c>
      <c r="D370" s="253" t="s">
        <v>89</v>
      </c>
      <c r="E370" s="250" t="s">
        <v>150</v>
      </c>
      <c r="F370" s="250" t="s">
        <v>150</v>
      </c>
      <c r="G370" s="256">
        <v>45707</v>
      </c>
      <c r="H370" s="253"/>
      <c r="I370" s="21" t="s">
        <v>350</v>
      </c>
      <c r="J370" s="21"/>
      <c r="K370" s="21"/>
      <c r="L370" s="21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105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1"/>
      <c r="BZ370" s="1"/>
      <c r="CA370" s="1"/>
      <c r="CC370" s="6"/>
    </row>
    <row r="371" spans="1:81" ht="15.75" customHeight="1">
      <c r="A371" s="265"/>
      <c r="B371" s="241"/>
      <c r="C371" s="254"/>
      <c r="D371" s="254"/>
      <c r="E371" s="251"/>
      <c r="F371" s="251"/>
      <c r="G371" s="254"/>
      <c r="H371" s="254"/>
      <c r="I371" s="21" t="s">
        <v>351</v>
      </c>
      <c r="J371" s="21"/>
      <c r="K371" s="21"/>
      <c r="L371" s="21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105"/>
      <c r="BC371" s="3"/>
      <c r="BD371" s="3"/>
      <c r="BE371" s="3"/>
      <c r="BF371" s="3"/>
      <c r="BG371" s="3"/>
      <c r="BH371" s="3"/>
      <c r="BI371" s="3"/>
      <c r="BJ371" s="3">
        <v>739.76</v>
      </c>
      <c r="BK371" s="3">
        <v>1849.81</v>
      </c>
      <c r="BL371" s="3">
        <v>1849.81</v>
      </c>
      <c r="BM371" s="3">
        <v>1849.81</v>
      </c>
      <c r="BN371" s="3">
        <v>1849.81</v>
      </c>
      <c r="BO371" s="3">
        <v>1849.81</v>
      </c>
      <c r="BP371" s="3">
        <v>1849.81</v>
      </c>
      <c r="BQ371" s="3">
        <v>1849.81</v>
      </c>
      <c r="BR371" s="3">
        <v>3353</v>
      </c>
      <c r="BS371" s="3"/>
      <c r="BT371" s="3"/>
      <c r="BU371" s="3"/>
      <c r="BV371" s="3"/>
      <c r="BW371" s="3"/>
      <c r="BX371" s="3"/>
      <c r="BY371" s="1"/>
      <c r="BZ371" s="1"/>
      <c r="CA371" s="1"/>
      <c r="CC371" s="6"/>
    </row>
    <row r="372" spans="1:81" ht="15.75" customHeight="1">
      <c r="A372" s="265"/>
      <c r="B372" s="241"/>
      <c r="C372" s="254"/>
      <c r="D372" s="254"/>
      <c r="E372" s="251"/>
      <c r="F372" s="251"/>
      <c r="G372" s="254"/>
      <c r="H372" s="254"/>
      <c r="I372" s="21" t="s">
        <v>371</v>
      </c>
      <c r="J372" s="21"/>
      <c r="K372" s="21"/>
      <c r="L372" s="21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105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1"/>
      <c r="BZ372" s="1"/>
      <c r="CA372" s="1"/>
      <c r="CC372" s="6"/>
    </row>
    <row r="373" spans="1:81" ht="15.75" customHeight="1">
      <c r="A373" s="265"/>
      <c r="B373" s="241"/>
      <c r="C373" s="254"/>
      <c r="D373" s="254"/>
      <c r="E373" s="251"/>
      <c r="F373" s="251"/>
      <c r="G373" s="254"/>
      <c r="H373" s="254"/>
      <c r="I373" s="21" t="s">
        <v>353</v>
      </c>
      <c r="J373" s="21"/>
      <c r="K373" s="21"/>
      <c r="L373" s="21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105"/>
      <c r="BC373" s="3"/>
      <c r="BD373" s="3"/>
      <c r="BE373" s="3"/>
      <c r="BF373" s="3"/>
      <c r="BG373" s="3"/>
      <c r="BH373" s="3"/>
      <c r="BI373" s="3"/>
      <c r="BJ373" s="3"/>
      <c r="BK373" s="3">
        <f>63.55+12.71</f>
        <v>76.259999999999991</v>
      </c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1"/>
      <c r="BZ373" s="1"/>
      <c r="CA373" s="1"/>
      <c r="CC373" s="6"/>
    </row>
    <row r="374" spans="1:81" ht="15.75" customHeight="1">
      <c r="A374" s="265"/>
      <c r="B374" s="241"/>
      <c r="C374" s="254"/>
      <c r="D374" s="254"/>
      <c r="E374" s="251"/>
      <c r="F374" s="251"/>
      <c r="G374" s="254"/>
      <c r="H374" s="254"/>
      <c r="I374" s="21" t="s">
        <v>354</v>
      </c>
      <c r="J374" s="21"/>
      <c r="K374" s="21"/>
      <c r="L374" s="21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105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1"/>
      <c r="BZ374" s="1"/>
      <c r="CA374" s="1"/>
      <c r="CC374" s="6"/>
    </row>
    <row r="375" spans="1:81" ht="15.75" customHeight="1">
      <c r="A375" s="265"/>
      <c r="B375" s="241"/>
      <c r="C375" s="254"/>
      <c r="D375" s="254"/>
      <c r="E375" s="251"/>
      <c r="F375" s="251"/>
      <c r="G375" s="254"/>
      <c r="H375" s="254"/>
      <c r="I375" s="21" t="s">
        <v>355</v>
      </c>
      <c r="J375" s="21"/>
      <c r="K375" s="21"/>
      <c r="L375" s="21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105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1"/>
      <c r="BZ375" s="1"/>
      <c r="CA375" s="1"/>
      <c r="CC375" s="6"/>
    </row>
    <row r="376" spans="1:81" ht="15.75" customHeight="1">
      <c r="A376" s="265"/>
      <c r="B376" s="241"/>
      <c r="C376" s="254"/>
      <c r="D376" s="254"/>
      <c r="E376" s="251"/>
      <c r="F376" s="251"/>
      <c r="G376" s="254"/>
      <c r="H376" s="254"/>
      <c r="I376" s="21" t="s">
        <v>356</v>
      </c>
      <c r="J376" s="21"/>
      <c r="K376" s="21"/>
      <c r="L376" s="21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105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1"/>
      <c r="BZ376" s="1"/>
      <c r="CA376" s="1"/>
      <c r="CC376" s="6"/>
    </row>
    <row r="377" spans="1:81" ht="15.75" customHeight="1">
      <c r="A377" s="265"/>
      <c r="B377" s="241"/>
      <c r="C377" s="254"/>
      <c r="D377" s="254"/>
      <c r="E377" s="251"/>
      <c r="F377" s="251"/>
      <c r="G377" s="254"/>
      <c r="H377" s="254"/>
      <c r="I377" s="21" t="s">
        <v>357</v>
      </c>
      <c r="J377" s="21"/>
      <c r="K377" s="21"/>
      <c r="L377" s="21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105"/>
      <c r="BC377" s="3"/>
      <c r="BD377" s="3"/>
      <c r="BE377" s="3"/>
      <c r="BF377" s="3"/>
      <c r="BG377" s="3"/>
      <c r="BH377" s="3"/>
      <c r="BI377" s="3"/>
      <c r="BJ377" s="3">
        <v>250</v>
      </c>
      <c r="BK377" s="3">
        <f>403+320</f>
        <v>723</v>
      </c>
      <c r="BL377" s="3">
        <f>320+364</f>
        <v>684</v>
      </c>
      <c r="BM377" s="3">
        <v>723</v>
      </c>
      <c r="BN377" s="3">
        <f>320+364</f>
        <v>684</v>
      </c>
      <c r="BO377" s="3">
        <f>504+320</f>
        <v>824</v>
      </c>
      <c r="BP377" s="3">
        <f>320+472.5</f>
        <v>792.5</v>
      </c>
      <c r="BQ377" s="3">
        <f>504+320</f>
        <v>824</v>
      </c>
      <c r="BR377" s="3"/>
      <c r="BS377" s="3"/>
      <c r="BT377" s="3"/>
      <c r="BU377" s="3"/>
      <c r="BV377" s="3"/>
      <c r="BW377" s="3"/>
      <c r="BX377" s="3"/>
      <c r="BY377" s="1"/>
      <c r="BZ377" s="1"/>
      <c r="CA377" s="1"/>
      <c r="CC377" s="6"/>
    </row>
    <row r="378" spans="1:81" ht="15.75" customHeight="1">
      <c r="A378" s="265"/>
      <c r="B378" s="241"/>
      <c r="C378" s="254"/>
      <c r="D378" s="254"/>
      <c r="E378" s="251"/>
      <c r="F378" s="251"/>
      <c r="G378" s="254"/>
      <c r="H378" s="254"/>
      <c r="I378" s="23" t="s">
        <v>362</v>
      </c>
      <c r="J378" s="23"/>
      <c r="K378" s="23"/>
      <c r="L378" s="2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105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1"/>
      <c r="BZ378" s="1"/>
      <c r="CA378" s="1"/>
      <c r="CC378" s="6"/>
    </row>
    <row r="379" spans="1:81" ht="15.75" customHeight="1">
      <c r="A379" s="265"/>
      <c r="B379" s="241"/>
      <c r="C379" s="254"/>
      <c r="D379" s="254"/>
      <c r="E379" s="251"/>
      <c r="F379" s="251"/>
      <c r="G379" s="254"/>
      <c r="H379" s="254"/>
      <c r="I379" s="22" t="s">
        <v>363</v>
      </c>
      <c r="J379" s="22"/>
      <c r="K379" s="22"/>
      <c r="L379" s="2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105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1"/>
      <c r="BZ379" s="1"/>
      <c r="CA379" s="1"/>
      <c r="CC379" s="6"/>
    </row>
    <row r="380" spans="1:81" ht="15.75" customHeight="1">
      <c r="A380" s="265"/>
      <c r="B380" s="241"/>
      <c r="C380" s="254"/>
      <c r="D380" s="254"/>
      <c r="E380" s="251"/>
      <c r="F380" s="251"/>
      <c r="G380" s="254"/>
      <c r="H380" s="254"/>
      <c r="I380" s="44" t="s">
        <v>364</v>
      </c>
      <c r="J380" s="44"/>
      <c r="K380" s="44"/>
      <c r="L380" s="4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105"/>
      <c r="BC380" s="3"/>
      <c r="BD380" s="3"/>
      <c r="BE380" s="3"/>
      <c r="BF380" s="3"/>
      <c r="BG380" s="3"/>
      <c r="BH380" s="3"/>
      <c r="BI380" s="3"/>
      <c r="BJ380" s="3">
        <v>99.87</v>
      </c>
      <c r="BK380" s="3">
        <v>261.5</v>
      </c>
      <c r="BL380" s="3">
        <v>257.39999999999998</v>
      </c>
      <c r="BM380" s="3">
        <v>257.39999999999998</v>
      </c>
      <c r="BN380" s="3">
        <v>257.39999999999998</v>
      </c>
      <c r="BO380" s="3">
        <v>257.39999999999998</v>
      </c>
      <c r="BP380" s="3">
        <v>257.39999999999998</v>
      </c>
      <c r="BQ380" s="3">
        <v>257.39999999999998</v>
      </c>
      <c r="BR380" s="3">
        <v>2456.63</v>
      </c>
      <c r="BS380" s="3"/>
      <c r="BT380" s="3"/>
      <c r="BU380" s="3"/>
      <c r="BV380" s="3"/>
      <c r="BW380" s="3"/>
      <c r="BX380" s="3"/>
      <c r="BY380" s="1"/>
      <c r="BZ380" s="1"/>
      <c r="CA380" s="1"/>
      <c r="CC380" s="6"/>
    </row>
    <row r="381" spans="1:81" ht="15.75" customHeight="1">
      <c r="A381" s="266"/>
      <c r="B381" s="241"/>
      <c r="C381" s="255"/>
      <c r="D381" s="255"/>
      <c r="E381" s="252"/>
      <c r="F381" s="252"/>
      <c r="G381" s="255"/>
      <c r="H381" s="255"/>
      <c r="I381" s="52"/>
      <c r="J381" s="3">
        <f>SUM(J370:J379)-J380</f>
        <v>0</v>
      </c>
      <c r="K381" s="3">
        <f t="shared" ref="K381:AC381" si="177">SUM(K370:K379)-K380</f>
        <v>0</v>
      </c>
      <c r="L381" s="3">
        <f t="shared" si="177"/>
        <v>0</v>
      </c>
      <c r="M381" s="3">
        <f t="shared" si="177"/>
        <v>0</v>
      </c>
      <c r="N381" s="3">
        <f t="shared" si="177"/>
        <v>0</v>
      </c>
      <c r="O381" s="3">
        <f t="shared" si="177"/>
        <v>0</v>
      </c>
      <c r="P381" s="3">
        <f t="shared" si="177"/>
        <v>0</v>
      </c>
      <c r="Q381" s="3">
        <f t="shared" si="177"/>
        <v>0</v>
      </c>
      <c r="R381" s="3">
        <f t="shared" si="177"/>
        <v>0</v>
      </c>
      <c r="S381" s="3">
        <f t="shared" si="177"/>
        <v>0</v>
      </c>
      <c r="T381" s="3">
        <f t="shared" si="177"/>
        <v>0</v>
      </c>
      <c r="U381" s="3">
        <f t="shared" si="177"/>
        <v>0</v>
      </c>
      <c r="V381" s="3">
        <f t="shared" si="177"/>
        <v>0</v>
      </c>
      <c r="W381" s="3">
        <f t="shared" si="177"/>
        <v>0</v>
      </c>
      <c r="X381" s="3">
        <f t="shared" si="177"/>
        <v>0</v>
      </c>
      <c r="Y381" s="3">
        <f t="shared" si="177"/>
        <v>0</v>
      </c>
      <c r="Z381" s="3">
        <f t="shared" si="177"/>
        <v>0</v>
      </c>
      <c r="AA381" s="3">
        <f t="shared" si="177"/>
        <v>0</v>
      </c>
      <c r="AB381" s="3">
        <f t="shared" si="177"/>
        <v>0</v>
      </c>
      <c r="AC381" s="3">
        <f t="shared" si="177"/>
        <v>0</v>
      </c>
      <c r="AD381" s="3">
        <f>SUM(AD370:AD379)-AD380</f>
        <v>0</v>
      </c>
      <c r="AE381" s="3">
        <f>SUM(AE370:AE379)-AE380</f>
        <v>0</v>
      </c>
      <c r="AF381" s="3">
        <f>SUM(AF370:AF379)-AF380</f>
        <v>0</v>
      </c>
      <c r="AG381" s="3">
        <f t="shared" ref="AG381" si="178">SUM(AG370:AG379)-AG380</f>
        <v>0</v>
      </c>
      <c r="AH381" s="3">
        <f t="shared" ref="AH381" si="179">SUM(AH370:AH379)-AH380</f>
        <v>0</v>
      </c>
      <c r="AI381" s="3">
        <f>SUM(AI370:AI379)-AI380</f>
        <v>0</v>
      </c>
      <c r="AJ381" s="3">
        <f t="shared" ref="AJ381" si="180">SUM(AJ370:AJ379)-AJ380</f>
        <v>0</v>
      </c>
      <c r="AK381" s="3">
        <f>SUM(AK370:AK379)-AK380</f>
        <v>0</v>
      </c>
      <c r="AL381" s="3">
        <f t="shared" ref="AL381:AP381" si="181">SUM(AL370:AL379)-AL380</f>
        <v>0</v>
      </c>
      <c r="AM381" s="3">
        <f t="shared" si="181"/>
        <v>0</v>
      </c>
      <c r="AN381" s="3">
        <f t="shared" si="181"/>
        <v>0</v>
      </c>
      <c r="AO381" s="3">
        <f t="shared" si="181"/>
        <v>0</v>
      </c>
      <c r="AP381" s="3">
        <f t="shared" si="181"/>
        <v>0</v>
      </c>
      <c r="AQ381" s="3">
        <f t="shared" ref="AQ381:AT381" si="182">SUM(AQ370:AQ379)-AQ380</f>
        <v>0</v>
      </c>
      <c r="AR381" s="3">
        <f t="shared" si="182"/>
        <v>0</v>
      </c>
      <c r="AS381" s="3">
        <f t="shared" si="182"/>
        <v>0</v>
      </c>
      <c r="AT381" s="3">
        <f t="shared" si="182"/>
        <v>0</v>
      </c>
      <c r="AU381" s="3">
        <f>SUM(AU370:AU379)-AU380</f>
        <v>0</v>
      </c>
      <c r="AV381" s="3"/>
      <c r="AW381" s="3">
        <f t="shared" ref="AW381:BC381" si="183">SUM(AW370:AW379)-AW380</f>
        <v>0</v>
      </c>
      <c r="AX381" s="3">
        <f t="shared" si="183"/>
        <v>0</v>
      </c>
      <c r="AY381" s="3">
        <f t="shared" si="183"/>
        <v>0</v>
      </c>
      <c r="AZ381" s="3">
        <f t="shared" si="183"/>
        <v>0</v>
      </c>
      <c r="BA381" s="3">
        <f t="shared" si="183"/>
        <v>0</v>
      </c>
      <c r="BB381" s="105">
        <f t="shared" si="183"/>
        <v>0</v>
      </c>
      <c r="BC381" s="3">
        <f t="shared" si="183"/>
        <v>0</v>
      </c>
      <c r="BD381" s="3">
        <f t="shared" ref="BD381" si="184">SUM(BD370:BD379)-BD380</f>
        <v>0</v>
      </c>
      <c r="BE381" s="3"/>
      <c r="BF381" s="3"/>
      <c r="BG381" s="3"/>
      <c r="BH381" s="3"/>
      <c r="BI381" s="3"/>
      <c r="BJ381" s="3">
        <f>BJ371+BJ377-BJ380</f>
        <v>889.89</v>
      </c>
      <c r="BK381" s="3">
        <f>BK371+BK373+BK377-BK380</f>
        <v>2387.5699999999997</v>
      </c>
      <c r="BL381" s="3">
        <f>BL371+BL373+BL377-BL380</f>
        <v>2276.41</v>
      </c>
      <c r="BM381" s="3">
        <f>BM371+BM373+BM377-BM380</f>
        <v>2315.41</v>
      </c>
      <c r="BN381" s="3">
        <f>BN371+BN373+BN377-BN380</f>
        <v>2276.41</v>
      </c>
      <c r="BO381" s="3">
        <f>BO371+BO373+BO377-BO380</f>
        <v>2416.41</v>
      </c>
      <c r="BP381" s="3">
        <v>2416.41</v>
      </c>
      <c r="BQ381" s="3">
        <v>2416.41</v>
      </c>
      <c r="BR381" s="3">
        <f>BR371-BR380</f>
        <v>896.36999999999989</v>
      </c>
      <c r="BS381" s="3"/>
      <c r="BT381" s="3"/>
      <c r="BU381" s="3"/>
      <c r="BV381" s="3"/>
      <c r="BW381" s="3"/>
      <c r="BX381" s="105">
        <f>SUM(BI381:BR381)</f>
        <v>18291.289999999997</v>
      </c>
      <c r="BY381" s="1"/>
      <c r="BZ381" s="1"/>
      <c r="CA381" s="1"/>
      <c r="CC381" s="6"/>
    </row>
    <row r="382" spans="1:81" ht="15.6" customHeight="1">
      <c r="A382" s="148" t="s">
        <v>346</v>
      </c>
      <c r="B382" s="148" t="s">
        <v>347</v>
      </c>
      <c r="C382" s="145" t="s">
        <v>310</v>
      </c>
      <c r="D382" s="145" t="s">
        <v>311</v>
      </c>
      <c r="E382" s="148" t="s">
        <v>312</v>
      </c>
      <c r="F382" s="148" t="s">
        <v>348</v>
      </c>
      <c r="G382" s="145" t="s">
        <v>314</v>
      </c>
      <c r="H382" s="145" t="s">
        <v>315</v>
      </c>
      <c r="I382" s="145" t="s">
        <v>349</v>
      </c>
      <c r="J382" s="146">
        <v>44105</v>
      </c>
      <c r="K382" s="146">
        <v>44136</v>
      </c>
      <c r="L382" s="146">
        <v>44166</v>
      </c>
      <c r="M382" s="146">
        <v>44197</v>
      </c>
      <c r="N382" s="146">
        <v>44228</v>
      </c>
      <c r="O382" s="146">
        <v>44256</v>
      </c>
      <c r="P382" s="146">
        <v>44287</v>
      </c>
      <c r="Q382" s="146">
        <v>44317</v>
      </c>
      <c r="R382" s="146">
        <v>44348</v>
      </c>
      <c r="S382" s="146">
        <v>44378</v>
      </c>
      <c r="T382" s="146">
        <v>44409</v>
      </c>
      <c r="U382" s="146">
        <v>44440</v>
      </c>
      <c r="V382" s="146">
        <v>44470</v>
      </c>
      <c r="W382" s="146">
        <v>44501</v>
      </c>
      <c r="X382" s="146">
        <v>44531</v>
      </c>
      <c r="Y382" s="146">
        <v>44562</v>
      </c>
      <c r="Z382" s="146">
        <v>44593</v>
      </c>
      <c r="AA382" s="146">
        <v>44621</v>
      </c>
      <c r="AB382" s="146">
        <v>44652</v>
      </c>
      <c r="AC382" s="146">
        <v>44682</v>
      </c>
      <c r="AD382" s="146">
        <v>44713</v>
      </c>
      <c r="AE382" s="146">
        <v>44743</v>
      </c>
      <c r="AF382" s="146">
        <v>44774</v>
      </c>
      <c r="AG382" s="146">
        <v>44805</v>
      </c>
      <c r="AH382" s="146">
        <v>44835</v>
      </c>
      <c r="AI382" s="146">
        <v>44866</v>
      </c>
      <c r="AJ382" s="146">
        <v>44896</v>
      </c>
      <c r="AK382" s="146">
        <v>44927</v>
      </c>
      <c r="AL382" s="146">
        <v>44958</v>
      </c>
      <c r="AM382" s="146">
        <v>44986</v>
      </c>
      <c r="AN382" s="146">
        <v>45017</v>
      </c>
      <c r="AO382" s="146">
        <v>45047</v>
      </c>
      <c r="AP382" s="146">
        <v>45078</v>
      </c>
      <c r="AQ382" s="146">
        <v>45108</v>
      </c>
      <c r="AR382" s="146">
        <v>45139</v>
      </c>
      <c r="AS382" s="146">
        <v>45170</v>
      </c>
      <c r="AT382" s="146">
        <v>45200</v>
      </c>
      <c r="AU382" s="146">
        <v>45231</v>
      </c>
      <c r="AV382" s="146">
        <v>45261</v>
      </c>
      <c r="AW382" s="146">
        <v>45292</v>
      </c>
      <c r="AX382" s="146">
        <v>45323</v>
      </c>
      <c r="AY382" s="146">
        <v>45352</v>
      </c>
      <c r="AZ382" s="146">
        <v>45383</v>
      </c>
      <c r="BA382" s="146">
        <v>45413</v>
      </c>
      <c r="BB382" s="146">
        <v>45444</v>
      </c>
      <c r="BC382" s="146">
        <v>45474</v>
      </c>
      <c r="BD382" s="146">
        <v>45505</v>
      </c>
      <c r="BE382" s="146">
        <v>45536</v>
      </c>
      <c r="BF382" s="146">
        <v>45566</v>
      </c>
      <c r="BG382" s="146">
        <v>45597</v>
      </c>
      <c r="BH382" s="146">
        <v>45627</v>
      </c>
      <c r="BI382" s="146">
        <v>45658</v>
      </c>
      <c r="BJ382" s="146">
        <v>45689</v>
      </c>
      <c r="BK382" s="146">
        <v>45717</v>
      </c>
      <c r="BL382" s="146"/>
      <c r="BM382" s="146"/>
      <c r="BN382" s="146"/>
      <c r="BO382" s="146"/>
      <c r="BP382" s="146"/>
      <c r="BQ382" s="146"/>
      <c r="BR382" s="146"/>
      <c r="BS382" s="146"/>
      <c r="BT382" s="146"/>
      <c r="BU382" s="146"/>
      <c r="BV382" s="146"/>
      <c r="BW382" s="146"/>
      <c r="BX382" s="147" t="s">
        <v>13</v>
      </c>
      <c r="BY382" s="5"/>
      <c r="BZ382" s="5"/>
      <c r="CA382" s="5"/>
    </row>
    <row r="383" spans="1:81" s="107" customFormat="1" ht="15.75" customHeight="1">
      <c r="A383" s="267">
        <v>28</v>
      </c>
      <c r="B383" s="241" t="s">
        <v>381</v>
      </c>
      <c r="C383" s="253" t="s">
        <v>92</v>
      </c>
      <c r="D383" s="253" t="s">
        <v>89</v>
      </c>
      <c r="E383" s="250" t="s">
        <v>382</v>
      </c>
      <c r="F383" s="250" t="s">
        <v>382</v>
      </c>
      <c r="G383" s="256">
        <f>'CONSOLIDADO ATIVO INATIVO NOVO'!J33</f>
        <v>45456</v>
      </c>
      <c r="H383" s="256">
        <f>'CONSOLIDADO ATIVO INATIVO NOVO'!K33</f>
        <v>0</v>
      </c>
      <c r="I383" s="106" t="s">
        <v>350</v>
      </c>
      <c r="J383" s="106"/>
      <c r="K383" s="106"/>
      <c r="L383" s="106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05"/>
      <c r="BF383" s="105"/>
      <c r="BG383" s="105"/>
      <c r="BH383" s="105"/>
      <c r="BI383" s="105"/>
      <c r="BJ383" s="105"/>
      <c r="BK383" s="105"/>
      <c r="BL383" s="105"/>
      <c r="BM383" s="105"/>
      <c r="BN383" s="105"/>
      <c r="BO383" s="105"/>
      <c r="BP383" s="105"/>
      <c r="BQ383" s="105"/>
      <c r="BR383" s="105"/>
      <c r="BS383" s="105"/>
      <c r="BT383" s="105"/>
      <c r="BU383" s="105"/>
      <c r="BV383" s="105"/>
      <c r="BW383" s="105"/>
      <c r="BX383" s="105"/>
      <c r="BY383" s="117"/>
      <c r="BZ383" s="117"/>
      <c r="CA383" s="117"/>
      <c r="CC383" s="118"/>
    </row>
    <row r="384" spans="1:81" s="107" customFormat="1" ht="15.75" customHeight="1">
      <c r="A384" s="268"/>
      <c r="B384" s="241"/>
      <c r="C384" s="254"/>
      <c r="D384" s="254"/>
      <c r="E384" s="251"/>
      <c r="F384" s="251"/>
      <c r="G384" s="254"/>
      <c r="H384" s="254"/>
      <c r="I384" s="106" t="s">
        <v>351</v>
      </c>
      <c r="J384" s="106"/>
      <c r="K384" s="106"/>
      <c r="L384" s="106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>
        <v>1594.91</v>
      </c>
      <c r="AO384" s="105">
        <v>1708.83</v>
      </c>
      <c r="AP384" s="105">
        <v>1708.83</v>
      </c>
      <c r="AQ384" s="105">
        <v>1708.83</v>
      </c>
      <c r="AR384" s="105">
        <v>1708.83</v>
      </c>
      <c r="AS384" s="105">
        <v>1708.83</v>
      </c>
      <c r="AT384" s="105">
        <v>1849.81</v>
      </c>
      <c r="AU384" s="105">
        <v>1849.81</v>
      </c>
      <c r="AV384" s="105">
        <v>1849.81</v>
      </c>
      <c r="AW384" s="105">
        <v>1849.81</v>
      </c>
      <c r="AX384" s="105">
        <v>1849.81</v>
      </c>
      <c r="AY384" s="105">
        <v>2034.79</v>
      </c>
      <c r="AZ384" s="105">
        <v>2034.79</v>
      </c>
      <c r="BA384" s="105">
        <v>2805.23</v>
      </c>
      <c r="BB384" s="105">
        <f>2034.79+610.44</f>
        <v>2645.23</v>
      </c>
      <c r="BC384" s="105">
        <v>2645.23</v>
      </c>
      <c r="BD384" s="105">
        <v>2645.23</v>
      </c>
      <c r="BE384" s="105">
        <v>2645.23</v>
      </c>
      <c r="BF384" s="105">
        <f>2034.79+610.44</f>
        <v>2645.23</v>
      </c>
      <c r="BG384" s="105"/>
      <c r="BH384" s="105"/>
      <c r="BI384" s="105"/>
      <c r="BJ384" s="105"/>
      <c r="BK384" s="105"/>
      <c r="BL384" s="105"/>
      <c r="BM384" s="105"/>
      <c r="BN384" s="105"/>
      <c r="BO384" s="105"/>
      <c r="BP384" s="105"/>
      <c r="BQ384" s="105"/>
      <c r="BR384" s="105"/>
      <c r="BS384" s="105"/>
      <c r="BT384" s="105"/>
      <c r="BU384" s="105"/>
      <c r="BV384" s="105"/>
      <c r="BW384" s="105"/>
      <c r="BX384" s="105"/>
      <c r="BY384" s="117"/>
      <c r="BZ384" s="117"/>
      <c r="CA384" s="117"/>
      <c r="CC384" s="118"/>
    </row>
    <row r="385" spans="1:81" s="107" customFormat="1" ht="15.75" customHeight="1">
      <c r="A385" s="268"/>
      <c r="B385" s="241"/>
      <c r="C385" s="254"/>
      <c r="D385" s="254"/>
      <c r="E385" s="251"/>
      <c r="F385" s="251"/>
      <c r="G385" s="254"/>
      <c r="H385" s="254"/>
      <c r="I385" s="106" t="s">
        <v>371</v>
      </c>
      <c r="J385" s="106"/>
      <c r="K385" s="106"/>
      <c r="L385" s="106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05"/>
      <c r="BF385" s="105"/>
      <c r="BG385" s="105"/>
      <c r="BH385" s="105"/>
      <c r="BI385" s="105"/>
      <c r="BJ385" s="105"/>
      <c r="BK385" s="105"/>
      <c r="BL385" s="105"/>
      <c r="BM385" s="105"/>
      <c r="BN385" s="105"/>
      <c r="BO385" s="105"/>
      <c r="BP385" s="105"/>
      <c r="BQ385" s="105"/>
      <c r="BR385" s="105"/>
      <c r="BS385" s="105"/>
      <c r="BT385" s="105"/>
      <c r="BU385" s="105"/>
      <c r="BV385" s="105"/>
      <c r="BW385" s="105"/>
      <c r="BX385" s="105"/>
      <c r="BY385" s="117"/>
      <c r="BZ385" s="117"/>
      <c r="CA385" s="117"/>
      <c r="CC385" s="118"/>
    </row>
    <row r="386" spans="1:81" s="107" customFormat="1" ht="15.75" customHeight="1">
      <c r="A386" s="268"/>
      <c r="B386" s="241"/>
      <c r="C386" s="254"/>
      <c r="D386" s="254"/>
      <c r="E386" s="251"/>
      <c r="F386" s="251"/>
      <c r="G386" s="254"/>
      <c r="H386" s="254"/>
      <c r="I386" s="106" t="s">
        <v>353</v>
      </c>
      <c r="J386" s="106"/>
      <c r="K386" s="106"/>
      <c r="L386" s="106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>
        <f>1.4+6.99</f>
        <v>8.39</v>
      </c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05"/>
      <c r="BF386" s="105">
        <v>1000</v>
      </c>
      <c r="BG386" s="105"/>
      <c r="BH386" s="105"/>
      <c r="BI386" s="105"/>
      <c r="BJ386" s="105"/>
      <c r="BK386" s="105"/>
      <c r="BL386" s="105"/>
      <c r="BM386" s="105"/>
      <c r="BN386" s="105"/>
      <c r="BO386" s="105"/>
      <c r="BP386" s="105"/>
      <c r="BQ386" s="105"/>
      <c r="BR386" s="105"/>
      <c r="BS386" s="105"/>
      <c r="BT386" s="105"/>
      <c r="BU386" s="105"/>
      <c r="BV386" s="105"/>
      <c r="BW386" s="105"/>
      <c r="BX386" s="105"/>
      <c r="BY386" s="117"/>
      <c r="BZ386" s="117"/>
      <c r="CA386" s="117"/>
      <c r="CC386" s="118"/>
    </row>
    <row r="387" spans="1:81" s="107" customFormat="1" ht="15.75" customHeight="1">
      <c r="A387" s="268"/>
      <c r="B387" s="241"/>
      <c r="C387" s="254"/>
      <c r="D387" s="254"/>
      <c r="E387" s="251"/>
      <c r="F387" s="251"/>
      <c r="G387" s="254"/>
      <c r="H387" s="254"/>
      <c r="I387" s="106" t="s">
        <v>354</v>
      </c>
      <c r="J387" s="106"/>
      <c r="K387" s="106"/>
      <c r="L387" s="106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>
        <f>145.87+729.36</f>
        <v>875.23</v>
      </c>
      <c r="BC387" s="105"/>
      <c r="BD387" s="105"/>
      <c r="BE387" s="105"/>
      <c r="BF387" s="105"/>
      <c r="BG387" s="105"/>
      <c r="BH387" s="105"/>
      <c r="BI387" s="105"/>
      <c r="BJ387" s="105"/>
      <c r="BK387" s="105"/>
      <c r="BL387" s="105"/>
      <c r="BM387" s="105"/>
      <c r="BN387" s="105"/>
      <c r="BO387" s="105"/>
      <c r="BP387" s="105"/>
      <c r="BQ387" s="105"/>
      <c r="BR387" s="105"/>
      <c r="BS387" s="105"/>
      <c r="BT387" s="105"/>
      <c r="BU387" s="105"/>
      <c r="BV387" s="105"/>
      <c r="BW387" s="105"/>
      <c r="BX387" s="105"/>
      <c r="BY387" s="117"/>
      <c r="BZ387" s="117"/>
      <c r="CA387" s="117"/>
      <c r="CC387" s="118"/>
    </row>
    <row r="388" spans="1:81" s="107" customFormat="1" ht="15.75" customHeight="1">
      <c r="A388" s="268"/>
      <c r="B388" s="241"/>
      <c r="C388" s="254"/>
      <c r="D388" s="254"/>
      <c r="E388" s="251"/>
      <c r="F388" s="251"/>
      <c r="G388" s="254"/>
      <c r="H388" s="254"/>
      <c r="I388" s="106" t="s">
        <v>355</v>
      </c>
      <c r="J388" s="106"/>
      <c r="K388" s="106"/>
      <c r="L388" s="106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05"/>
      <c r="BF388" s="105"/>
      <c r="BG388" s="105"/>
      <c r="BH388" s="105"/>
      <c r="BI388" s="105"/>
      <c r="BJ388" s="105"/>
      <c r="BK388" s="105"/>
      <c r="BL388" s="105"/>
      <c r="BM388" s="105"/>
      <c r="BN388" s="105"/>
      <c r="BO388" s="105"/>
      <c r="BP388" s="105"/>
      <c r="BQ388" s="105"/>
      <c r="BR388" s="105"/>
      <c r="BS388" s="105"/>
      <c r="BT388" s="105"/>
      <c r="BU388" s="105"/>
      <c r="BV388" s="105"/>
      <c r="BW388" s="105"/>
      <c r="BX388" s="105"/>
      <c r="BY388" s="117"/>
      <c r="BZ388" s="117"/>
      <c r="CA388" s="117"/>
      <c r="CC388" s="118"/>
    </row>
    <row r="389" spans="1:81" s="107" customFormat="1" ht="15.75" customHeight="1">
      <c r="A389" s="268"/>
      <c r="B389" s="241"/>
      <c r="C389" s="254"/>
      <c r="D389" s="254"/>
      <c r="E389" s="251"/>
      <c r="F389" s="251"/>
      <c r="G389" s="254"/>
      <c r="H389" s="254"/>
      <c r="I389" s="106" t="s">
        <v>356</v>
      </c>
      <c r="J389" s="106"/>
      <c r="K389" s="106"/>
      <c r="L389" s="106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  <c r="BA389" s="105"/>
      <c r="BB389" s="105"/>
      <c r="BC389" s="105"/>
      <c r="BD389" s="105"/>
      <c r="BE389" s="105"/>
      <c r="BF389" s="105"/>
      <c r="BG389" s="105"/>
      <c r="BH389" s="105"/>
      <c r="BI389" s="105"/>
      <c r="BJ389" s="105"/>
      <c r="BK389" s="105"/>
      <c r="BL389" s="105"/>
      <c r="BM389" s="105"/>
      <c r="BN389" s="105"/>
      <c r="BO389" s="105"/>
      <c r="BP389" s="105"/>
      <c r="BQ389" s="105"/>
      <c r="BR389" s="105"/>
      <c r="BS389" s="105"/>
      <c r="BT389" s="105"/>
      <c r="BU389" s="105"/>
      <c r="BV389" s="105"/>
      <c r="BW389" s="105"/>
      <c r="BX389" s="105"/>
      <c r="BY389" s="117"/>
      <c r="BZ389" s="117"/>
      <c r="CA389" s="117"/>
      <c r="CC389" s="118"/>
    </row>
    <row r="390" spans="1:81" s="107" customFormat="1" ht="15.75" customHeight="1">
      <c r="A390" s="268"/>
      <c r="B390" s="241"/>
      <c r="C390" s="254"/>
      <c r="D390" s="254"/>
      <c r="E390" s="251"/>
      <c r="F390" s="251"/>
      <c r="G390" s="254"/>
      <c r="H390" s="254"/>
      <c r="I390" s="106" t="s">
        <v>357</v>
      </c>
      <c r="J390" s="106"/>
      <c r="K390" s="106"/>
      <c r="L390" s="106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5"/>
      <c r="AM390" s="105"/>
      <c r="AN390" s="105">
        <v>419.77</v>
      </c>
      <c r="AO390" s="105">
        <v>476.48</v>
      </c>
      <c r="AP390" s="105">
        <v>465.55</v>
      </c>
      <c r="AQ390" s="105">
        <v>478.49</v>
      </c>
      <c r="AR390" s="105">
        <v>487.59</v>
      </c>
      <c r="AS390" s="105">
        <v>465.55</v>
      </c>
      <c r="AT390" s="105">
        <v>465.55</v>
      </c>
      <c r="AU390" s="105">
        <v>443.58</v>
      </c>
      <c r="AV390" s="105">
        <v>521.07000000000005</v>
      </c>
      <c r="AW390" s="105">
        <v>495.01</v>
      </c>
      <c r="AX390" s="105">
        <v>521.54999999999995</v>
      </c>
      <c r="AY390" s="105">
        <v>522.55999999999995</v>
      </c>
      <c r="AZ390" s="105">
        <v>534.01</v>
      </c>
      <c r="BA390" s="105">
        <v>738.71</v>
      </c>
      <c r="BB390" s="105">
        <v>717.93</v>
      </c>
      <c r="BC390" s="105">
        <v>759.53</v>
      </c>
      <c r="BD390" s="105">
        <v>760.58</v>
      </c>
      <c r="BE390" s="105">
        <v>697.13</v>
      </c>
      <c r="BF390" s="105">
        <v>738.73</v>
      </c>
      <c r="BG390" s="105">
        <v>321.17</v>
      </c>
      <c r="BH390" s="105"/>
      <c r="BI390" s="105"/>
      <c r="BJ390" s="105"/>
      <c r="BK390" s="105"/>
      <c r="BL390" s="105"/>
      <c r="BM390" s="105"/>
      <c r="BN390" s="105"/>
      <c r="BO390" s="105"/>
      <c r="BP390" s="105"/>
      <c r="BQ390" s="105"/>
      <c r="BR390" s="105"/>
      <c r="BS390" s="105"/>
      <c r="BT390" s="105"/>
      <c r="BU390" s="105"/>
      <c r="BV390" s="105"/>
      <c r="BW390" s="105"/>
      <c r="BX390" s="105"/>
      <c r="BY390" s="117"/>
      <c r="BZ390" s="117"/>
      <c r="CA390" s="117"/>
      <c r="CC390" s="118"/>
    </row>
    <row r="391" spans="1:81" s="107" customFormat="1" ht="15.75" customHeight="1">
      <c r="A391" s="268"/>
      <c r="B391" s="241"/>
      <c r="C391" s="254"/>
      <c r="D391" s="254"/>
      <c r="E391" s="251"/>
      <c r="F391" s="251"/>
      <c r="G391" s="254"/>
      <c r="H391" s="254"/>
      <c r="I391" s="131" t="s">
        <v>362</v>
      </c>
      <c r="J391" s="131"/>
      <c r="K391" s="131"/>
      <c r="L391" s="131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  <c r="AU391" s="105"/>
      <c r="AV391" s="105"/>
      <c r="AW391" s="105"/>
      <c r="AX391" s="105"/>
      <c r="AY391" s="105"/>
      <c r="AZ391" s="105"/>
      <c r="BA391" s="105"/>
      <c r="BB391" s="105"/>
      <c r="BC391" s="105"/>
      <c r="BD391" s="105"/>
      <c r="BE391" s="105"/>
      <c r="BF391" s="105"/>
      <c r="BG391" s="105">
        <v>8764.5499999999993</v>
      </c>
      <c r="BH391" s="105"/>
      <c r="BI391" s="105"/>
      <c r="BJ391" s="105"/>
      <c r="BK391" s="105"/>
      <c r="BL391" s="105"/>
      <c r="BM391" s="105"/>
      <c r="BN391" s="105"/>
      <c r="BO391" s="105"/>
      <c r="BP391" s="105"/>
      <c r="BQ391" s="105"/>
      <c r="BR391" s="105"/>
      <c r="BS391" s="105"/>
      <c r="BT391" s="105"/>
      <c r="BU391" s="105"/>
      <c r="BV391" s="105"/>
      <c r="BW391" s="105"/>
      <c r="BX391" s="105"/>
      <c r="BY391" s="117"/>
      <c r="BZ391" s="117"/>
      <c r="CA391" s="117"/>
      <c r="CC391" s="118"/>
    </row>
    <row r="392" spans="1:81" s="107" customFormat="1" ht="15.75" customHeight="1">
      <c r="A392" s="268"/>
      <c r="B392" s="241"/>
      <c r="C392" s="254"/>
      <c r="D392" s="254"/>
      <c r="E392" s="251"/>
      <c r="F392" s="251"/>
      <c r="G392" s="254"/>
      <c r="H392" s="254"/>
      <c r="I392" s="132" t="s">
        <v>363</v>
      </c>
      <c r="J392" s="132"/>
      <c r="K392" s="132"/>
      <c r="L392" s="132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  <c r="AU392" s="105">
        <v>616.6</v>
      </c>
      <c r="AV392" s="105">
        <v>665.7</v>
      </c>
      <c r="AW392" s="105"/>
      <c r="AX392" s="105"/>
      <c r="AY392" s="105"/>
      <c r="AZ392" s="105"/>
      <c r="BA392" s="105"/>
      <c r="BB392" s="105"/>
      <c r="BC392" s="105"/>
      <c r="BD392" s="105"/>
      <c r="BE392" s="105"/>
      <c r="BF392" s="105"/>
      <c r="BG392" s="105"/>
      <c r="BH392" s="105"/>
      <c r="BI392" s="105"/>
      <c r="BJ392" s="105"/>
      <c r="BK392" s="105"/>
      <c r="BL392" s="105"/>
      <c r="BM392" s="105"/>
      <c r="BN392" s="105"/>
      <c r="BO392" s="105"/>
      <c r="BP392" s="105"/>
      <c r="BQ392" s="105"/>
      <c r="BR392" s="105"/>
      <c r="BS392" s="105"/>
      <c r="BT392" s="105"/>
      <c r="BU392" s="105"/>
      <c r="BV392" s="105"/>
      <c r="BW392" s="105"/>
      <c r="BX392" s="105"/>
      <c r="BY392" s="117"/>
      <c r="BZ392" s="117"/>
      <c r="CA392" s="117"/>
      <c r="CC392" s="118"/>
    </row>
    <row r="393" spans="1:81" s="107" customFormat="1" ht="15.75" customHeight="1">
      <c r="A393" s="268"/>
      <c r="B393" s="241"/>
      <c r="C393" s="254"/>
      <c r="D393" s="254"/>
      <c r="E393" s="251"/>
      <c r="F393" s="251"/>
      <c r="G393" s="254"/>
      <c r="H393" s="254"/>
      <c r="I393" s="133" t="s">
        <v>364</v>
      </c>
      <c r="J393" s="133"/>
      <c r="K393" s="133"/>
      <c r="L393" s="133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5"/>
      <c r="AM393" s="105"/>
      <c r="AN393" s="105">
        <v>124.01</v>
      </c>
      <c r="AO393" s="105">
        <v>133.99</v>
      </c>
      <c r="AP393" s="105">
        <v>134.74</v>
      </c>
      <c r="AQ393" s="105">
        <v>133.99</v>
      </c>
      <c r="AR393" s="105">
        <v>133.99</v>
      </c>
      <c r="AS393" s="105">
        <v>133.99</v>
      </c>
      <c r="AT393" s="105">
        <v>146.68</v>
      </c>
      <c r="AU393" s="105">
        <v>146.68</v>
      </c>
      <c r="AV393" s="105">
        <v>146.68</v>
      </c>
      <c r="AW393" s="105">
        <v>173.05</v>
      </c>
      <c r="AX393" s="105">
        <v>145.30000000000001</v>
      </c>
      <c r="AY393" s="105">
        <f>161.95+30.52</f>
        <v>192.47</v>
      </c>
      <c r="AZ393" s="105">
        <v>161.94999999999999</v>
      </c>
      <c r="BA393" s="105">
        <v>216.89</v>
      </c>
      <c r="BB393" s="105">
        <f>383.18</f>
        <v>383.18</v>
      </c>
      <c r="BC393" s="105">
        <v>216.89</v>
      </c>
      <c r="BD393" s="105">
        <v>216.89</v>
      </c>
      <c r="BE393" s="105">
        <v>216.89</v>
      </c>
      <c r="BF393" s="105">
        <v>1216.8900000000001</v>
      </c>
      <c r="BH393" s="105"/>
      <c r="BI393" s="105"/>
      <c r="BJ393" s="105"/>
      <c r="BK393" s="105"/>
      <c r="BL393" s="105"/>
      <c r="BM393" s="105"/>
      <c r="BN393" s="105"/>
      <c r="BO393" s="105"/>
      <c r="BP393" s="105"/>
      <c r="BQ393" s="105"/>
      <c r="BR393" s="105"/>
      <c r="BS393" s="105"/>
      <c r="BT393" s="105"/>
      <c r="BU393" s="105"/>
      <c r="BV393" s="105"/>
      <c r="BW393" s="105"/>
      <c r="BX393" s="105"/>
      <c r="BY393" s="117"/>
      <c r="BZ393" s="117"/>
      <c r="CA393" s="117"/>
      <c r="CC393" s="118"/>
    </row>
    <row r="394" spans="1:81" s="107" customFormat="1" ht="15.75" customHeight="1">
      <c r="A394" s="269"/>
      <c r="B394" s="241"/>
      <c r="C394" s="255"/>
      <c r="D394" s="255"/>
      <c r="E394" s="252"/>
      <c r="F394" s="252"/>
      <c r="G394" s="255"/>
      <c r="H394" s="255"/>
      <c r="I394" s="130"/>
      <c r="J394" s="105">
        <f>SUM(J383:J392)-J393</f>
        <v>0</v>
      </c>
      <c r="K394" s="105">
        <f t="shared" ref="K394:AC394" si="185">SUM(K383:K392)-K393</f>
        <v>0</v>
      </c>
      <c r="L394" s="105">
        <f t="shared" si="185"/>
        <v>0</v>
      </c>
      <c r="M394" s="105">
        <f t="shared" si="185"/>
        <v>0</v>
      </c>
      <c r="N394" s="105">
        <f t="shared" si="185"/>
        <v>0</v>
      </c>
      <c r="O394" s="105">
        <f t="shared" si="185"/>
        <v>0</v>
      </c>
      <c r="P394" s="105">
        <f t="shared" si="185"/>
        <v>0</v>
      </c>
      <c r="Q394" s="105">
        <f t="shared" si="185"/>
        <v>0</v>
      </c>
      <c r="R394" s="105">
        <f t="shared" si="185"/>
        <v>0</v>
      </c>
      <c r="S394" s="105">
        <f t="shared" si="185"/>
        <v>0</v>
      </c>
      <c r="T394" s="105">
        <f t="shared" si="185"/>
        <v>0</v>
      </c>
      <c r="U394" s="105">
        <f t="shared" si="185"/>
        <v>0</v>
      </c>
      <c r="V394" s="105">
        <f t="shared" si="185"/>
        <v>0</v>
      </c>
      <c r="W394" s="105">
        <f t="shared" si="185"/>
        <v>0</v>
      </c>
      <c r="X394" s="105">
        <f t="shared" si="185"/>
        <v>0</v>
      </c>
      <c r="Y394" s="105">
        <f t="shared" si="185"/>
        <v>0</v>
      </c>
      <c r="Z394" s="105">
        <f t="shared" si="185"/>
        <v>0</v>
      </c>
      <c r="AA394" s="105">
        <f t="shared" si="185"/>
        <v>0</v>
      </c>
      <c r="AB394" s="105">
        <f t="shared" si="185"/>
        <v>0</v>
      </c>
      <c r="AC394" s="105">
        <f t="shared" si="185"/>
        <v>0</v>
      </c>
      <c r="AD394" s="105">
        <f>SUM(AD383:AD392)-AD393</f>
        <v>0</v>
      </c>
      <c r="AE394" s="105">
        <f>SUM(AE383:AE392)-AE393</f>
        <v>0</v>
      </c>
      <c r="AF394" s="105">
        <f>SUM(AF383:AF392)-AF393</f>
        <v>0</v>
      </c>
      <c r="AG394" s="105">
        <f t="shared" ref="AG394" si="186">SUM(AG383:AG392)-AG393</f>
        <v>0</v>
      </c>
      <c r="AH394" s="105">
        <f t="shared" ref="AH394" si="187">SUM(AH383:AH392)-AH393</f>
        <v>0</v>
      </c>
      <c r="AI394" s="105">
        <f>SUM(AI383:AI392)-AI393</f>
        <v>0</v>
      </c>
      <c r="AJ394" s="105">
        <f t="shared" ref="AJ394" si="188">SUM(AJ383:AJ392)-AJ393</f>
        <v>0</v>
      </c>
      <c r="AK394" s="105">
        <f>SUM(AK383:AK392)-AK393</f>
        <v>0</v>
      </c>
      <c r="AL394" s="105">
        <f t="shared" ref="AL394:AP394" si="189">SUM(AL383:AL392)-AL393</f>
        <v>0</v>
      </c>
      <c r="AM394" s="105">
        <f t="shared" si="189"/>
        <v>0</v>
      </c>
      <c r="AN394" s="105">
        <f t="shared" si="189"/>
        <v>1890.67</v>
      </c>
      <c r="AO394" s="105">
        <f t="shared" si="189"/>
        <v>2051.3199999999997</v>
      </c>
      <c r="AP394" s="105">
        <f t="shared" si="189"/>
        <v>2048.0299999999997</v>
      </c>
      <c r="AQ394" s="105">
        <f t="shared" ref="AQ394:AT394" si="190">SUM(AQ383:AQ392)-AQ393</f>
        <v>2053.33</v>
      </c>
      <c r="AR394" s="105">
        <f t="shared" si="190"/>
        <v>2062.4300000000003</v>
      </c>
      <c r="AS394" s="105">
        <f t="shared" si="190"/>
        <v>2040.39</v>
      </c>
      <c r="AT394" s="105">
        <f t="shared" si="190"/>
        <v>2168.6800000000003</v>
      </c>
      <c r="AU394" s="105">
        <f>SUM(AU383:AU392)-AU393</f>
        <v>2763.31</v>
      </c>
      <c r="AV394" s="105">
        <f t="shared" ref="AV394:AY394" si="191">SUM(AV383:AV392)-AV393</f>
        <v>2889.9</v>
      </c>
      <c r="AW394" s="105">
        <f t="shared" si="191"/>
        <v>2171.7699999999995</v>
      </c>
      <c r="AX394" s="105">
        <f t="shared" si="191"/>
        <v>2226.0599999999995</v>
      </c>
      <c r="AY394" s="105">
        <f t="shared" si="191"/>
        <v>2364.88</v>
      </c>
      <c r="AZ394" s="105">
        <f t="shared" ref="AZ394:BA394" si="192">SUM(AZ383:AZ392)-AZ393</f>
        <v>2406.8500000000004</v>
      </c>
      <c r="BA394" s="105">
        <f t="shared" si="192"/>
        <v>3327.05</v>
      </c>
      <c r="BB394" s="105">
        <f t="shared" ref="BB394:BE394" si="193">SUM(BB383:BB392)-BB393</f>
        <v>3855.2100000000005</v>
      </c>
      <c r="BC394" s="105">
        <f t="shared" si="193"/>
        <v>3187.8700000000003</v>
      </c>
      <c r="BD394" s="105">
        <f t="shared" si="193"/>
        <v>3188.92</v>
      </c>
      <c r="BE394" s="105">
        <f t="shared" si="193"/>
        <v>3125.4700000000003</v>
      </c>
      <c r="BF394" s="105">
        <f>BF384+BF386+BF390-BF393</f>
        <v>3167.0699999999997</v>
      </c>
      <c r="BG394" s="105">
        <f>BG391+BG390</f>
        <v>9085.7199999999993</v>
      </c>
      <c r="BH394" s="105"/>
      <c r="BI394" s="105"/>
      <c r="BJ394" s="105"/>
      <c r="BK394" s="105"/>
      <c r="BL394" s="105"/>
      <c r="BM394" s="105"/>
      <c r="BN394" s="105"/>
      <c r="BO394" s="105"/>
      <c r="BP394" s="105"/>
      <c r="BQ394" s="105"/>
      <c r="BR394" s="105"/>
      <c r="BS394" s="105"/>
      <c r="BT394" s="105"/>
      <c r="BU394" s="105"/>
      <c r="BV394" s="105"/>
      <c r="BW394" s="105"/>
      <c r="BX394" s="105">
        <f>SUM(J394:BG394)</f>
        <v>58074.930000000008</v>
      </c>
      <c r="BY394" s="117"/>
      <c r="BZ394" s="117"/>
      <c r="CA394" s="117"/>
      <c r="CC394" s="118"/>
    </row>
    <row r="395" spans="1:81" ht="15.6" customHeight="1">
      <c r="A395" s="148" t="s">
        <v>346</v>
      </c>
      <c r="B395" s="148" t="s">
        <v>347</v>
      </c>
      <c r="C395" s="145" t="s">
        <v>310</v>
      </c>
      <c r="D395" s="145" t="s">
        <v>311</v>
      </c>
      <c r="E395" s="148" t="s">
        <v>312</v>
      </c>
      <c r="F395" s="148" t="s">
        <v>348</v>
      </c>
      <c r="G395" s="145" t="s">
        <v>314</v>
      </c>
      <c r="H395" s="145" t="s">
        <v>315</v>
      </c>
      <c r="I395" s="145" t="s">
        <v>349</v>
      </c>
      <c r="J395" s="146">
        <v>44105</v>
      </c>
      <c r="K395" s="146">
        <v>44136</v>
      </c>
      <c r="L395" s="146">
        <v>44166</v>
      </c>
      <c r="M395" s="146">
        <v>44197</v>
      </c>
      <c r="N395" s="146">
        <v>44228</v>
      </c>
      <c r="O395" s="146">
        <v>44256</v>
      </c>
      <c r="P395" s="146">
        <v>44287</v>
      </c>
      <c r="Q395" s="146">
        <v>44317</v>
      </c>
      <c r="R395" s="146">
        <v>44348</v>
      </c>
      <c r="S395" s="146">
        <v>44378</v>
      </c>
      <c r="T395" s="146">
        <v>44409</v>
      </c>
      <c r="U395" s="146">
        <v>44440</v>
      </c>
      <c r="V395" s="146">
        <v>44470</v>
      </c>
      <c r="W395" s="146">
        <v>44501</v>
      </c>
      <c r="X395" s="146">
        <v>44531</v>
      </c>
      <c r="Y395" s="146">
        <v>44562</v>
      </c>
      <c r="Z395" s="146">
        <v>44593</v>
      </c>
      <c r="AA395" s="146">
        <v>44621</v>
      </c>
      <c r="AB395" s="146">
        <v>44652</v>
      </c>
      <c r="AC395" s="146">
        <v>44682</v>
      </c>
      <c r="AD395" s="146">
        <v>44713</v>
      </c>
      <c r="AE395" s="146">
        <v>44743</v>
      </c>
      <c r="AF395" s="146">
        <v>44774</v>
      </c>
      <c r="AG395" s="146">
        <v>44805</v>
      </c>
      <c r="AH395" s="146">
        <v>44835</v>
      </c>
      <c r="AI395" s="146">
        <v>44866</v>
      </c>
      <c r="AJ395" s="146">
        <v>44896</v>
      </c>
      <c r="AK395" s="146">
        <v>44927</v>
      </c>
      <c r="AL395" s="146">
        <v>44958</v>
      </c>
      <c r="AM395" s="146">
        <v>44986</v>
      </c>
      <c r="AN395" s="146">
        <v>45017</v>
      </c>
      <c r="AO395" s="146">
        <v>45047</v>
      </c>
      <c r="AP395" s="146">
        <v>45078</v>
      </c>
      <c r="AQ395" s="146">
        <v>45108</v>
      </c>
      <c r="AR395" s="146">
        <v>45139</v>
      </c>
      <c r="AS395" s="146">
        <v>45170</v>
      </c>
      <c r="AT395" s="146">
        <v>45200</v>
      </c>
      <c r="AU395" s="146">
        <v>45231</v>
      </c>
      <c r="AV395" s="146">
        <v>45261</v>
      </c>
      <c r="AW395" s="146">
        <v>45292</v>
      </c>
      <c r="AX395" s="146">
        <v>45323</v>
      </c>
      <c r="AY395" s="146">
        <v>45352</v>
      </c>
      <c r="AZ395" s="146">
        <v>45383</v>
      </c>
      <c r="BA395" s="146">
        <v>45413</v>
      </c>
      <c r="BB395" s="146">
        <v>45444</v>
      </c>
      <c r="BC395" s="146">
        <v>45474</v>
      </c>
      <c r="BD395" s="146">
        <v>45505</v>
      </c>
      <c r="BE395" s="146">
        <v>45536</v>
      </c>
      <c r="BF395" s="146">
        <v>45566</v>
      </c>
      <c r="BG395" s="146">
        <v>45597</v>
      </c>
      <c r="BH395" s="146">
        <v>45627</v>
      </c>
      <c r="BI395" s="146">
        <v>45658</v>
      </c>
      <c r="BJ395" s="146">
        <v>45689</v>
      </c>
      <c r="BK395" s="146">
        <v>45717</v>
      </c>
      <c r="BL395" s="146"/>
      <c r="BM395" s="146"/>
      <c r="BN395" s="146"/>
      <c r="BO395" s="146"/>
      <c r="BP395" s="146"/>
      <c r="BQ395" s="146"/>
      <c r="BR395" s="146"/>
      <c r="BS395" s="146"/>
      <c r="BT395" s="146"/>
      <c r="BU395" s="146"/>
      <c r="BV395" s="146"/>
      <c r="BW395" s="146"/>
      <c r="BX395" s="147" t="s">
        <v>13</v>
      </c>
      <c r="BY395" s="5"/>
      <c r="BZ395" s="5"/>
      <c r="CA395" s="5"/>
    </row>
    <row r="396" spans="1:81" s="107" customFormat="1" ht="15.75" customHeight="1">
      <c r="A396" s="267">
        <v>29</v>
      </c>
      <c r="B396" s="241" t="s">
        <v>33</v>
      </c>
      <c r="C396" s="253" t="s">
        <v>92</v>
      </c>
      <c r="D396" s="253" t="s">
        <v>89</v>
      </c>
      <c r="E396" s="250" t="s">
        <v>150</v>
      </c>
      <c r="F396" s="250" t="s">
        <v>150</v>
      </c>
      <c r="G396" s="256">
        <f>'CONSOLIDADO ATIVO INATIVO NOVO'!J40</f>
        <v>45264</v>
      </c>
      <c r="H396" s="256">
        <f>'CONSOLIDADO ATIVO INATIVO NOVO'!K40</f>
        <v>45664</v>
      </c>
      <c r="I396" s="106" t="s">
        <v>350</v>
      </c>
      <c r="J396" s="106"/>
      <c r="K396" s="106"/>
      <c r="L396" s="106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05"/>
      <c r="BF396" s="105"/>
      <c r="BG396" s="105"/>
      <c r="BH396" s="105"/>
      <c r="BI396" s="105"/>
      <c r="BJ396" s="105"/>
      <c r="BK396" s="105"/>
      <c r="BL396" s="105"/>
      <c r="BM396" s="105"/>
      <c r="BN396" s="105"/>
      <c r="BO396" s="105"/>
      <c r="BP396" s="105"/>
      <c r="BQ396" s="105"/>
      <c r="BR396" s="105"/>
      <c r="BS396" s="105"/>
      <c r="BT396" s="105"/>
      <c r="BU396" s="105"/>
      <c r="BV396" s="105"/>
      <c r="BW396" s="105"/>
      <c r="BX396" s="105"/>
      <c r="BY396" s="117"/>
      <c r="BZ396" s="117"/>
      <c r="CA396" s="117"/>
      <c r="CC396" s="118"/>
    </row>
    <row r="397" spans="1:81" s="107" customFormat="1" ht="15.75" customHeight="1">
      <c r="A397" s="268"/>
      <c r="B397" s="241"/>
      <c r="C397" s="254"/>
      <c r="D397" s="254"/>
      <c r="E397" s="251"/>
      <c r="F397" s="251"/>
      <c r="G397" s="254"/>
      <c r="H397" s="254"/>
      <c r="I397" s="106" t="s">
        <v>351</v>
      </c>
      <c r="J397" s="106"/>
      <c r="K397" s="106"/>
      <c r="L397" s="106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>
        <v>369.96</v>
      </c>
      <c r="AZ397" s="105">
        <v>1849.81</v>
      </c>
      <c r="BA397" s="105">
        <v>1849.8119999999999</v>
      </c>
      <c r="BB397" s="105">
        <v>1849.81</v>
      </c>
      <c r="BC397" s="105">
        <v>1849.81</v>
      </c>
      <c r="BD397" s="105">
        <v>1849.81</v>
      </c>
      <c r="BE397" s="105">
        <v>1849.81</v>
      </c>
      <c r="BF397" s="105">
        <v>1849.81</v>
      </c>
      <c r="BG397" s="105"/>
      <c r="BH397" s="105"/>
      <c r="BI397" s="105"/>
      <c r="BJ397" s="105"/>
      <c r="BK397" s="105"/>
      <c r="BL397" s="105"/>
      <c r="BM397" s="105"/>
      <c r="BN397" s="105"/>
      <c r="BO397" s="105"/>
      <c r="BP397" s="105"/>
      <c r="BQ397" s="105"/>
      <c r="BR397" s="105"/>
      <c r="BS397" s="105"/>
      <c r="BT397" s="105"/>
      <c r="BU397" s="105"/>
      <c r="BV397" s="105"/>
      <c r="BW397" s="105"/>
      <c r="BX397" s="105"/>
      <c r="BY397" s="117"/>
      <c r="BZ397" s="117"/>
      <c r="CA397" s="117"/>
      <c r="CC397" s="118"/>
    </row>
    <row r="398" spans="1:81" s="107" customFormat="1" ht="15.75" customHeight="1">
      <c r="A398" s="268"/>
      <c r="B398" s="241"/>
      <c r="C398" s="254"/>
      <c r="D398" s="254"/>
      <c r="E398" s="251"/>
      <c r="F398" s="251"/>
      <c r="G398" s="254"/>
      <c r="H398" s="254"/>
      <c r="I398" s="106" t="s">
        <v>371</v>
      </c>
      <c r="J398" s="106"/>
      <c r="K398" s="106"/>
      <c r="L398" s="106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05"/>
      <c r="BF398" s="105"/>
      <c r="BG398" s="105"/>
      <c r="BH398" s="105"/>
      <c r="BI398" s="105"/>
      <c r="BJ398" s="105"/>
      <c r="BK398" s="105"/>
      <c r="BL398" s="105"/>
      <c r="BM398" s="105"/>
      <c r="BN398" s="105"/>
      <c r="BO398" s="105"/>
      <c r="BP398" s="105"/>
      <c r="BQ398" s="105"/>
      <c r="BR398" s="105"/>
      <c r="BS398" s="105"/>
      <c r="BT398" s="105"/>
      <c r="BU398" s="105"/>
      <c r="BV398" s="105"/>
      <c r="BW398" s="105"/>
      <c r="BX398" s="105"/>
      <c r="BY398" s="117"/>
      <c r="BZ398" s="117"/>
      <c r="CA398" s="117"/>
      <c r="CC398" s="118"/>
    </row>
    <row r="399" spans="1:81" s="107" customFormat="1" ht="15.75" customHeight="1">
      <c r="A399" s="268"/>
      <c r="B399" s="241"/>
      <c r="C399" s="254"/>
      <c r="D399" s="254"/>
      <c r="E399" s="251"/>
      <c r="F399" s="251"/>
      <c r="G399" s="254"/>
      <c r="H399" s="254"/>
      <c r="I399" s="106" t="s">
        <v>353</v>
      </c>
      <c r="J399" s="106"/>
      <c r="K399" s="106"/>
      <c r="L399" s="106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  <c r="AU399" s="105"/>
      <c r="AV399" s="105"/>
      <c r="AW399" s="105"/>
      <c r="AX399" s="105"/>
      <c r="AY399" s="105"/>
      <c r="AZ399" s="105"/>
      <c r="BA399" s="105"/>
      <c r="BB399" s="105"/>
      <c r="BC399" s="105"/>
      <c r="BD399" s="105"/>
      <c r="BE399" s="105"/>
      <c r="BF399" s="105"/>
      <c r="BG399" s="105"/>
      <c r="BH399" s="105"/>
      <c r="BI399" s="105"/>
      <c r="BJ399" s="105"/>
      <c r="BK399" s="105"/>
      <c r="BL399" s="105"/>
      <c r="BM399" s="105"/>
      <c r="BN399" s="105"/>
      <c r="BO399" s="105"/>
      <c r="BP399" s="105"/>
      <c r="BQ399" s="105"/>
      <c r="BR399" s="105"/>
      <c r="BS399" s="105"/>
      <c r="BT399" s="105"/>
      <c r="BU399" s="105"/>
      <c r="BV399" s="105"/>
      <c r="BW399" s="105"/>
      <c r="BX399" s="105"/>
      <c r="BY399" s="117"/>
      <c r="BZ399" s="117"/>
      <c r="CA399" s="117"/>
      <c r="CC399" s="118"/>
    </row>
    <row r="400" spans="1:81" s="107" customFormat="1" ht="15.75" customHeight="1">
      <c r="A400" s="268"/>
      <c r="B400" s="241"/>
      <c r="C400" s="254"/>
      <c r="D400" s="254"/>
      <c r="E400" s="251"/>
      <c r="F400" s="251"/>
      <c r="G400" s="254"/>
      <c r="H400" s="254"/>
      <c r="I400" s="106" t="s">
        <v>354</v>
      </c>
      <c r="J400" s="106"/>
      <c r="K400" s="106"/>
      <c r="L400" s="106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05"/>
      <c r="BF400" s="105"/>
      <c r="BG400" s="105"/>
      <c r="BH400" s="105"/>
      <c r="BI400" s="105"/>
      <c r="BJ400" s="105"/>
      <c r="BK400" s="105"/>
      <c r="BL400" s="105"/>
      <c r="BM400" s="105"/>
      <c r="BN400" s="105"/>
      <c r="BO400" s="105"/>
      <c r="BP400" s="105"/>
      <c r="BQ400" s="105"/>
      <c r="BR400" s="105"/>
      <c r="BS400" s="105"/>
      <c r="BT400" s="105"/>
      <c r="BU400" s="105"/>
      <c r="BV400" s="105"/>
      <c r="BW400" s="105"/>
      <c r="BX400" s="105"/>
      <c r="BY400" s="117"/>
      <c r="BZ400" s="117"/>
      <c r="CA400" s="117"/>
      <c r="CC400" s="118"/>
    </row>
    <row r="401" spans="1:81" s="107" customFormat="1" ht="15.75" customHeight="1">
      <c r="A401" s="268"/>
      <c r="B401" s="241"/>
      <c r="C401" s="254"/>
      <c r="D401" s="254"/>
      <c r="E401" s="251"/>
      <c r="F401" s="251"/>
      <c r="G401" s="254"/>
      <c r="H401" s="254"/>
      <c r="I401" s="106" t="s">
        <v>355</v>
      </c>
      <c r="J401" s="106"/>
      <c r="K401" s="106"/>
      <c r="L401" s="106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  <c r="AU401" s="105"/>
      <c r="AV401" s="105"/>
      <c r="AW401" s="105"/>
      <c r="AX401" s="105"/>
      <c r="AY401" s="105"/>
      <c r="AZ401" s="105"/>
      <c r="BA401" s="105"/>
      <c r="BB401" s="105"/>
      <c r="BC401" s="105"/>
      <c r="BD401" s="105"/>
      <c r="BE401" s="105"/>
      <c r="BF401" s="105"/>
      <c r="BG401" s="105"/>
      <c r="BH401" s="105"/>
      <c r="BI401" s="105"/>
      <c r="BJ401" s="105"/>
      <c r="BK401" s="105"/>
      <c r="BL401" s="105"/>
      <c r="BM401" s="105"/>
      <c r="BN401" s="105"/>
      <c r="BO401" s="105"/>
      <c r="BP401" s="105"/>
      <c r="BQ401" s="105"/>
      <c r="BR401" s="105"/>
      <c r="BS401" s="105"/>
      <c r="BT401" s="105"/>
      <c r="BU401" s="105"/>
      <c r="BV401" s="105"/>
      <c r="BW401" s="105"/>
      <c r="BX401" s="105"/>
      <c r="BY401" s="117"/>
      <c r="BZ401" s="117"/>
      <c r="CA401" s="117"/>
      <c r="CC401" s="118"/>
    </row>
    <row r="402" spans="1:81" s="107" customFormat="1" ht="15.75" customHeight="1">
      <c r="A402" s="268"/>
      <c r="B402" s="241"/>
      <c r="C402" s="254"/>
      <c r="D402" s="254"/>
      <c r="E402" s="251"/>
      <c r="F402" s="251"/>
      <c r="G402" s="254"/>
      <c r="H402" s="254"/>
      <c r="I402" s="106" t="s">
        <v>356</v>
      </c>
      <c r="J402" s="106"/>
      <c r="K402" s="106"/>
      <c r="L402" s="106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05"/>
      <c r="BF402" s="105"/>
      <c r="BG402" s="105"/>
      <c r="BH402" s="105"/>
      <c r="BI402" s="105"/>
      <c r="BJ402" s="105"/>
      <c r="BK402" s="105"/>
      <c r="BL402" s="105"/>
      <c r="BM402" s="105"/>
      <c r="BN402" s="105"/>
      <c r="BO402" s="105"/>
      <c r="BP402" s="105"/>
      <c r="BQ402" s="105"/>
      <c r="BR402" s="105"/>
      <c r="BS402" s="105"/>
      <c r="BT402" s="105"/>
      <c r="BU402" s="105"/>
      <c r="BV402" s="105"/>
      <c r="BW402" s="105"/>
      <c r="BX402" s="105"/>
      <c r="BY402" s="117"/>
      <c r="BZ402" s="117"/>
      <c r="CA402" s="117"/>
      <c r="CC402" s="118"/>
    </row>
    <row r="403" spans="1:81" s="107" customFormat="1" ht="15.75" customHeight="1">
      <c r="A403" s="268"/>
      <c r="B403" s="241"/>
      <c r="C403" s="254"/>
      <c r="D403" s="254"/>
      <c r="E403" s="251"/>
      <c r="F403" s="251"/>
      <c r="G403" s="254"/>
      <c r="H403" s="254"/>
      <c r="I403" s="106" t="s">
        <v>357</v>
      </c>
      <c r="J403" s="106"/>
      <c r="K403" s="106"/>
      <c r="L403" s="106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>
        <v>104.8</v>
      </c>
      <c r="AZ403" s="105">
        <v>458.61</v>
      </c>
      <c r="BA403" s="105">
        <v>459.63</v>
      </c>
      <c r="BB403" s="105">
        <v>448.01</v>
      </c>
      <c r="BC403" s="105">
        <v>468.3</v>
      </c>
      <c r="BD403" s="105">
        <v>468.21</v>
      </c>
      <c r="BE403" s="105">
        <v>439.41</v>
      </c>
      <c r="BF403" s="105">
        <v>458.01</v>
      </c>
      <c r="BG403" s="105">
        <v>439.46</v>
      </c>
      <c r="BH403" s="105"/>
      <c r="BI403" s="105"/>
      <c r="BJ403" s="105"/>
      <c r="BK403" s="105"/>
      <c r="BL403" s="105"/>
      <c r="BM403" s="105"/>
      <c r="BN403" s="105"/>
      <c r="BO403" s="105"/>
      <c r="BP403" s="105"/>
      <c r="BQ403" s="105"/>
      <c r="BR403" s="105"/>
      <c r="BS403" s="105"/>
      <c r="BT403" s="105"/>
      <c r="BU403" s="105"/>
      <c r="BV403" s="105"/>
      <c r="BW403" s="105"/>
      <c r="BX403" s="105"/>
      <c r="BY403" s="117"/>
      <c r="BZ403" s="117"/>
      <c r="CA403" s="117"/>
      <c r="CC403" s="118"/>
    </row>
    <row r="404" spans="1:81" s="107" customFormat="1" ht="15.75" customHeight="1">
      <c r="A404" s="268"/>
      <c r="B404" s="241"/>
      <c r="C404" s="254"/>
      <c r="D404" s="254"/>
      <c r="E404" s="251"/>
      <c r="F404" s="251"/>
      <c r="G404" s="254"/>
      <c r="H404" s="254"/>
      <c r="I404" s="131" t="s">
        <v>362</v>
      </c>
      <c r="J404" s="131"/>
      <c r="K404" s="131"/>
      <c r="L404" s="131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05"/>
      <c r="BF404" s="105"/>
      <c r="BG404" s="105">
        <v>5315.9</v>
      </c>
      <c r="BH404" s="105"/>
      <c r="BI404" s="105"/>
      <c r="BJ404" s="105"/>
      <c r="BK404" s="105"/>
      <c r="BL404" s="105"/>
      <c r="BM404" s="105"/>
      <c r="BN404" s="105"/>
      <c r="BO404" s="105"/>
      <c r="BP404" s="105"/>
      <c r="BQ404" s="105"/>
      <c r="BR404" s="105"/>
      <c r="BS404" s="105"/>
      <c r="BT404" s="105"/>
      <c r="BU404" s="105"/>
      <c r="BV404" s="105"/>
      <c r="BW404" s="105"/>
      <c r="BX404" s="105"/>
      <c r="BY404" s="117"/>
      <c r="BZ404" s="117"/>
      <c r="CA404" s="117"/>
      <c r="CC404" s="118"/>
    </row>
    <row r="405" spans="1:81" s="107" customFormat="1" ht="15.75" customHeight="1">
      <c r="A405" s="268"/>
      <c r="B405" s="241"/>
      <c r="C405" s="254"/>
      <c r="D405" s="254"/>
      <c r="E405" s="251"/>
      <c r="F405" s="251"/>
      <c r="G405" s="254"/>
      <c r="H405" s="254"/>
      <c r="I405" s="132" t="s">
        <v>363</v>
      </c>
      <c r="J405" s="132"/>
      <c r="K405" s="132"/>
      <c r="L405" s="132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5"/>
      <c r="BE405" s="105"/>
      <c r="BF405" s="105"/>
      <c r="BG405" s="105"/>
      <c r="BH405" s="105"/>
      <c r="BI405" s="105"/>
      <c r="BJ405" s="105"/>
      <c r="BK405" s="105"/>
      <c r="BL405" s="105"/>
      <c r="BM405" s="105"/>
      <c r="BN405" s="105"/>
      <c r="BO405" s="105"/>
      <c r="BP405" s="105"/>
      <c r="BQ405" s="105"/>
      <c r="BR405" s="105"/>
      <c r="BS405" s="105"/>
      <c r="BT405" s="105"/>
      <c r="BU405" s="105"/>
      <c r="BV405" s="105"/>
      <c r="BW405" s="105"/>
      <c r="BX405" s="105"/>
      <c r="BY405" s="117"/>
      <c r="BZ405" s="117"/>
      <c r="CA405" s="117"/>
      <c r="CC405" s="118"/>
    </row>
    <row r="406" spans="1:81" s="107" customFormat="1" ht="15.75" customHeight="1">
      <c r="A406" s="268"/>
      <c r="B406" s="241"/>
      <c r="C406" s="254"/>
      <c r="D406" s="254"/>
      <c r="E406" s="251"/>
      <c r="F406" s="251"/>
      <c r="G406" s="254"/>
      <c r="H406" s="254"/>
      <c r="I406" s="133" t="s">
        <v>364</v>
      </c>
      <c r="J406" s="133"/>
      <c r="K406" s="133"/>
      <c r="L406" s="133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  <c r="AU406" s="105"/>
      <c r="AV406" s="105"/>
      <c r="AW406" s="105"/>
      <c r="AX406" s="105"/>
      <c r="AY406" s="105">
        <v>55.49</v>
      </c>
      <c r="AZ406" s="105">
        <v>145.30000000000001</v>
      </c>
      <c r="BA406" s="105">
        <v>145.30000000000001</v>
      </c>
      <c r="BB406" s="105">
        <v>145.30000000000001</v>
      </c>
      <c r="BC406" s="105">
        <v>313.63</v>
      </c>
      <c r="BD406" s="105">
        <v>145.30000000000001</v>
      </c>
      <c r="BE406" s="105">
        <v>145.30000000000001</v>
      </c>
      <c r="BF406" s="105">
        <v>145.30000000000001</v>
      </c>
      <c r="BG406" s="105"/>
      <c r="BH406" s="105"/>
      <c r="BI406" s="105"/>
      <c r="BJ406" s="105"/>
      <c r="BK406" s="105"/>
      <c r="BL406" s="105"/>
      <c r="BM406" s="105"/>
      <c r="BN406" s="105"/>
      <c r="BO406" s="105"/>
      <c r="BP406" s="105"/>
      <c r="BQ406" s="105"/>
      <c r="BR406" s="105"/>
      <c r="BS406" s="105"/>
      <c r="BT406" s="105"/>
      <c r="BU406" s="105"/>
      <c r="BV406" s="105"/>
      <c r="BW406" s="105"/>
      <c r="BX406" s="105"/>
      <c r="BY406" s="117"/>
      <c r="BZ406" s="117"/>
      <c r="CA406" s="117"/>
      <c r="CC406" s="118"/>
    </row>
    <row r="407" spans="1:81" s="107" customFormat="1" ht="15.75" customHeight="1">
      <c r="A407" s="269"/>
      <c r="B407" s="241"/>
      <c r="C407" s="255"/>
      <c r="D407" s="255"/>
      <c r="E407" s="252"/>
      <c r="F407" s="252"/>
      <c r="G407" s="255"/>
      <c r="H407" s="255"/>
      <c r="I407" s="130"/>
      <c r="J407" s="105">
        <f>SUM(J396:J405)-J406</f>
        <v>0</v>
      </c>
      <c r="K407" s="105">
        <f t="shared" ref="K407:AC407" si="194">SUM(K396:K405)-K406</f>
        <v>0</v>
      </c>
      <c r="L407" s="105">
        <f t="shared" si="194"/>
        <v>0</v>
      </c>
      <c r="M407" s="105">
        <f t="shared" si="194"/>
        <v>0</v>
      </c>
      <c r="N407" s="105">
        <f t="shared" si="194"/>
        <v>0</v>
      </c>
      <c r="O407" s="105">
        <f t="shared" si="194"/>
        <v>0</v>
      </c>
      <c r="P407" s="105">
        <f t="shared" si="194"/>
        <v>0</v>
      </c>
      <c r="Q407" s="105">
        <f t="shared" si="194"/>
        <v>0</v>
      </c>
      <c r="R407" s="105">
        <f t="shared" si="194"/>
        <v>0</v>
      </c>
      <c r="S407" s="105">
        <f t="shared" si="194"/>
        <v>0</v>
      </c>
      <c r="T407" s="105">
        <f t="shared" si="194"/>
        <v>0</v>
      </c>
      <c r="U407" s="105">
        <f t="shared" si="194"/>
        <v>0</v>
      </c>
      <c r="V407" s="105">
        <f t="shared" si="194"/>
        <v>0</v>
      </c>
      <c r="W407" s="105">
        <f t="shared" si="194"/>
        <v>0</v>
      </c>
      <c r="X407" s="105">
        <f t="shared" si="194"/>
        <v>0</v>
      </c>
      <c r="Y407" s="105">
        <f t="shared" si="194"/>
        <v>0</v>
      </c>
      <c r="Z407" s="105">
        <f t="shared" si="194"/>
        <v>0</v>
      </c>
      <c r="AA407" s="105">
        <f t="shared" si="194"/>
        <v>0</v>
      </c>
      <c r="AB407" s="105">
        <f t="shared" si="194"/>
        <v>0</v>
      </c>
      <c r="AC407" s="105">
        <f t="shared" si="194"/>
        <v>0</v>
      </c>
      <c r="AD407" s="105">
        <f>SUM(AD396:AD405)-AD406</f>
        <v>0</v>
      </c>
      <c r="AE407" s="105">
        <f>SUM(AE396:AE405)-AE406</f>
        <v>0</v>
      </c>
      <c r="AF407" s="105">
        <f>SUM(AF396:AF405)-AF406</f>
        <v>0</v>
      </c>
      <c r="AG407" s="105">
        <f t="shared" ref="AG407" si="195">SUM(AG396:AG405)-AG406</f>
        <v>0</v>
      </c>
      <c r="AH407" s="105">
        <f t="shared" ref="AH407" si="196">SUM(AH396:AH405)-AH406</f>
        <v>0</v>
      </c>
      <c r="AI407" s="105">
        <f>SUM(AI396:AI405)-AI406</f>
        <v>0</v>
      </c>
      <c r="AJ407" s="105">
        <f t="shared" ref="AJ407" si="197">SUM(AJ396:AJ405)-AJ406</f>
        <v>0</v>
      </c>
      <c r="AK407" s="105">
        <f>SUM(AK396:AK405)-AK406</f>
        <v>0</v>
      </c>
      <c r="AL407" s="105">
        <f t="shared" ref="AL407:AP407" si="198">SUM(AL396:AL405)-AL406</f>
        <v>0</v>
      </c>
      <c r="AM407" s="105">
        <f t="shared" si="198"/>
        <v>0</v>
      </c>
      <c r="AN407" s="105">
        <f t="shared" si="198"/>
        <v>0</v>
      </c>
      <c r="AO407" s="105">
        <f t="shared" si="198"/>
        <v>0</v>
      </c>
      <c r="AP407" s="105">
        <f t="shared" si="198"/>
        <v>0</v>
      </c>
      <c r="AQ407" s="105">
        <f t="shared" ref="AQ407:AT407" si="199">SUM(AQ396:AQ405)-AQ406</f>
        <v>0</v>
      </c>
      <c r="AR407" s="105">
        <f t="shared" si="199"/>
        <v>0</v>
      </c>
      <c r="AS407" s="105">
        <f t="shared" si="199"/>
        <v>0</v>
      </c>
      <c r="AT407" s="105">
        <f t="shared" si="199"/>
        <v>0</v>
      </c>
      <c r="AU407" s="105">
        <f>SUM(AU396:AU405)-AU406</f>
        <v>0</v>
      </c>
      <c r="AV407" s="105">
        <f t="shared" ref="AV407:AY407" si="200">SUM(AV396:AV405)-AV406</f>
        <v>0</v>
      </c>
      <c r="AW407" s="105">
        <f t="shared" si="200"/>
        <v>0</v>
      </c>
      <c r="AX407" s="105">
        <f t="shared" si="200"/>
        <v>0</v>
      </c>
      <c r="AY407" s="105">
        <f t="shared" si="200"/>
        <v>419.27</v>
      </c>
      <c r="AZ407" s="105">
        <f t="shared" ref="AZ407:BA407" si="201">SUM(AZ396:AZ405)-AZ406</f>
        <v>2163.12</v>
      </c>
      <c r="BA407" s="105">
        <f t="shared" si="201"/>
        <v>2164.1419999999998</v>
      </c>
      <c r="BB407" s="105">
        <f t="shared" ref="BB407:BE407" si="202">SUM(BB396:BB405)-BB406</f>
        <v>2152.5199999999995</v>
      </c>
      <c r="BC407" s="105">
        <f t="shared" si="202"/>
        <v>2004.48</v>
      </c>
      <c r="BD407" s="105">
        <f t="shared" si="202"/>
        <v>2172.7199999999998</v>
      </c>
      <c r="BE407" s="105">
        <f t="shared" si="202"/>
        <v>2143.9199999999996</v>
      </c>
      <c r="BF407" s="105">
        <f>BF397+BF403-BF406</f>
        <v>2162.5199999999995</v>
      </c>
      <c r="BG407" s="105">
        <f>BG403+BG404</f>
        <v>5755.36</v>
      </c>
      <c r="BH407" s="105"/>
      <c r="BI407" s="105"/>
      <c r="BJ407" s="105"/>
      <c r="BK407" s="105"/>
      <c r="BL407" s="105"/>
      <c r="BM407" s="105"/>
      <c r="BN407" s="105"/>
      <c r="BO407" s="105"/>
      <c r="BP407" s="105"/>
      <c r="BQ407" s="105"/>
      <c r="BR407" s="105"/>
      <c r="BS407" s="105"/>
      <c r="BT407" s="105"/>
      <c r="BU407" s="105"/>
      <c r="BV407" s="105"/>
      <c r="BW407" s="105"/>
      <c r="BX407" s="105">
        <f>SUM(J407:BG407)</f>
        <v>21138.052</v>
      </c>
      <c r="BY407" s="117"/>
      <c r="BZ407" s="117"/>
      <c r="CA407" s="117"/>
      <c r="CC407" s="118"/>
    </row>
    <row r="408" spans="1:81" ht="15.6" customHeight="1">
      <c r="A408" s="148" t="s">
        <v>346</v>
      </c>
      <c r="B408" s="148" t="s">
        <v>347</v>
      </c>
      <c r="C408" s="145" t="s">
        <v>310</v>
      </c>
      <c r="D408" s="145" t="s">
        <v>311</v>
      </c>
      <c r="E408" s="148" t="s">
        <v>312</v>
      </c>
      <c r="F408" s="148" t="s">
        <v>348</v>
      </c>
      <c r="G408" s="145" t="s">
        <v>314</v>
      </c>
      <c r="H408" s="145" t="s">
        <v>315</v>
      </c>
      <c r="I408" s="145" t="s">
        <v>349</v>
      </c>
      <c r="J408" s="146">
        <v>44105</v>
      </c>
      <c r="K408" s="146">
        <v>44136</v>
      </c>
      <c r="L408" s="146">
        <v>44166</v>
      </c>
      <c r="M408" s="146">
        <v>44197</v>
      </c>
      <c r="N408" s="146">
        <v>44228</v>
      </c>
      <c r="O408" s="146">
        <v>44256</v>
      </c>
      <c r="P408" s="146">
        <v>44287</v>
      </c>
      <c r="Q408" s="146">
        <v>44317</v>
      </c>
      <c r="R408" s="146">
        <v>44348</v>
      </c>
      <c r="S408" s="146">
        <v>44378</v>
      </c>
      <c r="T408" s="146">
        <v>44409</v>
      </c>
      <c r="U408" s="146">
        <v>44440</v>
      </c>
      <c r="V408" s="146">
        <v>44470</v>
      </c>
      <c r="W408" s="146">
        <v>44501</v>
      </c>
      <c r="X408" s="146">
        <v>44531</v>
      </c>
      <c r="Y408" s="146">
        <v>44562</v>
      </c>
      <c r="Z408" s="146">
        <v>44593</v>
      </c>
      <c r="AA408" s="146">
        <v>44621</v>
      </c>
      <c r="AB408" s="146">
        <v>44652</v>
      </c>
      <c r="AC408" s="146">
        <v>44682</v>
      </c>
      <c r="AD408" s="146">
        <v>44713</v>
      </c>
      <c r="AE408" s="146">
        <v>44743</v>
      </c>
      <c r="AF408" s="146">
        <v>44774</v>
      </c>
      <c r="AG408" s="146">
        <v>44805</v>
      </c>
      <c r="AH408" s="146">
        <v>44835</v>
      </c>
      <c r="AI408" s="146">
        <v>44866</v>
      </c>
      <c r="AJ408" s="146">
        <v>44896</v>
      </c>
      <c r="AK408" s="146">
        <v>44927</v>
      </c>
      <c r="AL408" s="146">
        <v>44958</v>
      </c>
      <c r="AM408" s="146">
        <v>44986</v>
      </c>
      <c r="AN408" s="146">
        <v>45017</v>
      </c>
      <c r="AO408" s="146">
        <v>45047</v>
      </c>
      <c r="AP408" s="146">
        <v>45078</v>
      </c>
      <c r="AQ408" s="146">
        <v>45108</v>
      </c>
      <c r="AR408" s="146">
        <v>45139</v>
      </c>
      <c r="AS408" s="146">
        <v>45170</v>
      </c>
      <c r="AT408" s="146">
        <v>45200</v>
      </c>
      <c r="AU408" s="146">
        <v>45231</v>
      </c>
      <c r="AV408" s="146">
        <v>45261</v>
      </c>
      <c r="AW408" s="146">
        <v>45292</v>
      </c>
      <c r="AX408" s="146">
        <v>45323</v>
      </c>
      <c r="AY408" s="146">
        <v>45352</v>
      </c>
      <c r="AZ408" s="146">
        <v>45383</v>
      </c>
      <c r="BA408" s="146">
        <v>45413</v>
      </c>
      <c r="BB408" s="146">
        <v>45444</v>
      </c>
      <c r="BC408" s="146">
        <v>45474</v>
      </c>
      <c r="BD408" s="146">
        <v>45505</v>
      </c>
      <c r="BE408" s="146">
        <v>45536</v>
      </c>
      <c r="BF408" s="146">
        <v>45566</v>
      </c>
      <c r="BG408" s="146">
        <v>45597</v>
      </c>
      <c r="BH408" s="146">
        <v>45627</v>
      </c>
      <c r="BI408" s="146">
        <v>45658</v>
      </c>
      <c r="BJ408" s="146">
        <v>45689</v>
      </c>
      <c r="BK408" s="146">
        <v>45717</v>
      </c>
      <c r="BL408" s="146"/>
      <c r="BM408" s="146"/>
      <c r="BN408" s="146"/>
      <c r="BO408" s="146"/>
      <c r="BP408" s="146"/>
      <c r="BQ408" s="146"/>
      <c r="BR408" s="146"/>
      <c r="BS408" s="146"/>
      <c r="BT408" s="146"/>
      <c r="BU408" s="146"/>
      <c r="BV408" s="146"/>
      <c r="BW408" s="146"/>
      <c r="BX408" s="147" t="s">
        <v>13</v>
      </c>
      <c r="BY408" s="5"/>
      <c r="BZ408" s="5"/>
      <c r="CA408" s="5"/>
    </row>
    <row r="409" spans="1:81" ht="15.75" customHeight="1">
      <c r="A409" s="264">
        <v>30</v>
      </c>
      <c r="B409" s="241" t="s">
        <v>383</v>
      </c>
      <c r="C409" s="253" t="s">
        <v>92</v>
      </c>
      <c r="D409" s="253" t="s">
        <v>89</v>
      </c>
      <c r="E409" s="250" t="s">
        <v>150</v>
      </c>
      <c r="F409" s="250" t="s">
        <v>150</v>
      </c>
      <c r="G409" s="256">
        <f>'CONSOLIDADO ATIVO INATIVO NOVO'!J34</f>
        <v>44270</v>
      </c>
      <c r="H409" s="256">
        <f>'CONSOLIDADO ATIVO INATIVO NOVO'!K34</f>
        <v>44756</v>
      </c>
      <c r="I409" s="21" t="s">
        <v>350</v>
      </c>
      <c r="J409" s="21"/>
      <c r="K409" s="21"/>
      <c r="L409" s="21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105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1"/>
      <c r="BZ409" s="1"/>
      <c r="CA409" s="1"/>
      <c r="CC409" s="6"/>
    </row>
    <row r="410" spans="1:81" ht="15.75" customHeight="1">
      <c r="A410" s="265"/>
      <c r="B410" s="241"/>
      <c r="C410" s="254"/>
      <c r="D410" s="254"/>
      <c r="E410" s="251"/>
      <c r="F410" s="251"/>
      <c r="G410" s="254"/>
      <c r="H410" s="254"/>
      <c r="I410" s="21" t="s">
        <v>351</v>
      </c>
      <c r="J410" s="21"/>
      <c r="K410" s="21"/>
      <c r="L410" s="21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>
        <v>616.6</v>
      </c>
      <c r="AW410" s="3">
        <v>1849.81</v>
      </c>
      <c r="AX410" s="3"/>
      <c r="AY410" s="3"/>
      <c r="AZ410" s="3"/>
      <c r="BA410" s="3"/>
      <c r="BB410" s="105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1"/>
      <c r="BZ410" s="1"/>
      <c r="CA410" s="1"/>
      <c r="CC410" s="6"/>
    </row>
    <row r="411" spans="1:81" ht="15.75" customHeight="1">
      <c r="A411" s="265"/>
      <c r="B411" s="241"/>
      <c r="C411" s="254"/>
      <c r="D411" s="254"/>
      <c r="E411" s="251"/>
      <c r="F411" s="251"/>
      <c r="G411" s="254"/>
      <c r="H411" s="254"/>
      <c r="I411" s="21" t="s">
        <v>371</v>
      </c>
      <c r="J411" s="21"/>
      <c r="K411" s="21"/>
      <c r="L411" s="21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105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1"/>
      <c r="BZ411" s="1"/>
      <c r="CA411" s="1"/>
      <c r="CC411" s="6"/>
    </row>
    <row r="412" spans="1:81" ht="15.75" customHeight="1">
      <c r="A412" s="265"/>
      <c r="B412" s="241"/>
      <c r="C412" s="254"/>
      <c r="D412" s="254"/>
      <c r="E412" s="251"/>
      <c r="F412" s="251"/>
      <c r="G412" s="254"/>
      <c r="H412" s="254"/>
      <c r="I412" s="21" t="s">
        <v>353</v>
      </c>
      <c r="J412" s="21"/>
      <c r="K412" s="21"/>
      <c r="L412" s="21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105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1"/>
      <c r="BZ412" s="1"/>
      <c r="CA412" s="1"/>
      <c r="CC412" s="6"/>
    </row>
    <row r="413" spans="1:81" ht="15.75" customHeight="1">
      <c r="A413" s="265"/>
      <c r="B413" s="241"/>
      <c r="C413" s="254"/>
      <c r="D413" s="254"/>
      <c r="E413" s="251"/>
      <c r="F413" s="251"/>
      <c r="G413" s="254"/>
      <c r="H413" s="254"/>
      <c r="I413" s="21" t="s">
        <v>354</v>
      </c>
      <c r="J413" s="21"/>
      <c r="K413" s="21"/>
      <c r="L413" s="21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105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1"/>
      <c r="BZ413" s="1"/>
      <c r="CA413" s="1"/>
      <c r="CC413" s="6"/>
    </row>
    <row r="414" spans="1:81" ht="15.75" customHeight="1">
      <c r="A414" s="265"/>
      <c r="B414" s="241"/>
      <c r="C414" s="254"/>
      <c r="D414" s="254"/>
      <c r="E414" s="251"/>
      <c r="F414" s="251"/>
      <c r="G414" s="254"/>
      <c r="H414" s="254"/>
      <c r="I414" s="21" t="s">
        <v>355</v>
      </c>
      <c r="J414" s="21"/>
      <c r="K414" s="21"/>
      <c r="L414" s="21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105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1"/>
      <c r="BZ414" s="1"/>
      <c r="CA414" s="1"/>
      <c r="CC414" s="6"/>
    </row>
    <row r="415" spans="1:81" ht="15.75" customHeight="1">
      <c r="A415" s="265"/>
      <c r="B415" s="241"/>
      <c r="C415" s="254"/>
      <c r="D415" s="254"/>
      <c r="E415" s="251"/>
      <c r="F415" s="251"/>
      <c r="G415" s="254"/>
      <c r="H415" s="254"/>
      <c r="I415" s="21" t="s">
        <v>356</v>
      </c>
      <c r="J415" s="21"/>
      <c r="K415" s="21"/>
      <c r="L415" s="21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105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1"/>
      <c r="BZ415" s="1"/>
      <c r="CA415" s="1"/>
      <c r="CC415" s="6"/>
    </row>
    <row r="416" spans="1:81" ht="15.75" customHeight="1">
      <c r="A416" s="265"/>
      <c r="B416" s="241"/>
      <c r="C416" s="254"/>
      <c r="D416" s="254"/>
      <c r="E416" s="251"/>
      <c r="F416" s="251"/>
      <c r="G416" s="254"/>
      <c r="H416" s="254"/>
      <c r="I416" s="21" t="s">
        <v>357</v>
      </c>
      <c r="J416" s="21"/>
      <c r="K416" s="21"/>
      <c r="L416" s="21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>
        <v>162.16999999999999</v>
      </c>
      <c r="AW416" s="3">
        <v>522.41</v>
      </c>
      <c r="AX416" s="3">
        <v>33.61</v>
      </c>
      <c r="AY416" s="3"/>
      <c r="AZ416" s="3"/>
      <c r="BA416" s="3"/>
      <c r="BB416" s="105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1"/>
      <c r="BZ416" s="1"/>
      <c r="CA416" s="1"/>
      <c r="CC416" s="6"/>
    </row>
    <row r="417" spans="1:81" ht="15.75" customHeight="1">
      <c r="A417" s="265"/>
      <c r="B417" s="241"/>
      <c r="C417" s="254"/>
      <c r="D417" s="254"/>
      <c r="E417" s="251"/>
      <c r="F417" s="251"/>
      <c r="G417" s="254"/>
      <c r="H417" s="254"/>
      <c r="I417" s="23" t="s">
        <v>362</v>
      </c>
      <c r="J417" s="23"/>
      <c r="K417" s="23"/>
      <c r="L417" s="2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f>12.33+285.47</f>
        <v>297.8</v>
      </c>
      <c r="AY417" s="3"/>
      <c r="AZ417" s="3"/>
      <c r="BA417" s="3"/>
      <c r="BB417" s="105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1"/>
      <c r="BZ417" s="1"/>
      <c r="CA417" s="1"/>
      <c r="CC417" s="6"/>
    </row>
    <row r="418" spans="1:81" ht="15.75" customHeight="1">
      <c r="A418" s="265"/>
      <c r="B418" s="241"/>
      <c r="C418" s="254"/>
      <c r="D418" s="254"/>
      <c r="E418" s="251"/>
      <c r="F418" s="251"/>
      <c r="G418" s="254"/>
      <c r="H418" s="254"/>
      <c r="I418" s="22" t="s">
        <v>363</v>
      </c>
      <c r="J418" s="22"/>
      <c r="K418" s="22"/>
      <c r="L418" s="2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105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1"/>
      <c r="BZ418" s="1"/>
      <c r="CA418" s="1"/>
      <c r="CC418" s="6"/>
    </row>
    <row r="419" spans="1:81" ht="15.75" customHeight="1">
      <c r="A419" s="265"/>
      <c r="B419" s="241"/>
      <c r="C419" s="254"/>
      <c r="D419" s="254"/>
      <c r="E419" s="251"/>
      <c r="F419" s="251"/>
      <c r="G419" s="254"/>
      <c r="H419" s="254"/>
      <c r="I419" s="44" t="s">
        <v>364</v>
      </c>
      <c r="J419" s="44"/>
      <c r="K419" s="44"/>
      <c r="L419" s="4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>
        <v>46.24</v>
      </c>
      <c r="AW419" s="3">
        <v>173.05</v>
      </c>
      <c r="AX419" s="3"/>
      <c r="AY419" s="3"/>
      <c r="AZ419" s="3"/>
      <c r="BA419" s="3"/>
      <c r="BB419" s="105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1"/>
      <c r="BZ419" s="1"/>
      <c r="CA419" s="1"/>
      <c r="CC419" s="6"/>
    </row>
    <row r="420" spans="1:81" ht="15.75" customHeight="1">
      <c r="A420" s="266"/>
      <c r="B420" s="241"/>
      <c r="C420" s="255"/>
      <c r="D420" s="255"/>
      <c r="E420" s="252"/>
      <c r="F420" s="252"/>
      <c r="G420" s="255"/>
      <c r="H420" s="255"/>
      <c r="I420" s="52"/>
      <c r="J420" s="3">
        <f>SUM(J409:J418)-J419</f>
        <v>0</v>
      </c>
      <c r="K420" s="3">
        <f t="shared" ref="K420:AC420" si="203">SUM(K409:K418)-K419</f>
        <v>0</v>
      </c>
      <c r="L420" s="3">
        <f t="shared" si="203"/>
        <v>0</v>
      </c>
      <c r="M420" s="3">
        <f t="shared" si="203"/>
        <v>0</v>
      </c>
      <c r="N420" s="3">
        <f t="shared" si="203"/>
        <v>0</v>
      </c>
      <c r="O420" s="3">
        <f t="shared" si="203"/>
        <v>0</v>
      </c>
      <c r="P420" s="3">
        <f t="shared" si="203"/>
        <v>0</v>
      </c>
      <c r="Q420" s="3">
        <f t="shared" si="203"/>
        <v>0</v>
      </c>
      <c r="R420" s="3">
        <f t="shared" si="203"/>
        <v>0</v>
      </c>
      <c r="S420" s="3">
        <f t="shared" si="203"/>
        <v>0</v>
      </c>
      <c r="T420" s="3">
        <f t="shared" si="203"/>
        <v>0</v>
      </c>
      <c r="U420" s="3">
        <f t="shared" si="203"/>
        <v>0</v>
      </c>
      <c r="V420" s="3">
        <f t="shared" si="203"/>
        <v>0</v>
      </c>
      <c r="W420" s="3">
        <f t="shared" si="203"/>
        <v>0</v>
      </c>
      <c r="X420" s="3">
        <f t="shared" si="203"/>
        <v>0</v>
      </c>
      <c r="Y420" s="3">
        <f t="shared" si="203"/>
        <v>0</v>
      </c>
      <c r="Z420" s="3">
        <f t="shared" si="203"/>
        <v>0</v>
      </c>
      <c r="AA420" s="3">
        <f t="shared" si="203"/>
        <v>0</v>
      </c>
      <c r="AB420" s="3">
        <f t="shared" si="203"/>
        <v>0</v>
      </c>
      <c r="AC420" s="3">
        <f t="shared" si="203"/>
        <v>0</v>
      </c>
      <c r="AD420" s="3">
        <f>SUM(AD409:AD418)-AD419</f>
        <v>0</v>
      </c>
      <c r="AE420" s="3">
        <f>SUM(AE409:AE418)-AE419</f>
        <v>0</v>
      </c>
      <c r="AF420" s="3">
        <f>SUM(AF409:AF418)-AF419</f>
        <v>0</v>
      </c>
      <c r="AG420" s="3">
        <f t="shared" ref="AG420" si="204">SUM(AG409:AG418)-AG419</f>
        <v>0</v>
      </c>
      <c r="AH420" s="3">
        <f t="shared" ref="AH420" si="205">SUM(AH409:AH418)-AH419</f>
        <v>0</v>
      </c>
      <c r="AI420" s="3">
        <f>SUM(AI409:AI418)-AI419</f>
        <v>0</v>
      </c>
      <c r="AJ420" s="3">
        <f t="shared" ref="AJ420" si="206">SUM(AJ409:AJ418)-AJ419</f>
        <v>0</v>
      </c>
      <c r="AK420" s="3">
        <f>SUM(AK409:AK418)-AK419</f>
        <v>0</v>
      </c>
      <c r="AL420" s="3">
        <f t="shared" ref="AL420:AP420" si="207">SUM(AL409:AL418)-AL419</f>
        <v>0</v>
      </c>
      <c r="AM420" s="3">
        <f t="shared" si="207"/>
        <v>0</v>
      </c>
      <c r="AN420" s="3">
        <f t="shared" si="207"/>
        <v>0</v>
      </c>
      <c r="AO420" s="3">
        <f t="shared" si="207"/>
        <v>0</v>
      </c>
      <c r="AP420" s="3">
        <f t="shared" si="207"/>
        <v>0</v>
      </c>
      <c r="AQ420" s="3">
        <f t="shared" ref="AQ420:AT420" si="208">SUM(AQ409:AQ418)-AQ419</f>
        <v>0</v>
      </c>
      <c r="AR420" s="3">
        <f t="shared" si="208"/>
        <v>0</v>
      </c>
      <c r="AS420" s="3">
        <f t="shared" si="208"/>
        <v>0</v>
      </c>
      <c r="AT420" s="3">
        <f t="shared" si="208"/>
        <v>0</v>
      </c>
      <c r="AU420" s="3">
        <f>SUM(AU409:AU418)-AU419</f>
        <v>0</v>
      </c>
      <c r="AV420" s="3">
        <f t="shared" ref="AV420:BC420" si="209">SUM(AV409:AV418)-AV419</f>
        <v>732.53</v>
      </c>
      <c r="AW420" s="3">
        <f t="shared" si="209"/>
        <v>2199.1699999999996</v>
      </c>
      <c r="AX420" s="3">
        <f t="shared" si="209"/>
        <v>331.41</v>
      </c>
      <c r="AY420" s="3">
        <f t="shared" si="209"/>
        <v>0</v>
      </c>
      <c r="AZ420" s="3">
        <f t="shared" si="209"/>
        <v>0</v>
      </c>
      <c r="BA420" s="3">
        <f t="shared" si="209"/>
        <v>0</v>
      </c>
      <c r="BB420" s="105">
        <f t="shared" si="209"/>
        <v>0</v>
      </c>
      <c r="BC420" s="3">
        <f t="shared" si="209"/>
        <v>0</v>
      </c>
      <c r="BD420" s="3">
        <f t="shared" ref="BD420" si="210">SUM(BD409:BD418)-BD419</f>
        <v>0</v>
      </c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>
        <f>SUM(K420:AY420)</f>
        <v>3263.1099999999997</v>
      </c>
      <c r="BY420" s="1"/>
      <c r="BZ420" s="1"/>
      <c r="CA420" s="1"/>
      <c r="CC420" s="6"/>
    </row>
    <row r="421" spans="1:81" ht="15.6" customHeight="1">
      <c r="A421" s="148" t="s">
        <v>346</v>
      </c>
      <c r="B421" s="148" t="s">
        <v>347</v>
      </c>
      <c r="C421" s="145" t="s">
        <v>310</v>
      </c>
      <c r="D421" s="145" t="s">
        <v>311</v>
      </c>
      <c r="E421" s="148" t="s">
        <v>312</v>
      </c>
      <c r="F421" s="148" t="s">
        <v>348</v>
      </c>
      <c r="G421" s="145" t="s">
        <v>314</v>
      </c>
      <c r="H421" s="145" t="s">
        <v>315</v>
      </c>
      <c r="I421" s="145" t="s">
        <v>349</v>
      </c>
      <c r="J421" s="146">
        <v>44105</v>
      </c>
      <c r="K421" s="146">
        <v>44136</v>
      </c>
      <c r="L421" s="146">
        <v>44166</v>
      </c>
      <c r="M421" s="146">
        <v>44197</v>
      </c>
      <c r="N421" s="146">
        <v>44228</v>
      </c>
      <c r="O421" s="146">
        <v>44256</v>
      </c>
      <c r="P421" s="146">
        <v>44287</v>
      </c>
      <c r="Q421" s="146">
        <v>44317</v>
      </c>
      <c r="R421" s="146">
        <v>44348</v>
      </c>
      <c r="S421" s="146">
        <v>44378</v>
      </c>
      <c r="T421" s="146">
        <v>44409</v>
      </c>
      <c r="U421" s="146">
        <v>44440</v>
      </c>
      <c r="V421" s="146">
        <v>44470</v>
      </c>
      <c r="W421" s="146">
        <v>44501</v>
      </c>
      <c r="X421" s="146">
        <v>44531</v>
      </c>
      <c r="Y421" s="146">
        <v>44562</v>
      </c>
      <c r="Z421" s="146">
        <v>44593</v>
      </c>
      <c r="AA421" s="146">
        <v>44621</v>
      </c>
      <c r="AB421" s="146">
        <v>44652</v>
      </c>
      <c r="AC421" s="146">
        <v>44682</v>
      </c>
      <c r="AD421" s="146">
        <v>44713</v>
      </c>
      <c r="AE421" s="146">
        <v>44743</v>
      </c>
      <c r="AF421" s="146">
        <v>44774</v>
      </c>
      <c r="AG421" s="146">
        <v>44805</v>
      </c>
      <c r="AH421" s="146">
        <v>44835</v>
      </c>
      <c r="AI421" s="146">
        <v>44866</v>
      </c>
      <c r="AJ421" s="146">
        <v>44896</v>
      </c>
      <c r="AK421" s="146">
        <v>44927</v>
      </c>
      <c r="AL421" s="146">
        <v>44958</v>
      </c>
      <c r="AM421" s="146">
        <v>44986</v>
      </c>
      <c r="AN421" s="146">
        <v>45017</v>
      </c>
      <c r="AO421" s="146">
        <v>45047</v>
      </c>
      <c r="AP421" s="146">
        <v>45078</v>
      </c>
      <c r="AQ421" s="146">
        <v>45108</v>
      </c>
      <c r="AR421" s="146">
        <v>45139</v>
      </c>
      <c r="AS421" s="146">
        <v>45170</v>
      </c>
      <c r="AT421" s="146">
        <v>45200</v>
      </c>
      <c r="AU421" s="146">
        <v>45231</v>
      </c>
      <c r="AV421" s="146">
        <v>45261</v>
      </c>
      <c r="AW421" s="146">
        <v>45292</v>
      </c>
      <c r="AX421" s="146">
        <v>45323</v>
      </c>
      <c r="AY421" s="146">
        <v>45352</v>
      </c>
      <c r="AZ421" s="146">
        <v>45383</v>
      </c>
      <c r="BA421" s="146">
        <v>45413</v>
      </c>
      <c r="BB421" s="146">
        <v>45444</v>
      </c>
      <c r="BC421" s="146">
        <v>45474</v>
      </c>
      <c r="BD421" s="146">
        <v>45505</v>
      </c>
      <c r="BE421" s="146">
        <v>45536</v>
      </c>
      <c r="BF421" s="146">
        <v>45566</v>
      </c>
      <c r="BG421" s="146">
        <v>45597</v>
      </c>
      <c r="BH421" s="146">
        <v>45627</v>
      </c>
      <c r="BI421" s="146">
        <v>45658</v>
      </c>
      <c r="BJ421" s="146">
        <v>45689</v>
      </c>
      <c r="BK421" s="146">
        <v>45717</v>
      </c>
      <c r="BL421" s="146"/>
      <c r="BM421" s="146"/>
      <c r="BN421" s="146"/>
      <c r="BO421" s="146"/>
      <c r="BP421" s="146"/>
      <c r="BQ421" s="146"/>
      <c r="BR421" s="146"/>
      <c r="BS421" s="146"/>
      <c r="BT421" s="146"/>
      <c r="BU421" s="146"/>
      <c r="BV421" s="146"/>
      <c r="BW421" s="146"/>
      <c r="BX421" s="147" t="s">
        <v>13</v>
      </c>
      <c r="BY421" s="5"/>
      <c r="BZ421" s="5"/>
      <c r="CA421" s="5"/>
    </row>
    <row r="422" spans="1:81" ht="15.75" customHeight="1">
      <c r="A422" s="264">
        <v>31</v>
      </c>
      <c r="B422" s="241" t="s">
        <v>252</v>
      </c>
      <c r="C422" s="253" t="s">
        <v>92</v>
      </c>
      <c r="D422" s="253" t="s">
        <v>89</v>
      </c>
      <c r="E422" s="250" t="s">
        <v>150</v>
      </c>
      <c r="F422" s="250" t="s">
        <v>150</v>
      </c>
      <c r="G422" s="256">
        <f>'CONSOLIDADO ATIVO INATIVO NOVO'!J35</f>
        <v>44746</v>
      </c>
      <c r="H422" s="256">
        <f>'CONSOLIDADO ATIVO INATIVO NOVO'!K35</f>
        <v>45225</v>
      </c>
      <c r="I422" s="21" t="s">
        <v>350</v>
      </c>
      <c r="J422" s="21"/>
      <c r="K422" s="21"/>
      <c r="L422" s="21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105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1"/>
      <c r="BZ422" s="1"/>
      <c r="CA422" s="1"/>
      <c r="CC422" s="6"/>
    </row>
    <row r="423" spans="1:81" ht="15.75" customHeight="1">
      <c r="A423" s="265"/>
      <c r="B423" s="241"/>
      <c r="C423" s="254"/>
      <c r="D423" s="254"/>
      <c r="E423" s="251"/>
      <c r="F423" s="251"/>
      <c r="G423" s="254"/>
      <c r="H423" s="254"/>
      <c r="I423" s="21" t="s">
        <v>351</v>
      </c>
      <c r="J423" s="21"/>
      <c r="K423" s="21"/>
      <c r="L423" s="21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493.28</v>
      </c>
      <c r="AV423" s="3">
        <v>1849.81</v>
      </c>
      <c r="AW423" s="3"/>
      <c r="AX423" s="3"/>
      <c r="AY423" s="3"/>
      <c r="AZ423" s="3"/>
      <c r="BA423" s="3"/>
      <c r="BB423" s="105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1"/>
      <c r="BZ423" s="1"/>
      <c r="CA423" s="1"/>
      <c r="CC423" s="6"/>
    </row>
    <row r="424" spans="1:81" ht="15.75" customHeight="1">
      <c r="A424" s="265"/>
      <c r="B424" s="241"/>
      <c r="C424" s="254"/>
      <c r="D424" s="254"/>
      <c r="E424" s="251"/>
      <c r="F424" s="251"/>
      <c r="G424" s="254"/>
      <c r="H424" s="254"/>
      <c r="I424" s="21" t="s">
        <v>371</v>
      </c>
      <c r="J424" s="21"/>
      <c r="K424" s="21"/>
      <c r="L424" s="21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105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1"/>
      <c r="BZ424" s="1"/>
      <c r="CA424" s="1"/>
      <c r="CC424" s="6"/>
    </row>
    <row r="425" spans="1:81" ht="15.75" customHeight="1">
      <c r="A425" s="265"/>
      <c r="B425" s="241"/>
      <c r="C425" s="254"/>
      <c r="D425" s="254"/>
      <c r="E425" s="251"/>
      <c r="F425" s="251"/>
      <c r="G425" s="254"/>
      <c r="H425" s="254"/>
      <c r="I425" s="21" t="s">
        <v>353</v>
      </c>
      <c r="J425" s="21"/>
      <c r="K425" s="21"/>
      <c r="L425" s="21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105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1"/>
      <c r="BZ425" s="1"/>
      <c r="CA425" s="1"/>
      <c r="CC425" s="6"/>
    </row>
    <row r="426" spans="1:81" ht="15.75" customHeight="1">
      <c r="A426" s="265"/>
      <c r="B426" s="241"/>
      <c r="C426" s="254"/>
      <c r="D426" s="254"/>
      <c r="E426" s="251"/>
      <c r="F426" s="251"/>
      <c r="G426" s="254"/>
      <c r="H426" s="254"/>
      <c r="I426" s="21" t="s">
        <v>354</v>
      </c>
      <c r="J426" s="21"/>
      <c r="K426" s="21"/>
      <c r="L426" s="21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105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1"/>
      <c r="BZ426" s="1"/>
      <c r="CA426" s="1"/>
      <c r="CC426" s="6"/>
    </row>
    <row r="427" spans="1:81" ht="15.75" customHeight="1">
      <c r="A427" s="265"/>
      <c r="B427" s="241"/>
      <c r="C427" s="254"/>
      <c r="D427" s="254"/>
      <c r="E427" s="251"/>
      <c r="F427" s="251"/>
      <c r="G427" s="254"/>
      <c r="H427" s="254"/>
      <c r="I427" s="21" t="s">
        <v>355</v>
      </c>
      <c r="J427" s="21"/>
      <c r="K427" s="21"/>
      <c r="L427" s="21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105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1"/>
      <c r="BZ427" s="1"/>
      <c r="CA427" s="1"/>
      <c r="CC427" s="6"/>
    </row>
    <row r="428" spans="1:81" ht="15.75" customHeight="1">
      <c r="A428" s="265"/>
      <c r="B428" s="241"/>
      <c r="C428" s="254"/>
      <c r="D428" s="254"/>
      <c r="E428" s="251"/>
      <c r="F428" s="251"/>
      <c r="G428" s="254"/>
      <c r="H428" s="254"/>
      <c r="I428" s="21" t="s">
        <v>356</v>
      </c>
      <c r="J428" s="21"/>
      <c r="K428" s="21"/>
      <c r="L428" s="21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105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1"/>
      <c r="BZ428" s="1"/>
      <c r="CA428" s="1"/>
      <c r="CC428" s="6"/>
    </row>
    <row r="429" spans="1:81" ht="15.75" customHeight="1">
      <c r="A429" s="265"/>
      <c r="B429" s="241"/>
      <c r="C429" s="254"/>
      <c r="D429" s="254"/>
      <c r="E429" s="251"/>
      <c r="F429" s="251"/>
      <c r="G429" s="254"/>
      <c r="H429" s="254"/>
      <c r="I429" s="21" t="s">
        <v>357</v>
      </c>
      <c r="J429" s="21"/>
      <c r="K429" s="21"/>
      <c r="L429" s="21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143.74</v>
      </c>
      <c r="AV429" s="3">
        <v>484.01</v>
      </c>
      <c r="AW429" s="3">
        <v>497.64</v>
      </c>
      <c r="AX429" s="3"/>
      <c r="AY429" s="3"/>
      <c r="AZ429" s="3"/>
      <c r="BA429" s="3"/>
      <c r="BB429" s="105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1"/>
      <c r="BZ429" s="1"/>
      <c r="CA429" s="1"/>
      <c r="CC429" s="6"/>
    </row>
    <row r="430" spans="1:81" ht="15.75" customHeight="1">
      <c r="A430" s="265"/>
      <c r="B430" s="241"/>
      <c r="C430" s="254"/>
      <c r="D430" s="254"/>
      <c r="E430" s="251"/>
      <c r="F430" s="251"/>
      <c r="G430" s="254"/>
      <c r="H430" s="254"/>
      <c r="I430" s="23" t="s">
        <v>362</v>
      </c>
      <c r="J430" s="23"/>
      <c r="K430" s="23"/>
      <c r="L430" s="2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>
        <v>361.17</v>
      </c>
      <c r="AX430" s="3"/>
      <c r="AY430" s="3"/>
      <c r="AZ430" s="3"/>
      <c r="BA430" s="3"/>
      <c r="BB430" s="105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1"/>
      <c r="BZ430" s="1"/>
      <c r="CA430" s="1"/>
      <c r="CC430" s="6"/>
    </row>
    <row r="431" spans="1:81" ht="15.75" customHeight="1">
      <c r="A431" s="265"/>
      <c r="B431" s="241"/>
      <c r="C431" s="254"/>
      <c r="D431" s="254"/>
      <c r="E431" s="251"/>
      <c r="F431" s="251"/>
      <c r="G431" s="254"/>
      <c r="H431" s="254"/>
      <c r="I431" s="22" t="s">
        <v>363</v>
      </c>
      <c r="J431" s="22"/>
      <c r="K431" s="22"/>
      <c r="L431" s="2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>
        <v>142.59</v>
      </c>
      <c r="AW431" s="3"/>
      <c r="AX431" s="3"/>
      <c r="AY431" s="3"/>
      <c r="AZ431" s="3"/>
      <c r="BA431" s="3"/>
      <c r="BB431" s="105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1"/>
      <c r="BZ431" s="1"/>
      <c r="CA431" s="1"/>
      <c r="CC431" s="6"/>
    </row>
    <row r="432" spans="1:81" ht="15.75" customHeight="1">
      <c r="A432" s="265"/>
      <c r="B432" s="241"/>
      <c r="C432" s="254"/>
      <c r="D432" s="254"/>
      <c r="E432" s="251"/>
      <c r="F432" s="251"/>
      <c r="G432" s="254"/>
      <c r="H432" s="254"/>
      <c r="I432" s="44" t="s">
        <v>364</v>
      </c>
      <c r="J432" s="44"/>
      <c r="K432" s="44"/>
      <c r="L432" s="4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36.99</v>
      </c>
      <c r="AV432" s="3">
        <v>146.68</v>
      </c>
      <c r="AW432" s="3"/>
      <c r="AX432" s="3"/>
      <c r="AY432" s="3"/>
      <c r="AZ432" s="3"/>
      <c r="BA432" s="3"/>
      <c r="BB432" s="105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1"/>
      <c r="BZ432" s="1"/>
      <c r="CA432" s="1"/>
      <c r="CC432" s="6"/>
    </row>
    <row r="433" spans="1:81" ht="15.75" customHeight="1">
      <c r="A433" s="266"/>
      <c r="B433" s="241"/>
      <c r="C433" s="255"/>
      <c r="D433" s="255"/>
      <c r="E433" s="252"/>
      <c r="F433" s="252"/>
      <c r="G433" s="255"/>
      <c r="H433" s="255"/>
      <c r="I433" s="52"/>
      <c r="J433" s="3">
        <f>SUM(J422:J431)-J432</f>
        <v>0</v>
      </c>
      <c r="K433" s="3">
        <f t="shared" ref="K433:AC433" si="211">SUM(K422:K431)-K432</f>
        <v>0</v>
      </c>
      <c r="L433" s="3">
        <f t="shared" si="211"/>
        <v>0</v>
      </c>
      <c r="M433" s="3">
        <f t="shared" si="211"/>
        <v>0</v>
      </c>
      <c r="N433" s="3">
        <f t="shared" si="211"/>
        <v>0</v>
      </c>
      <c r="O433" s="3">
        <f t="shared" si="211"/>
        <v>0</v>
      </c>
      <c r="P433" s="3">
        <f t="shared" si="211"/>
        <v>0</v>
      </c>
      <c r="Q433" s="3">
        <f t="shared" si="211"/>
        <v>0</v>
      </c>
      <c r="R433" s="3">
        <f t="shared" si="211"/>
        <v>0</v>
      </c>
      <c r="S433" s="3">
        <f t="shared" si="211"/>
        <v>0</v>
      </c>
      <c r="T433" s="3">
        <f t="shared" si="211"/>
        <v>0</v>
      </c>
      <c r="U433" s="3">
        <f t="shared" si="211"/>
        <v>0</v>
      </c>
      <c r="V433" s="3">
        <f t="shared" si="211"/>
        <v>0</v>
      </c>
      <c r="W433" s="3">
        <f t="shared" si="211"/>
        <v>0</v>
      </c>
      <c r="X433" s="3">
        <f t="shared" si="211"/>
        <v>0</v>
      </c>
      <c r="Y433" s="3">
        <f t="shared" si="211"/>
        <v>0</v>
      </c>
      <c r="Z433" s="3">
        <f t="shared" si="211"/>
        <v>0</v>
      </c>
      <c r="AA433" s="3">
        <f t="shared" si="211"/>
        <v>0</v>
      </c>
      <c r="AB433" s="3">
        <f t="shared" si="211"/>
        <v>0</v>
      </c>
      <c r="AC433" s="3">
        <f t="shared" si="211"/>
        <v>0</v>
      </c>
      <c r="AD433" s="3">
        <f>SUM(AD422:AD431)-AD432</f>
        <v>0</v>
      </c>
      <c r="AE433" s="3">
        <f>SUM(AE422:AE431)-AE432</f>
        <v>0</v>
      </c>
      <c r="AF433" s="3">
        <f>SUM(AF422:AF431)-AF432</f>
        <v>0</v>
      </c>
      <c r="AG433" s="3">
        <f t="shared" ref="AG433" si="212">SUM(AG422:AG431)-AG432</f>
        <v>0</v>
      </c>
      <c r="AH433" s="3">
        <f t="shared" ref="AH433" si="213">SUM(AH422:AH431)-AH432</f>
        <v>0</v>
      </c>
      <c r="AI433" s="3">
        <f>SUM(AI422:AI431)-AI432</f>
        <v>0</v>
      </c>
      <c r="AJ433" s="3">
        <f t="shared" ref="AJ433" si="214">SUM(AJ422:AJ431)-AJ432</f>
        <v>0</v>
      </c>
      <c r="AK433" s="3">
        <f>SUM(AK422:AK431)-AK432</f>
        <v>0</v>
      </c>
      <c r="AL433" s="3">
        <f t="shared" ref="AL433:AP433" si="215">SUM(AL422:AL431)-AL432</f>
        <v>0</v>
      </c>
      <c r="AM433" s="3">
        <f t="shared" si="215"/>
        <v>0</v>
      </c>
      <c r="AN433" s="3">
        <f t="shared" si="215"/>
        <v>0</v>
      </c>
      <c r="AO433" s="3">
        <f t="shared" si="215"/>
        <v>0</v>
      </c>
      <c r="AP433" s="3">
        <f t="shared" si="215"/>
        <v>0</v>
      </c>
      <c r="AQ433" s="3">
        <f t="shared" ref="AQ433:AT433" si="216">SUM(AQ422:AQ431)-AQ432</f>
        <v>0</v>
      </c>
      <c r="AR433" s="3">
        <f t="shared" si="216"/>
        <v>0</v>
      </c>
      <c r="AS433" s="3">
        <f t="shared" si="216"/>
        <v>0</v>
      </c>
      <c r="AT433" s="3">
        <f t="shared" si="216"/>
        <v>0</v>
      </c>
      <c r="AU433" s="3">
        <f>SUM(AU422:AU431)-AU432</f>
        <v>600.03</v>
      </c>
      <c r="AV433" s="3">
        <f t="shared" ref="AV433:AW433" si="217">SUM(AV422:AV431)-AV432</f>
        <v>2329.73</v>
      </c>
      <c r="AW433" s="3">
        <f t="shared" si="217"/>
        <v>858.81</v>
      </c>
      <c r="AX433" s="3">
        <f t="shared" ref="AX433:BC433" si="218">SUM(AX422:AX431)-AX432</f>
        <v>0</v>
      </c>
      <c r="AY433" s="3">
        <f t="shared" si="218"/>
        <v>0</v>
      </c>
      <c r="AZ433" s="3">
        <f t="shared" si="218"/>
        <v>0</v>
      </c>
      <c r="BA433" s="3">
        <f t="shared" si="218"/>
        <v>0</v>
      </c>
      <c r="BB433" s="105">
        <f t="shared" si="218"/>
        <v>0</v>
      </c>
      <c r="BC433" s="3">
        <f t="shared" si="218"/>
        <v>0</v>
      </c>
      <c r="BD433" s="3">
        <f t="shared" ref="BD433" si="219">SUM(BD422:BD431)-BD432</f>
        <v>0</v>
      </c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>
        <f>SUM(K433:AY433)</f>
        <v>3788.57</v>
      </c>
      <c r="BY433" s="1"/>
      <c r="BZ433" s="1"/>
      <c r="CA433" s="1"/>
      <c r="CC433" s="6"/>
    </row>
    <row r="434" spans="1:81" ht="15.6" customHeight="1">
      <c r="A434" s="148" t="s">
        <v>346</v>
      </c>
      <c r="B434" s="148" t="s">
        <v>347</v>
      </c>
      <c r="C434" s="145" t="s">
        <v>310</v>
      </c>
      <c r="D434" s="145" t="s">
        <v>311</v>
      </c>
      <c r="E434" s="148" t="s">
        <v>312</v>
      </c>
      <c r="F434" s="148" t="s">
        <v>348</v>
      </c>
      <c r="G434" s="145" t="s">
        <v>314</v>
      </c>
      <c r="H434" s="145" t="s">
        <v>315</v>
      </c>
      <c r="I434" s="145" t="s">
        <v>349</v>
      </c>
      <c r="J434" s="146">
        <v>44105</v>
      </c>
      <c r="K434" s="146">
        <v>44136</v>
      </c>
      <c r="L434" s="146">
        <v>44166</v>
      </c>
      <c r="M434" s="146">
        <v>44197</v>
      </c>
      <c r="N434" s="146">
        <v>44228</v>
      </c>
      <c r="O434" s="146">
        <v>44256</v>
      </c>
      <c r="P434" s="146">
        <v>44287</v>
      </c>
      <c r="Q434" s="146">
        <v>44317</v>
      </c>
      <c r="R434" s="146">
        <v>44348</v>
      </c>
      <c r="S434" s="146">
        <v>44378</v>
      </c>
      <c r="T434" s="146">
        <v>44409</v>
      </c>
      <c r="U434" s="146">
        <v>44440</v>
      </c>
      <c r="V434" s="146">
        <v>44470</v>
      </c>
      <c r="W434" s="146">
        <v>44501</v>
      </c>
      <c r="X434" s="146">
        <v>44531</v>
      </c>
      <c r="Y434" s="146">
        <v>44562</v>
      </c>
      <c r="Z434" s="146">
        <v>44593</v>
      </c>
      <c r="AA434" s="146">
        <v>44621</v>
      </c>
      <c r="AB434" s="146">
        <v>44652</v>
      </c>
      <c r="AC434" s="146">
        <v>44682</v>
      </c>
      <c r="AD434" s="146">
        <v>44713</v>
      </c>
      <c r="AE434" s="146">
        <v>44743</v>
      </c>
      <c r="AF434" s="146">
        <v>44774</v>
      </c>
      <c r="AG434" s="146">
        <v>44805</v>
      </c>
      <c r="AH434" s="146">
        <v>44835</v>
      </c>
      <c r="AI434" s="146">
        <v>44866</v>
      </c>
      <c r="AJ434" s="146">
        <v>44896</v>
      </c>
      <c r="AK434" s="146">
        <v>44927</v>
      </c>
      <c r="AL434" s="146">
        <v>44958</v>
      </c>
      <c r="AM434" s="146">
        <v>44986</v>
      </c>
      <c r="AN434" s="146">
        <v>45017</v>
      </c>
      <c r="AO434" s="146">
        <v>45047</v>
      </c>
      <c r="AP434" s="146">
        <v>45078</v>
      </c>
      <c r="AQ434" s="146">
        <v>45108</v>
      </c>
      <c r="AR434" s="146">
        <v>45139</v>
      </c>
      <c r="AS434" s="146">
        <v>45170</v>
      </c>
      <c r="AT434" s="146">
        <v>45200</v>
      </c>
      <c r="AU434" s="146">
        <v>45231</v>
      </c>
      <c r="AV434" s="146">
        <v>45261</v>
      </c>
      <c r="AW434" s="146">
        <v>45292</v>
      </c>
      <c r="AX434" s="146">
        <v>45323</v>
      </c>
      <c r="AY434" s="146">
        <v>45352</v>
      </c>
      <c r="AZ434" s="146">
        <v>45383</v>
      </c>
      <c r="BA434" s="146">
        <v>45413</v>
      </c>
      <c r="BB434" s="146">
        <v>45444</v>
      </c>
      <c r="BC434" s="146">
        <v>45474</v>
      </c>
      <c r="BD434" s="146">
        <v>45505</v>
      </c>
      <c r="BE434" s="146">
        <v>45536</v>
      </c>
      <c r="BF434" s="146">
        <v>45566</v>
      </c>
      <c r="BG434" s="146">
        <v>45597</v>
      </c>
      <c r="BH434" s="146">
        <v>45627</v>
      </c>
      <c r="BI434" s="146">
        <v>45658</v>
      </c>
      <c r="BJ434" s="146">
        <v>45689</v>
      </c>
      <c r="BK434" s="146">
        <v>45717</v>
      </c>
      <c r="BL434" s="146">
        <v>45748</v>
      </c>
      <c r="BM434" s="146">
        <v>45778</v>
      </c>
      <c r="BN434" s="146">
        <v>45809</v>
      </c>
      <c r="BO434" s="146">
        <v>45839</v>
      </c>
      <c r="BP434" s="146"/>
      <c r="BQ434" s="146"/>
      <c r="BR434" s="146"/>
      <c r="BS434" s="146"/>
      <c r="BT434" s="146"/>
      <c r="BU434" s="146"/>
      <c r="BV434" s="146"/>
      <c r="BW434" s="146"/>
      <c r="BX434" s="147" t="s">
        <v>13</v>
      </c>
      <c r="BY434" s="5"/>
      <c r="BZ434" s="5"/>
      <c r="CA434" s="5"/>
    </row>
    <row r="435" spans="1:81" ht="15.75" customHeight="1">
      <c r="A435" s="264">
        <v>32</v>
      </c>
      <c r="B435" s="241" t="s">
        <v>239</v>
      </c>
      <c r="C435" s="253" t="s">
        <v>23</v>
      </c>
      <c r="D435" s="253" t="s">
        <v>89</v>
      </c>
      <c r="E435" s="250" t="s">
        <v>150</v>
      </c>
      <c r="F435" s="250" t="s">
        <v>150</v>
      </c>
      <c r="G435" s="256">
        <v>45740</v>
      </c>
      <c r="H435" s="253"/>
      <c r="I435" s="21" t="s">
        <v>350</v>
      </c>
      <c r="J435" s="21"/>
      <c r="K435" s="21"/>
      <c r="L435" s="21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105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105"/>
      <c r="BO435" s="105"/>
      <c r="BP435" s="105"/>
      <c r="BQ435" s="105"/>
      <c r="BR435" s="105"/>
      <c r="BS435" s="105"/>
      <c r="BT435" s="105"/>
      <c r="BU435" s="105"/>
      <c r="BV435" s="105"/>
      <c r="BW435" s="105"/>
      <c r="BX435" s="3"/>
      <c r="BY435" s="1"/>
      <c r="BZ435" s="1"/>
      <c r="CA435" s="1"/>
      <c r="CC435" s="6"/>
    </row>
    <row r="436" spans="1:81" ht="15.75" customHeight="1">
      <c r="A436" s="265"/>
      <c r="B436" s="241"/>
      <c r="C436" s="254"/>
      <c r="D436" s="254"/>
      <c r="E436" s="251"/>
      <c r="F436" s="251"/>
      <c r="G436" s="254"/>
      <c r="H436" s="254"/>
      <c r="I436" s="21" t="s">
        <v>351</v>
      </c>
      <c r="J436" s="21"/>
      <c r="K436" s="21"/>
      <c r="L436" s="21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105"/>
      <c r="BC436" s="3"/>
      <c r="BD436" s="3"/>
      <c r="BE436" s="3"/>
      <c r="BF436" s="3"/>
      <c r="BG436" s="3"/>
      <c r="BH436" s="3"/>
      <c r="BI436" s="3"/>
      <c r="BJ436" s="3"/>
      <c r="BK436" s="3">
        <v>431.62</v>
      </c>
      <c r="BL436" s="3">
        <v>1849.81</v>
      </c>
      <c r="BM436" s="3">
        <v>1849.81</v>
      </c>
      <c r="BN436" s="105"/>
      <c r="BO436" s="105"/>
      <c r="BP436" s="105"/>
      <c r="BQ436" s="105"/>
      <c r="BR436" s="105"/>
      <c r="BS436" s="105"/>
      <c r="BT436" s="105"/>
      <c r="BU436" s="105"/>
      <c r="BV436" s="105"/>
      <c r="BW436" s="105"/>
      <c r="BX436" s="3"/>
      <c r="BY436" s="1"/>
      <c r="BZ436" s="1"/>
      <c r="CA436" s="1"/>
      <c r="CC436" s="6"/>
    </row>
    <row r="437" spans="1:81" ht="15.75" customHeight="1">
      <c r="A437" s="265"/>
      <c r="B437" s="241"/>
      <c r="C437" s="254"/>
      <c r="D437" s="254"/>
      <c r="E437" s="251"/>
      <c r="F437" s="251"/>
      <c r="G437" s="254"/>
      <c r="H437" s="254"/>
      <c r="I437" s="21" t="s">
        <v>371</v>
      </c>
      <c r="J437" s="21"/>
      <c r="K437" s="21"/>
      <c r="L437" s="21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105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105"/>
      <c r="BO437" s="105"/>
      <c r="BP437" s="105"/>
      <c r="BQ437" s="105"/>
      <c r="BR437" s="105"/>
      <c r="BS437" s="105"/>
      <c r="BT437" s="105"/>
      <c r="BU437" s="105"/>
      <c r="BV437" s="105"/>
      <c r="BW437" s="105"/>
      <c r="BX437" s="3"/>
      <c r="BY437" s="1"/>
      <c r="BZ437" s="1"/>
      <c r="CA437" s="1"/>
      <c r="CC437" s="6"/>
    </row>
    <row r="438" spans="1:81" ht="15.75" customHeight="1">
      <c r="A438" s="265"/>
      <c r="B438" s="241"/>
      <c r="C438" s="254"/>
      <c r="D438" s="254"/>
      <c r="E438" s="251"/>
      <c r="F438" s="251"/>
      <c r="G438" s="254"/>
      <c r="H438" s="254"/>
      <c r="I438" s="21" t="s">
        <v>353</v>
      </c>
      <c r="J438" s="21"/>
      <c r="K438" s="21"/>
      <c r="L438" s="21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105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105"/>
      <c r="BO438" s="105"/>
      <c r="BP438" s="105"/>
      <c r="BQ438" s="105"/>
      <c r="BR438" s="105"/>
      <c r="BS438" s="105"/>
      <c r="BT438" s="105"/>
      <c r="BU438" s="105"/>
      <c r="BV438" s="105"/>
      <c r="BW438" s="105"/>
      <c r="BX438" s="3"/>
      <c r="BY438" s="1"/>
      <c r="BZ438" s="1"/>
      <c r="CA438" s="1"/>
      <c r="CC438" s="6"/>
    </row>
    <row r="439" spans="1:81" ht="15.75" customHeight="1">
      <c r="A439" s="265"/>
      <c r="B439" s="241"/>
      <c r="C439" s="254"/>
      <c r="D439" s="254"/>
      <c r="E439" s="251"/>
      <c r="F439" s="251"/>
      <c r="G439" s="254"/>
      <c r="H439" s="254"/>
      <c r="I439" s="21" t="s">
        <v>354</v>
      </c>
      <c r="J439" s="21"/>
      <c r="K439" s="21"/>
      <c r="L439" s="21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105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105"/>
      <c r="BO439" s="105"/>
      <c r="BP439" s="105"/>
      <c r="BQ439" s="105"/>
      <c r="BR439" s="105"/>
      <c r="BS439" s="105"/>
      <c r="BT439" s="105"/>
      <c r="BU439" s="105"/>
      <c r="BV439" s="105"/>
      <c r="BW439" s="105"/>
      <c r="BX439" s="3"/>
      <c r="BY439" s="1"/>
      <c r="BZ439" s="1"/>
      <c r="CA439" s="1"/>
      <c r="CC439" s="6"/>
    </row>
    <row r="440" spans="1:81" ht="15.75" customHeight="1">
      <c r="A440" s="265"/>
      <c r="B440" s="241"/>
      <c r="C440" s="254"/>
      <c r="D440" s="254"/>
      <c r="E440" s="251"/>
      <c r="F440" s="251"/>
      <c r="G440" s="254"/>
      <c r="H440" s="254"/>
      <c r="I440" s="21" t="s">
        <v>355</v>
      </c>
      <c r="J440" s="21"/>
      <c r="K440" s="21"/>
      <c r="L440" s="21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105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105"/>
      <c r="BO440" s="105"/>
      <c r="BP440" s="105"/>
      <c r="BQ440" s="105"/>
      <c r="BR440" s="105"/>
      <c r="BS440" s="105"/>
      <c r="BT440" s="105"/>
      <c r="BU440" s="105"/>
      <c r="BV440" s="105"/>
      <c r="BW440" s="105"/>
      <c r="BX440" s="3"/>
      <c r="BY440" s="1"/>
      <c r="BZ440" s="1"/>
      <c r="CA440" s="1"/>
      <c r="CC440" s="6"/>
    </row>
    <row r="441" spans="1:81" ht="15.75" customHeight="1">
      <c r="A441" s="265"/>
      <c r="B441" s="241"/>
      <c r="C441" s="254"/>
      <c r="D441" s="254"/>
      <c r="E441" s="251"/>
      <c r="F441" s="251"/>
      <c r="G441" s="254"/>
      <c r="H441" s="254"/>
      <c r="I441" s="21" t="s">
        <v>356</v>
      </c>
      <c r="J441" s="21"/>
      <c r="K441" s="21"/>
      <c r="L441" s="21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105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105"/>
      <c r="BO441" s="105"/>
      <c r="BP441" s="105"/>
      <c r="BQ441" s="105"/>
      <c r="BR441" s="105"/>
      <c r="BS441" s="105"/>
      <c r="BT441" s="105"/>
      <c r="BU441" s="105"/>
      <c r="BV441" s="105"/>
      <c r="BW441" s="105"/>
      <c r="BX441" s="3"/>
      <c r="BY441" s="1"/>
      <c r="BZ441" s="1"/>
      <c r="CA441" s="1"/>
      <c r="CC441" s="6"/>
    </row>
    <row r="442" spans="1:81" ht="15.75" customHeight="1">
      <c r="A442" s="265"/>
      <c r="B442" s="241"/>
      <c r="C442" s="254"/>
      <c r="D442" s="254"/>
      <c r="E442" s="251"/>
      <c r="F442" s="251"/>
      <c r="G442" s="254"/>
      <c r="H442" s="254"/>
      <c r="I442" s="21" t="s">
        <v>357</v>
      </c>
      <c r="J442" s="21"/>
      <c r="K442" s="21"/>
      <c r="L442" s="21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105"/>
      <c r="BC442" s="3"/>
      <c r="BD442" s="3"/>
      <c r="BE442" s="3"/>
      <c r="BF442" s="3"/>
      <c r="BG442" s="3"/>
      <c r="BH442" s="3"/>
      <c r="BI442" s="3"/>
      <c r="BJ442" s="3"/>
      <c r="BK442" s="3">
        <f>95.8+74.66</f>
        <v>170.45999999999998</v>
      </c>
      <c r="BL442" s="3">
        <f>264+320</f>
        <v>584</v>
      </c>
      <c r="BM442" s="3">
        <v>606</v>
      </c>
      <c r="BN442" s="105"/>
      <c r="BO442" s="105"/>
      <c r="BP442" s="105"/>
      <c r="BQ442" s="105"/>
      <c r="BR442" s="105"/>
      <c r="BS442" s="105"/>
      <c r="BT442" s="105"/>
      <c r="BU442" s="105"/>
      <c r="BV442" s="105"/>
      <c r="BW442" s="105"/>
      <c r="BX442" s="3"/>
      <c r="BY442" s="1"/>
      <c r="BZ442" s="1"/>
      <c r="CA442" s="1"/>
      <c r="CC442" s="6"/>
    </row>
    <row r="443" spans="1:81" ht="15.75" customHeight="1">
      <c r="A443" s="265"/>
      <c r="B443" s="241"/>
      <c r="C443" s="254"/>
      <c r="D443" s="254"/>
      <c r="E443" s="251"/>
      <c r="F443" s="251"/>
      <c r="G443" s="254"/>
      <c r="H443" s="254"/>
      <c r="I443" s="23" t="s">
        <v>362</v>
      </c>
      <c r="J443" s="23"/>
      <c r="K443" s="23"/>
      <c r="L443" s="2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105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105">
        <v>783.43</v>
      </c>
      <c r="BO443" s="105">
        <v>783.43</v>
      </c>
      <c r="BP443" s="105"/>
      <c r="BQ443" s="105"/>
      <c r="BR443" s="105"/>
      <c r="BS443" s="105"/>
      <c r="BT443" s="105"/>
      <c r="BU443" s="105"/>
      <c r="BV443" s="105"/>
      <c r="BW443" s="105"/>
      <c r="BX443" s="3"/>
      <c r="BY443" s="1"/>
      <c r="BZ443" s="1"/>
      <c r="CA443" s="1"/>
      <c r="CC443" s="6"/>
    </row>
    <row r="444" spans="1:81" ht="15.75" customHeight="1">
      <c r="A444" s="265"/>
      <c r="B444" s="241"/>
      <c r="C444" s="254"/>
      <c r="D444" s="254"/>
      <c r="E444" s="251"/>
      <c r="F444" s="251"/>
      <c r="G444" s="254"/>
      <c r="H444" s="254"/>
      <c r="I444" s="22" t="s">
        <v>363</v>
      </c>
      <c r="J444" s="22"/>
      <c r="K444" s="22"/>
      <c r="L444" s="2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105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105"/>
      <c r="BO444" s="105"/>
      <c r="BP444" s="105"/>
      <c r="BQ444" s="105"/>
      <c r="BR444" s="105"/>
      <c r="BS444" s="105"/>
      <c r="BT444" s="105"/>
      <c r="BU444" s="105"/>
      <c r="BV444" s="105"/>
      <c r="BW444" s="105"/>
      <c r="BX444" s="3"/>
      <c r="BY444" s="1"/>
      <c r="BZ444" s="1"/>
      <c r="CA444" s="1"/>
      <c r="CC444" s="6"/>
    </row>
    <row r="445" spans="1:81" ht="15.75" customHeight="1">
      <c r="A445" s="265"/>
      <c r="B445" s="241"/>
      <c r="C445" s="254"/>
      <c r="D445" s="254"/>
      <c r="E445" s="251"/>
      <c r="F445" s="251"/>
      <c r="G445" s="254"/>
      <c r="H445" s="254"/>
      <c r="I445" s="44" t="s">
        <v>364</v>
      </c>
      <c r="J445" s="44"/>
      <c r="K445" s="44"/>
      <c r="L445" s="4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105"/>
      <c r="BC445" s="3"/>
      <c r="BD445" s="3"/>
      <c r="BE445" s="3"/>
      <c r="BF445" s="3"/>
      <c r="BG445" s="3"/>
      <c r="BH445" s="3"/>
      <c r="BI445" s="3"/>
      <c r="BJ445" s="3"/>
      <c r="BK445" s="3">
        <v>32.369999999999997</v>
      </c>
      <c r="BL445" s="3">
        <v>143.71</v>
      </c>
      <c r="BM445" s="3">
        <v>143.71</v>
      </c>
      <c r="BN445" s="105"/>
      <c r="BO445" s="105"/>
      <c r="BP445" s="105"/>
      <c r="BQ445" s="105"/>
      <c r="BR445" s="105"/>
      <c r="BS445" s="105"/>
      <c r="BT445" s="105"/>
      <c r="BU445" s="105"/>
      <c r="BV445" s="105"/>
      <c r="BW445" s="105"/>
      <c r="BX445" s="3"/>
      <c r="BY445" s="1"/>
      <c r="BZ445" s="1"/>
      <c r="CA445" s="1"/>
      <c r="CC445" s="6"/>
    </row>
    <row r="446" spans="1:81" ht="15.75" customHeight="1">
      <c r="A446" s="266"/>
      <c r="B446" s="241"/>
      <c r="C446" s="255"/>
      <c r="D446" s="255"/>
      <c r="E446" s="252"/>
      <c r="F446" s="252"/>
      <c r="G446" s="255"/>
      <c r="H446" s="255"/>
      <c r="I446" s="52"/>
      <c r="J446" s="3">
        <f>SUM(J435:J444)-J445</f>
        <v>0</v>
      </c>
      <c r="K446" s="3">
        <f t="shared" ref="K446:AC446" si="220">SUM(K435:K444)-K445</f>
        <v>0</v>
      </c>
      <c r="L446" s="3">
        <f t="shared" si="220"/>
        <v>0</v>
      </c>
      <c r="M446" s="3">
        <f t="shared" si="220"/>
        <v>0</v>
      </c>
      <c r="N446" s="3">
        <f t="shared" si="220"/>
        <v>0</v>
      </c>
      <c r="O446" s="3">
        <f t="shared" si="220"/>
        <v>0</v>
      </c>
      <c r="P446" s="3">
        <f t="shared" si="220"/>
        <v>0</v>
      </c>
      <c r="Q446" s="3">
        <f t="shared" si="220"/>
        <v>0</v>
      </c>
      <c r="R446" s="3">
        <f t="shared" si="220"/>
        <v>0</v>
      </c>
      <c r="S446" s="3">
        <f t="shared" si="220"/>
        <v>0</v>
      </c>
      <c r="T446" s="3">
        <f t="shared" si="220"/>
        <v>0</v>
      </c>
      <c r="U446" s="3">
        <f t="shared" si="220"/>
        <v>0</v>
      </c>
      <c r="V446" s="3">
        <f t="shared" si="220"/>
        <v>0</v>
      </c>
      <c r="W446" s="3">
        <f t="shared" si="220"/>
        <v>0</v>
      </c>
      <c r="X446" s="3">
        <f t="shared" si="220"/>
        <v>0</v>
      </c>
      <c r="Y446" s="3">
        <f t="shared" si="220"/>
        <v>0</v>
      </c>
      <c r="Z446" s="3">
        <f t="shared" si="220"/>
        <v>0</v>
      </c>
      <c r="AA446" s="3">
        <f t="shared" si="220"/>
        <v>0</v>
      </c>
      <c r="AB446" s="3">
        <f t="shared" si="220"/>
        <v>0</v>
      </c>
      <c r="AC446" s="3">
        <f t="shared" si="220"/>
        <v>0</v>
      </c>
      <c r="AD446" s="3">
        <f>SUM(AD435:AD444)-AD445</f>
        <v>0</v>
      </c>
      <c r="AE446" s="3">
        <f>SUM(AE435:AE444)-AE445</f>
        <v>0</v>
      </c>
      <c r="AF446" s="3">
        <f>SUM(AF435:AF444)-AF445</f>
        <v>0</v>
      </c>
      <c r="AG446" s="3">
        <f t="shared" ref="AG446" si="221">SUM(AG435:AG444)-AG445</f>
        <v>0</v>
      </c>
      <c r="AH446" s="3">
        <f t="shared" ref="AH446" si="222">SUM(AH435:AH444)-AH445</f>
        <v>0</v>
      </c>
      <c r="AI446" s="3">
        <f>SUM(AI435:AI444)-AI445</f>
        <v>0</v>
      </c>
      <c r="AJ446" s="3">
        <f t="shared" ref="AJ446" si="223">SUM(AJ435:AJ444)-AJ445</f>
        <v>0</v>
      </c>
      <c r="AK446" s="3">
        <f>SUM(AK435:AK444)-AK445</f>
        <v>0</v>
      </c>
      <c r="AL446" s="3">
        <f t="shared" ref="AL446:AP446" si="224">SUM(AL435:AL444)-AL445</f>
        <v>0</v>
      </c>
      <c r="AM446" s="3">
        <f t="shared" si="224"/>
        <v>0</v>
      </c>
      <c r="AN446" s="3">
        <f t="shared" si="224"/>
        <v>0</v>
      </c>
      <c r="AO446" s="3">
        <f t="shared" si="224"/>
        <v>0</v>
      </c>
      <c r="AP446" s="3">
        <f t="shared" si="224"/>
        <v>0</v>
      </c>
      <c r="AQ446" s="3">
        <f t="shared" ref="AQ446:AT446" si="225">SUM(AQ435:AQ444)-AQ445</f>
        <v>0</v>
      </c>
      <c r="AR446" s="3">
        <f t="shared" si="225"/>
        <v>0</v>
      </c>
      <c r="AS446" s="3">
        <f t="shared" si="225"/>
        <v>0</v>
      </c>
      <c r="AT446" s="3">
        <f t="shared" si="225"/>
        <v>0</v>
      </c>
      <c r="AU446" s="3"/>
      <c r="AV446" s="3"/>
      <c r="AW446" s="3"/>
      <c r="AX446" s="3">
        <f t="shared" ref="AX446:BC446" si="226">SUM(AX435:AX444)-AX445</f>
        <v>0</v>
      </c>
      <c r="AY446" s="3">
        <f t="shared" si="226"/>
        <v>0</v>
      </c>
      <c r="AZ446" s="3">
        <f t="shared" si="226"/>
        <v>0</v>
      </c>
      <c r="BA446" s="3">
        <f t="shared" si="226"/>
        <v>0</v>
      </c>
      <c r="BB446" s="105">
        <f t="shared" si="226"/>
        <v>0</v>
      </c>
      <c r="BC446" s="3">
        <f t="shared" si="226"/>
        <v>0</v>
      </c>
      <c r="BD446" s="3">
        <f t="shared" ref="BD446" si="227">SUM(BD435:BD444)-BD445</f>
        <v>0</v>
      </c>
      <c r="BE446" s="3"/>
      <c r="BF446" s="3"/>
      <c r="BG446" s="3"/>
      <c r="BH446" s="3"/>
      <c r="BI446" s="3"/>
      <c r="BJ446" s="3"/>
      <c r="BK446" s="3">
        <f>BK436+BK442-BK445</f>
        <v>569.70999999999992</v>
      </c>
      <c r="BL446" s="3">
        <f>BL436+BL442-BL445</f>
        <v>2290.1</v>
      </c>
      <c r="BM446" s="3">
        <f>BM436+BM442-BM445</f>
        <v>2312.1</v>
      </c>
      <c r="BN446" s="105">
        <v>783.43</v>
      </c>
      <c r="BO446" s="105">
        <v>783.43</v>
      </c>
      <c r="BP446" s="105"/>
      <c r="BQ446" s="105"/>
      <c r="BR446" s="105"/>
      <c r="BS446" s="105"/>
      <c r="BT446" s="105"/>
      <c r="BU446" s="105"/>
      <c r="BV446" s="105"/>
      <c r="BW446" s="105"/>
      <c r="BX446" s="3">
        <f>SUM(BK446:BO446)</f>
        <v>6738.77</v>
      </c>
      <c r="BY446" s="1"/>
      <c r="BZ446" s="1"/>
      <c r="CA446" s="1"/>
      <c r="CC446" s="6"/>
    </row>
    <row r="447" spans="1:81" ht="15.6" customHeight="1">
      <c r="A447" s="148" t="s">
        <v>346</v>
      </c>
      <c r="B447" s="148" t="s">
        <v>347</v>
      </c>
      <c r="C447" s="145" t="s">
        <v>310</v>
      </c>
      <c r="D447" s="145" t="s">
        <v>311</v>
      </c>
      <c r="E447" s="148" t="s">
        <v>312</v>
      </c>
      <c r="F447" s="148" t="s">
        <v>348</v>
      </c>
      <c r="G447" s="145" t="s">
        <v>314</v>
      </c>
      <c r="H447" s="145" t="s">
        <v>315</v>
      </c>
      <c r="I447" s="145" t="s">
        <v>349</v>
      </c>
      <c r="J447" s="146">
        <v>44105</v>
      </c>
      <c r="K447" s="146">
        <v>44136</v>
      </c>
      <c r="L447" s="146">
        <v>44166</v>
      </c>
      <c r="M447" s="146">
        <v>44197</v>
      </c>
      <c r="N447" s="146">
        <v>44228</v>
      </c>
      <c r="O447" s="146">
        <v>44256</v>
      </c>
      <c r="P447" s="146">
        <v>44287</v>
      </c>
      <c r="Q447" s="146">
        <v>44317</v>
      </c>
      <c r="R447" s="146">
        <v>44348</v>
      </c>
      <c r="S447" s="146">
        <v>44378</v>
      </c>
      <c r="T447" s="146">
        <v>44409</v>
      </c>
      <c r="U447" s="146">
        <v>44440</v>
      </c>
      <c r="V447" s="146">
        <v>44470</v>
      </c>
      <c r="W447" s="146">
        <v>44501</v>
      </c>
      <c r="X447" s="146">
        <v>44531</v>
      </c>
      <c r="Y447" s="146">
        <v>44562</v>
      </c>
      <c r="Z447" s="146">
        <v>44593</v>
      </c>
      <c r="AA447" s="146">
        <v>44621</v>
      </c>
      <c r="AB447" s="146">
        <v>44652</v>
      </c>
      <c r="AC447" s="146">
        <v>44682</v>
      </c>
      <c r="AD447" s="146">
        <v>44713</v>
      </c>
      <c r="AE447" s="146">
        <v>44743</v>
      </c>
      <c r="AF447" s="146">
        <v>44774</v>
      </c>
      <c r="AG447" s="146">
        <v>44805</v>
      </c>
      <c r="AH447" s="146">
        <v>44835</v>
      </c>
      <c r="AI447" s="146">
        <v>44866</v>
      </c>
      <c r="AJ447" s="146">
        <v>44896</v>
      </c>
      <c r="AK447" s="146">
        <v>44927</v>
      </c>
      <c r="AL447" s="146">
        <v>44958</v>
      </c>
      <c r="AM447" s="146">
        <v>44986</v>
      </c>
      <c r="AN447" s="146">
        <v>45017</v>
      </c>
      <c r="AO447" s="146">
        <v>45047</v>
      </c>
      <c r="AP447" s="146">
        <v>45078</v>
      </c>
      <c r="AQ447" s="146">
        <v>45108</v>
      </c>
      <c r="AR447" s="146">
        <v>45139</v>
      </c>
      <c r="AS447" s="146">
        <v>45170</v>
      </c>
      <c r="AT447" s="146">
        <v>45200</v>
      </c>
      <c r="AU447" s="146">
        <v>45231</v>
      </c>
      <c r="AV447" s="146">
        <v>45261</v>
      </c>
      <c r="AW447" s="146">
        <v>45292</v>
      </c>
      <c r="AX447" s="146">
        <v>45323</v>
      </c>
      <c r="AY447" s="146">
        <v>45352</v>
      </c>
      <c r="AZ447" s="146">
        <v>45383</v>
      </c>
      <c r="BA447" s="146">
        <v>45413</v>
      </c>
      <c r="BB447" s="146">
        <v>45444</v>
      </c>
      <c r="BC447" s="146">
        <v>45474</v>
      </c>
      <c r="BD447" s="146">
        <v>45505</v>
      </c>
      <c r="BE447" s="146">
        <v>45536</v>
      </c>
      <c r="BF447" s="146">
        <v>45566</v>
      </c>
      <c r="BG447" s="146">
        <v>45597</v>
      </c>
      <c r="BH447" s="146">
        <v>45627</v>
      </c>
      <c r="BI447" s="146">
        <v>45658</v>
      </c>
      <c r="BJ447" s="146">
        <v>45689</v>
      </c>
      <c r="BK447" s="146">
        <v>45717</v>
      </c>
      <c r="BL447" s="146"/>
      <c r="BM447" s="146"/>
      <c r="BN447" s="146"/>
      <c r="BO447" s="146"/>
      <c r="BP447" s="146"/>
      <c r="BQ447" s="146"/>
      <c r="BR447" s="146"/>
      <c r="BS447" s="146"/>
      <c r="BT447" s="146"/>
      <c r="BU447" s="146"/>
      <c r="BV447" s="146"/>
      <c r="BW447" s="146"/>
      <c r="BX447" s="147" t="s">
        <v>13</v>
      </c>
      <c r="BY447" s="5"/>
      <c r="BZ447" s="5"/>
      <c r="CA447" s="5"/>
    </row>
    <row r="448" spans="1:81" ht="15.75" customHeight="1">
      <c r="A448" s="264">
        <v>33</v>
      </c>
      <c r="B448" s="241" t="s">
        <v>34</v>
      </c>
      <c r="C448" s="253" t="s">
        <v>92</v>
      </c>
      <c r="D448" s="253" t="s">
        <v>89</v>
      </c>
      <c r="E448" s="250" t="s">
        <v>150</v>
      </c>
      <c r="F448" s="250" t="s">
        <v>150</v>
      </c>
      <c r="G448" s="256">
        <f>'CONSOLIDADO ATIVO INATIVO NOVO'!J43</f>
        <v>44586</v>
      </c>
      <c r="H448" s="256">
        <f>'CONSOLIDADO ATIVO INATIVO NOVO'!K43</f>
        <v>44986</v>
      </c>
      <c r="I448" s="21" t="s">
        <v>350</v>
      </c>
      <c r="J448" s="21"/>
      <c r="K448" s="21"/>
      <c r="L448" s="21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105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1"/>
      <c r="BZ448" s="1"/>
      <c r="CA448" s="1"/>
      <c r="CC448" s="6"/>
    </row>
    <row r="449" spans="1:81" ht="15.75" customHeight="1">
      <c r="A449" s="265"/>
      <c r="B449" s="241"/>
      <c r="C449" s="254"/>
      <c r="D449" s="254"/>
      <c r="E449" s="251"/>
      <c r="F449" s="251"/>
      <c r="G449" s="254"/>
      <c r="H449" s="254"/>
      <c r="I449" s="21" t="s">
        <v>351</v>
      </c>
      <c r="J449" s="21"/>
      <c r="K449" s="21"/>
      <c r="L449" s="21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>
        <v>1367.09</v>
      </c>
      <c r="AS449" s="3">
        <v>1708.83</v>
      </c>
      <c r="AT449" s="3">
        <v>1849.81</v>
      </c>
      <c r="AU449" s="3">
        <v>1849.81</v>
      </c>
      <c r="AV449" s="3">
        <v>1849.81</v>
      </c>
      <c r="AW449" s="3">
        <v>1849.81</v>
      </c>
      <c r="AX449" s="3">
        <v>1849.81</v>
      </c>
      <c r="AY449" s="3">
        <v>1906.94</v>
      </c>
      <c r="AZ449" s="3">
        <v>1849.81</v>
      </c>
      <c r="BA449" s="3">
        <v>1849.81</v>
      </c>
      <c r="BB449" s="105">
        <v>0</v>
      </c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1"/>
      <c r="BZ449" s="1"/>
      <c r="CA449" s="1"/>
      <c r="CC449" s="6"/>
    </row>
    <row r="450" spans="1:81" ht="15.75" customHeight="1">
      <c r="A450" s="265"/>
      <c r="B450" s="241"/>
      <c r="C450" s="254"/>
      <c r="D450" s="254"/>
      <c r="E450" s="251"/>
      <c r="F450" s="251"/>
      <c r="G450" s="254"/>
      <c r="H450" s="254"/>
      <c r="I450" s="21" t="s">
        <v>371</v>
      </c>
      <c r="J450" s="21"/>
      <c r="K450" s="21"/>
      <c r="L450" s="21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105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1"/>
      <c r="BZ450" s="1"/>
      <c r="CA450" s="1"/>
      <c r="CC450" s="6"/>
    </row>
    <row r="451" spans="1:81" ht="15.75" customHeight="1">
      <c r="A451" s="265"/>
      <c r="B451" s="241"/>
      <c r="C451" s="254"/>
      <c r="D451" s="254"/>
      <c r="E451" s="251"/>
      <c r="F451" s="251"/>
      <c r="G451" s="254"/>
      <c r="H451" s="254"/>
      <c r="I451" s="21" t="s">
        <v>353</v>
      </c>
      <c r="J451" s="21"/>
      <c r="K451" s="21"/>
      <c r="L451" s="21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105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1"/>
      <c r="BZ451" s="1"/>
      <c r="CA451" s="1"/>
      <c r="CC451" s="6"/>
    </row>
    <row r="452" spans="1:81" ht="15.75" customHeight="1">
      <c r="A452" s="265"/>
      <c r="B452" s="241"/>
      <c r="C452" s="254"/>
      <c r="D452" s="254"/>
      <c r="E452" s="251"/>
      <c r="F452" s="251"/>
      <c r="G452" s="254"/>
      <c r="H452" s="254"/>
      <c r="I452" s="21" t="s">
        <v>354</v>
      </c>
      <c r="J452" s="21"/>
      <c r="K452" s="21"/>
      <c r="L452" s="21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105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1"/>
      <c r="BZ452" s="1"/>
      <c r="CA452" s="1"/>
      <c r="CC452" s="6"/>
    </row>
    <row r="453" spans="1:81" ht="15.75" customHeight="1">
      <c r="A453" s="265"/>
      <c r="B453" s="241"/>
      <c r="C453" s="254"/>
      <c r="D453" s="254"/>
      <c r="E453" s="251"/>
      <c r="F453" s="251"/>
      <c r="G453" s="254"/>
      <c r="H453" s="254"/>
      <c r="I453" s="21" t="s">
        <v>355</v>
      </c>
      <c r="J453" s="21"/>
      <c r="K453" s="21"/>
      <c r="L453" s="21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105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1"/>
      <c r="BZ453" s="1"/>
      <c r="CA453" s="1"/>
      <c r="CC453" s="6"/>
    </row>
    <row r="454" spans="1:81" ht="15.75" customHeight="1">
      <c r="A454" s="265"/>
      <c r="B454" s="241"/>
      <c r="C454" s="254"/>
      <c r="D454" s="254"/>
      <c r="E454" s="251"/>
      <c r="F454" s="251"/>
      <c r="G454" s="254"/>
      <c r="H454" s="254"/>
      <c r="I454" s="21" t="s">
        <v>356</v>
      </c>
      <c r="J454" s="21"/>
      <c r="K454" s="21"/>
      <c r="L454" s="21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105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1"/>
      <c r="BZ454" s="1"/>
      <c r="CA454" s="1"/>
      <c r="CC454" s="6"/>
    </row>
    <row r="455" spans="1:81" ht="15.75" customHeight="1">
      <c r="A455" s="265"/>
      <c r="B455" s="241"/>
      <c r="C455" s="254"/>
      <c r="D455" s="254"/>
      <c r="E455" s="251"/>
      <c r="F455" s="251"/>
      <c r="G455" s="254"/>
      <c r="H455" s="254"/>
      <c r="I455" s="21" t="s">
        <v>357</v>
      </c>
      <c r="J455" s="21"/>
      <c r="K455" s="21"/>
      <c r="L455" s="21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>
        <f>31.7+588.31</f>
        <v>620.01</v>
      </c>
      <c r="AS455" s="3">
        <v>707.98</v>
      </c>
      <c r="AT455" s="3">
        <v>709.1</v>
      </c>
      <c r="AU455" s="3">
        <v>666.58</v>
      </c>
      <c r="AV455" s="3">
        <f>763.57+126.5</f>
        <v>890.07</v>
      </c>
      <c r="AW455" s="3">
        <v>913.59</v>
      </c>
      <c r="AX455" s="3">
        <v>914.51</v>
      </c>
      <c r="AY455" s="3">
        <v>1046.1099999999999</v>
      </c>
      <c r="AZ455" s="3">
        <v>1236.01</v>
      </c>
      <c r="BA455" s="3">
        <v>1237.03</v>
      </c>
      <c r="BB455" s="105">
        <v>5035.6000000000004</v>
      </c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1"/>
      <c r="BZ455" s="1"/>
      <c r="CA455" s="1"/>
      <c r="CC455" s="6"/>
    </row>
    <row r="456" spans="1:81" ht="15.75" customHeight="1">
      <c r="A456" s="265"/>
      <c r="B456" s="241"/>
      <c r="C456" s="254"/>
      <c r="D456" s="254"/>
      <c r="E456" s="251"/>
      <c r="F456" s="251"/>
      <c r="G456" s="254"/>
      <c r="H456" s="254"/>
      <c r="I456" s="23" t="s">
        <v>362</v>
      </c>
      <c r="J456" s="23"/>
      <c r="K456" s="23"/>
      <c r="L456" s="2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105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1"/>
      <c r="BZ456" s="1"/>
      <c r="CA456" s="1"/>
      <c r="CC456" s="6"/>
    </row>
    <row r="457" spans="1:81" ht="15.75" customHeight="1">
      <c r="A457" s="265"/>
      <c r="B457" s="241"/>
      <c r="C457" s="254"/>
      <c r="D457" s="254"/>
      <c r="E457" s="251"/>
      <c r="F457" s="251"/>
      <c r="G457" s="254"/>
      <c r="H457" s="254"/>
      <c r="I457" s="22" t="s">
        <v>363</v>
      </c>
      <c r="J457" s="22"/>
      <c r="K457" s="22"/>
      <c r="L457" s="2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308.3</v>
      </c>
      <c r="AV457" s="3">
        <v>404.65</v>
      </c>
      <c r="AW457" s="3"/>
      <c r="AX457" s="3"/>
      <c r="AY457" s="3"/>
      <c r="AZ457" s="3"/>
      <c r="BA457" s="3"/>
      <c r="BB457" s="105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1"/>
      <c r="BZ457" s="1"/>
      <c r="CA457" s="1"/>
      <c r="CC457" s="6"/>
    </row>
    <row r="458" spans="1:81" ht="15.75" customHeight="1">
      <c r="A458" s="265"/>
      <c r="B458" s="241"/>
      <c r="C458" s="254"/>
      <c r="D458" s="254"/>
      <c r="E458" s="251"/>
      <c r="F458" s="251"/>
      <c r="G458" s="254"/>
      <c r="H458" s="254"/>
      <c r="I458" s="44" t="s">
        <v>364</v>
      </c>
      <c r="J458" s="44"/>
      <c r="K458" s="44"/>
      <c r="L458" s="4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>
        <v>103.23</v>
      </c>
      <c r="AS458" s="3">
        <v>133.99</v>
      </c>
      <c r="AT458" s="3">
        <v>149.68</v>
      </c>
      <c r="AU458" s="3">
        <v>149.68</v>
      </c>
      <c r="AV458" s="3">
        <v>146.68</v>
      </c>
      <c r="AW458" s="3">
        <v>173.05</v>
      </c>
      <c r="AX458" s="3">
        <v>145.30000000000001</v>
      </c>
      <c r="AY458" s="3">
        <v>173.05</v>
      </c>
      <c r="AZ458" s="3">
        <v>145.30000000000001</v>
      </c>
      <c r="BA458" s="3">
        <v>145.30000000000001</v>
      </c>
      <c r="BB458" s="105">
        <v>1993.35</v>
      </c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1"/>
      <c r="BZ458" s="1"/>
      <c r="CA458" s="1"/>
      <c r="CC458" s="6"/>
    </row>
    <row r="459" spans="1:81" ht="15.75" customHeight="1">
      <c r="A459" s="266"/>
      <c r="B459" s="241"/>
      <c r="C459" s="255"/>
      <c r="D459" s="255"/>
      <c r="E459" s="252"/>
      <c r="F459" s="252"/>
      <c r="G459" s="255"/>
      <c r="H459" s="255"/>
      <c r="I459" s="52"/>
      <c r="J459" s="3">
        <f>SUM(J448:J457)-J458</f>
        <v>0</v>
      </c>
      <c r="K459" s="3">
        <f t="shared" ref="K459:AC459" si="228">SUM(K448:K457)-K458</f>
        <v>0</v>
      </c>
      <c r="L459" s="3">
        <f t="shared" si="228"/>
        <v>0</v>
      </c>
      <c r="M459" s="3">
        <f t="shared" si="228"/>
        <v>0</v>
      </c>
      <c r="N459" s="3">
        <f t="shared" si="228"/>
        <v>0</v>
      </c>
      <c r="O459" s="3">
        <f t="shared" si="228"/>
        <v>0</v>
      </c>
      <c r="P459" s="3">
        <f t="shared" si="228"/>
        <v>0</v>
      </c>
      <c r="Q459" s="3">
        <f t="shared" si="228"/>
        <v>0</v>
      </c>
      <c r="R459" s="3">
        <f t="shared" si="228"/>
        <v>0</v>
      </c>
      <c r="S459" s="3">
        <f t="shared" si="228"/>
        <v>0</v>
      </c>
      <c r="T459" s="3">
        <f t="shared" si="228"/>
        <v>0</v>
      </c>
      <c r="U459" s="3">
        <f t="shared" si="228"/>
        <v>0</v>
      </c>
      <c r="V459" s="3">
        <f t="shared" si="228"/>
        <v>0</v>
      </c>
      <c r="W459" s="3">
        <f t="shared" si="228"/>
        <v>0</v>
      </c>
      <c r="X459" s="3">
        <f t="shared" si="228"/>
        <v>0</v>
      </c>
      <c r="Y459" s="3">
        <f t="shared" si="228"/>
        <v>0</v>
      </c>
      <c r="Z459" s="3">
        <f t="shared" si="228"/>
        <v>0</v>
      </c>
      <c r="AA459" s="3">
        <f t="shared" si="228"/>
        <v>0</v>
      </c>
      <c r="AB459" s="3">
        <f t="shared" si="228"/>
        <v>0</v>
      </c>
      <c r="AC459" s="3">
        <f t="shared" si="228"/>
        <v>0</v>
      </c>
      <c r="AD459" s="3">
        <f>SUM(AD448:AD457)-AD458</f>
        <v>0</v>
      </c>
      <c r="AE459" s="3">
        <f>SUM(AE448:AE457)-AE458</f>
        <v>0</v>
      </c>
      <c r="AF459" s="3">
        <f>SUM(AF448:AF457)-AF458</f>
        <v>0</v>
      </c>
      <c r="AG459" s="3">
        <f t="shared" ref="AG459" si="229">SUM(AG448:AG457)-AG458</f>
        <v>0</v>
      </c>
      <c r="AH459" s="3">
        <f t="shared" ref="AH459" si="230">SUM(AH448:AH457)-AH458</f>
        <v>0</v>
      </c>
      <c r="AI459" s="3">
        <f>SUM(AI448:AI457)-AI458</f>
        <v>0</v>
      </c>
      <c r="AJ459" s="3">
        <f t="shared" ref="AJ459" si="231">SUM(AJ448:AJ457)-AJ458</f>
        <v>0</v>
      </c>
      <c r="AK459" s="3">
        <f>SUM(AK448:AK457)-AK458</f>
        <v>0</v>
      </c>
      <c r="AL459" s="3">
        <f t="shared" ref="AL459:AP459" si="232">SUM(AL448:AL457)-AL458</f>
        <v>0</v>
      </c>
      <c r="AM459" s="3">
        <f t="shared" si="232"/>
        <v>0</v>
      </c>
      <c r="AN459" s="3">
        <f t="shared" si="232"/>
        <v>0</v>
      </c>
      <c r="AO459" s="3">
        <f t="shared" si="232"/>
        <v>0</v>
      </c>
      <c r="AP459" s="3">
        <f t="shared" si="232"/>
        <v>0</v>
      </c>
      <c r="AQ459" s="3">
        <f t="shared" ref="AQ459:AT459" si="233">SUM(AQ448:AQ457)-AQ458</f>
        <v>0</v>
      </c>
      <c r="AR459" s="3">
        <f t="shared" si="233"/>
        <v>1883.87</v>
      </c>
      <c r="AS459" s="3">
        <f t="shared" si="233"/>
        <v>2282.8199999999997</v>
      </c>
      <c r="AT459" s="3">
        <f t="shared" si="233"/>
        <v>2409.23</v>
      </c>
      <c r="AU459" s="3">
        <f>SUM(AU448:AU457)-AU458</f>
        <v>2675.01</v>
      </c>
      <c r="AV459" s="3">
        <f t="shared" ref="AV459:AY459" si="234">SUM(AV448:AV457)-AV458</f>
        <v>2997.8500000000004</v>
      </c>
      <c r="AW459" s="3">
        <f t="shared" si="234"/>
        <v>2590.35</v>
      </c>
      <c r="AX459" s="3">
        <f t="shared" si="234"/>
        <v>2619.0199999999995</v>
      </c>
      <c r="AY459" s="3">
        <f t="shared" si="234"/>
        <v>2780</v>
      </c>
      <c r="AZ459" s="3">
        <f t="shared" ref="AZ459:BA459" si="235">SUM(AZ448:AZ457)-AZ458</f>
        <v>2940.5199999999995</v>
      </c>
      <c r="BA459" s="3">
        <f t="shared" si="235"/>
        <v>2941.54</v>
      </c>
      <c r="BB459" s="105">
        <f t="shared" ref="BB459:BD459" si="236">SUM(BB448:BB457)-BB458</f>
        <v>3042.2500000000005</v>
      </c>
      <c r="BC459" s="3">
        <f t="shared" si="236"/>
        <v>0</v>
      </c>
      <c r="BD459" s="3">
        <f t="shared" si="236"/>
        <v>0</v>
      </c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>
        <f>SUM(J459:BC459)</f>
        <v>29162.460000000003</v>
      </c>
      <c r="BY459" s="1"/>
      <c r="BZ459" s="1"/>
      <c r="CA459" s="1"/>
      <c r="CC459" s="6"/>
    </row>
    <row r="460" spans="1:81" ht="15.6" customHeight="1">
      <c r="A460" s="148" t="s">
        <v>346</v>
      </c>
      <c r="B460" s="148" t="s">
        <v>347</v>
      </c>
      <c r="C460" s="145" t="s">
        <v>310</v>
      </c>
      <c r="D460" s="145" t="s">
        <v>311</v>
      </c>
      <c r="E460" s="148" t="s">
        <v>312</v>
      </c>
      <c r="F460" s="148" t="s">
        <v>348</v>
      </c>
      <c r="G460" s="145" t="s">
        <v>314</v>
      </c>
      <c r="H460" s="145" t="s">
        <v>315</v>
      </c>
      <c r="I460" s="145" t="s">
        <v>349</v>
      </c>
      <c r="J460" s="146">
        <v>44105</v>
      </c>
      <c r="K460" s="146">
        <v>44136</v>
      </c>
      <c r="L460" s="146">
        <v>44166</v>
      </c>
      <c r="M460" s="146">
        <v>44197</v>
      </c>
      <c r="N460" s="146">
        <v>44228</v>
      </c>
      <c r="O460" s="146">
        <v>44256</v>
      </c>
      <c r="P460" s="146">
        <v>44287</v>
      </c>
      <c r="Q460" s="146">
        <v>44317</v>
      </c>
      <c r="R460" s="146">
        <v>44348</v>
      </c>
      <c r="S460" s="146">
        <v>44378</v>
      </c>
      <c r="T460" s="146">
        <v>44409</v>
      </c>
      <c r="U460" s="146">
        <v>44440</v>
      </c>
      <c r="V460" s="146">
        <v>44470</v>
      </c>
      <c r="W460" s="146">
        <v>44501</v>
      </c>
      <c r="X460" s="146">
        <v>44531</v>
      </c>
      <c r="Y460" s="146">
        <v>44562</v>
      </c>
      <c r="Z460" s="146">
        <v>44593</v>
      </c>
      <c r="AA460" s="146">
        <v>44621</v>
      </c>
      <c r="AB460" s="146">
        <v>44652</v>
      </c>
      <c r="AC460" s="146">
        <v>44682</v>
      </c>
      <c r="AD460" s="146">
        <v>44713</v>
      </c>
      <c r="AE460" s="146">
        <v>44743</v>
      </c>
      <c r="AF460" s="146">
        <v>44774</v>
      </c>
      <c r="AG460" s="146">
        <v>44805</v>
      </c>
      <c r="AH460" s="146">
        <v>44835</v>
      </c>
      <c r="AI460" s="146">
        <v>44866</v>
      </c>
      <c r="AJ460" s="146">
        <v>44896</v>
      </c>
      <c r="AK460" s="146">
        <v>44927</v>
      </c>
      <c r="AL460" s="146">
        <v>44958</v>
      </c>
      <c r="AM460" s="146">
        <v>44986</v>
      </c>
      <c r="AN460" s="146">
        <v>45017</v>
      </c>
      <c r="AO460" s="146">
        <v>45047</v>
      </c>
      <c r="AP460" s="146">
        <v>45078</v>
      </c>
      <c r="AQ460" s="146">
        <v>45108</v>
      </c>
      <c r="AR460" s="146">
        <v>45139</v>
      </c>
      <c r="AS460" s="146">
        <v>45170</v>
      </c>
      <c r="AT460" s="146">
        <v>45200</v>
      </c>
      <c r="AU460" s="146">
        <v>45231</v>
      </c>
      <c r="AV460" s="146">
        <v>45261</v>
      </c>
      <c r="AW460" s="146">
        <v>45292</v>
      </c>
      <c r="AX460" s="146">
        <v>45323</v>
      </c>
      <c r="AY460" s="146">
        <v>45352</v>
      </c>
      <c r="AZ460" s="146">
        <v>45383</v>
      </c>
      <c r="BA460" s="146">
        <v>45413</v>
      </c>
      <c r="BB460" s="146">
        <v>45444</v>
      </c>
      <c r="BC460" s="146">
        <v>45474</v>
      </c>
      <c r="BD460" s="146">
        <v>45505</v>
      </c>
      <c r="BE460" s="146">
        <v>45536</v>
      </c>
      <c r="BF460" s="146">
        <v>45566</v>
      </c>
      <c r="BG460" s="146">
        <v>45597</v>
      </c>
      <c r="BH460" s="146">
        <v>45627</v>
      </c>
      <c r="BI460" s="146">
        <v>45658</v>
      </c>
      <c r="BJ460" s="146">
        <v>45689</v>
      </c>
      <c r="BK460" s="146">
        <v>45717</v>
      </c>
      <c r="BL460" s="146"/>
      <c r="BM460" s="146"/>
      <c r="BN460" s="146"/>
      <c r="BO460" s="146"/>
      <c r="BP460" s="146"/>
      <c r="BQ460" s="146"/>
      <c r="BR460" s="146"/>
      <c r="BS460" s="146"/>
      <c r="BT460" s="146"/>
      <c r="BU460" s="146"/>
      <c r="BV460" s="146"/>
      <c r="BW460" s="146"/>
      <c r="BX460" s="147" t="s">
        <v>13</v>
      </c>
      <c r="BY460" s="5"/>
      <c r="BZ460" s="5"/>
      <c r="CA460" s="5"/>
    </row>
    <row r="461" spans="1:81" ht="15.75" customHeight="1">
      <c r="A461" s="264">
        <v>34</v>
      </c>
      <c r="B461" s="241" t="s">
        <v>35</v>
      </c>
      <c r="C461" s="253" t="s">
        <v>92</v>
      </c>
      <c r="D461" s="160"/>
      <c r="E461" s="250" t="s">
        <v>150</v>
      </c>
      <c r="F461" s="250" t="s">
        <v>150</v>
      </c>
      <c r="G461" s="256">
        <f>'CONSOLIDADO ATIVO INATIVO NOVO'!J44</f>
        <v>44228</v>
      </c>
      <c r="H461" s="256">
        <f>'CONSOLIDADO ATIVO INATIVO NOVO'!K44</f>
        <v>44603</v>
      </c>
      <c r="I461" s="21" t="s">
        <v>350</v>
      </c>
      <c r="J461" s="21"/>
      <c r="K461" s="21"/>
      <c r="L461" s="21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105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1"/>
      <c r="BZ461" s="1"/>
      <c r="CA461" s="1"/>
      <c r="CC461" s="6"/>
    </row>
    <row r="462" spans="1:81" ht="15.75" customHeight="1">
      <c r="A462" s="265"/>
      <c r="B462" s="241"/>
      <c r="C462" s="254"/>
      <c r="D462" s="161"/>
      <c r="E462" s="251"/>
      <c r="F462" s="251"/>
      <c r="G462" s="254"/>
      <c r="H462" s="254"/>
      <c r="I462" s="21" t="s">
        <v>351</v>
      </c>
      <c r="J462" s="21"/>
      <c r="K462" s="21"/>
      <c r="L462" s="21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>
        <v>1664.83</v>
      </c>
      <c r="AW462" s="3">
        <v>1849.81</v>
      </c>
      <c r="AX462" s="3">
        <v>1849.81</v>
      </c>
      <c r="AY462" s="3">
        <v>1849.81</v>
      </c>
      <c r="AZ462" s="3">
        <v>1949.81</v>
      </c>
      <c r="BA462" s="3">
        <v>1849.81</v>
      </c>
      <c r="BB462" s="105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1"/>
      <c r="BZ462" s="1"/>
      <c r="CA462" s="1"/>
      <c r="CC462" s="6"/>
    </row>
    <row r="463" spans="1:81" ht="15.75" customHeight="1">
      <c r="A463" s="265"/>
      <c r="B463" s="241"/>
      <c r="C463" s="254"/>
      <c r="D463" s="161"/>
      <c r="E463" s="251"/>
      <c r="F463" s="251"/>
      <c r="G463" s="254"/>
      <c r="H463" s="254"/>
      <c r="I463" s="21" t="s">
        <v>371</v>
      </c>
      <c r="J463" s="21"/>
      <c r="K463" s="21"/>
      <c r="L463" s="21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105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1"/>
      <c r="BZ463" s="1"/>
      <c r="CA463" s="1"/>
      <c r="CC463" s="6"/>
    </row>
    <row r="464" spans="1:81" ht="15.75" customHeight="1">
      <c r="A464" s="265"/>
      <c r="B464" s="241"/>
      <c r="C464" s="254"/>
      <c r="D464" s="161"/>
      <c r="E464" s="251"/>
      <c r="F464" s="251"/>
      <c r="G464" s="254"/>
      <c r="H464" s="254"/>
      <c r="I464" s="21" t="s">
        <v>353</v>
      </c>
      <c r="J464" s="21"/>
      <c r="K464" s="21"/>
      <c r="L464" s="21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105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1"/>
      <c r="BZ464" s="1"/>
      <c r="CA464" s="1"/>
      <c r="CC464" s="6"/>
    </row>
    <row r="465" spans="1:81" ht="15.75" customHeight="1">
      <c r="A465" s="265"/>
      <c r="B465" s="241"/>
      <c r="C465" s="254"/>
      <c r="D465" s="161"/>
      <c r="E465" s="251"/>
      <c r="F465" s="251"/>
      <c r="G465" s="254"/>
      <c r="H465" s="254"/>
      <c r="I465" s="21" t="s">
        <v>354</v>
      </c>
      <c r="J465" s="21"/>
      <c r="K465" s="21"/>
      <c r="L465" s="21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105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1"/>
      <c r="BZ465" s="1"/>
      <c r="CA465" s="1"/>
      <c r="CC465" s="6"/>
    </row>
    <row r="466" spans="1:81" ht="15.75" customHeight="1">
      <c r="A466" s="265"/>
      <c r="B466" s="241"/>
      <c r="C466" s="254"/>
      <c r="D466" s="161" t="s">
        <v>89</v>
      </c>
      <c r="E466" s="251"/>
      <c r="F466" s="251"/>
      <c r="G466" s="254"/>
      <c r="H466" s="254"/>
      <c r="I466" s="21" t="s">
        <v>355</v>
      </c>
      <c r="J466" s="21"/>
      <c r="K466" s="21"/>
      <c r="L466" s="21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105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1"/>
      <c r="BZ466" s="1"/>
      <c r="CA466" s="1"/>
      <c r="CC466" s="6"/>
    </row>
    <row r="467" spans="1:81" ht="15.75" customHeight="1">
      <c r="A467" s="265"/>
      <c r="B467" s="241"/>
      <c r="C467" s="254"/>
      <c r="D467" s="161"/>
      <c r="E467" s="251"/>
      <c r="F467" s="251"/>
      <c r="G467" s="254"/>
      <c r="H467" s="254"/>
      <c r="I467" s="21" t="s">
        <v>356</v>
      </c>
      <c r="J467" s="21"/>
      <c r="K467" s="21"/>
      <c r="L467" s="21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105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1"/>
      <c r="BZ467" s="1"/>
      <c r="CA467" s="1"/>
      <c r="CC467" s="6"/>
    </row>
    <row r="468" spans="1:81" ht="15.75" customHeight="1">
      <c r="A468" s="265"/>
      <c r="B468" s="241"/>
      <c r="C468" s="254"/>
      <c r="D468" s="161"/>
      <c r="E468" s="251"/>
      <c r="F468" s="251"/>
      <c r="G468" s="254"/>
      <c r="H468" s="254"/>
      <c r="I468" s="21" t="s">
        <v>357</v>
      </c>
      <c r="J468" s="21"/>
      <c r="K468" s="21"/>
      <c r="L468" s="21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>
        <f>440.44+1.5</f>
        <v>441.94</v>
      </c>
      <c r="AW468" s="3">
        <v>497.41</v>
      </c>
      <c r="AX468" s="3">
        <v>472.11</v>
      </c>
      <c r="AY468" s="3">
        <v>484.51</v>
      </c>
      <c r="AZ468" s="3">
        <v>490.01</v>
      </c>
      <c r="BA468" s="3">
        <v>491.02</v>
      </c>
      <c r="BB468" s="105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1"/>
      <c r="BZ468" s="1"/>
      <c r="CA468" s="1"/>
      <c r="CC468" s="6"/>
    </row>
    <row r="469" spans="1:81" ht="15.75" customHeight="1">
      <c r="A469" s="265"/>
      <c r="B469" s="241"/>
      <c r="C469" s="254"/>
      <c r="D469" s="161"/>
      <c r="E469" s="251"/>
      <c r="F469" s="251"/>
      <c r="G469" s="254"/>
      <c r="H469" s="254"/>
      <c r="I469" s="23" t="s">
        <v>362</v>
      </c>
      <c r="J469" s="23"/>
      <c r="K469" s="23"/>
      <c r="L469" s="2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105">
        <v>5368.2</v>
      </c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1"/>
      <c r="BZ469" s="1"/>
      <c r="CA469" s="1"/>
      <c r="CC469" s="6"/>
    </row>
    <row r="470" spans="1:81" ht="15.75" customHeight="1">
      <c r="A470" s="265"/>
      <c r="B470" s="241"/>
      <c r="C470" s="254"/>
      <c r="D470" s="161"/>
      <c r="E470" s="251"/>
      <c r="F470" s="251"/>
      <c r="G470" s="254"/>
      <c r="H470" s="254"/>
      <c r="I470" s="22" t="s">
        <v>363</v>
      </c>
      <c r="J470" s="22"/>
      <c r="K470" s="22"/>
      <c r="L470" s="2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>
        <v>154.15</v>
      </c>
      <c r="AW470" s="3"/>
      <c r="AX470" s="3"/>
      <c r="AY470" s="3"/>
      <c r="AZ470" s="3"/>
      <c r="BA470" s="3"/>
      <c r="BB470" s="105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1"/>
      <c r="BZ470" s="1"/>
      <c r="CA470" s="1"/>
      <c r="CC470" s="6"/>
    </row>
    <row r="471" spans="1:81" ht="15.75" customHeight="1">
      <c r="A471" s="265"/>
      <c r="B471" s="241"/>
      <c r="C471" s="254"/>
      <c r="D471" s="161"/>
      <c r="E471" s="251"/>
      <c r="F471" s="251"/>
      <c r="G471" s="254"/>
      <c r="H471" s="254"/>
      <c r="I471" s="44" t="s">
        <v>364</v>
      </c>
      <c r="J471" s="44"/>
      <c r="K471" s="44"/>
      <c r="L471" s="4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>
        <v>130.03</v>
      </c>
      <c r="AW471" s="3">
        <v>173.05</v>
      </c>
      <c r="AX471" s="3">
        <v>145.97999999999999</v>
      </c>
      <c r="AY471" s="3">
        <v>173.05</v>
      </c>
      <c r="AZ471" s="3">
        <v>145.30000000000001</v>
      </c>
      <c r="BA471" s="3">
        <v>145.30000000000001</v>
      </c>
      <c r="BB471" s="105">
        <v>390.47</v>
      </c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1"/>
      <c r="BZ471" s="1"/>
      <c r="CA471" s="1"/>
      <c r="CC471" s="6"/>
    </row>
    <row r="472" spans="1:81" ht="15.75" customHeight="1">
      <c r="A472" s="266"/>
      <c r="B472" s="241"/>
      <c r="C472" s="255"/>
      <c r="D472" s="144"/>
      <c r="E472" s="252"/>
      <c r="F472" s="252"/>
      <c r="G472" s="255"/>
      <c r="H472" s="255"/>
      <c r="I472" s="52"/>
      <c r="J472" s="3">
        <f>SUM(J461:J470)-J471</f>
        <v>0</v>
      </c>
      <c r="K472" s="3">
        <f t="shared" ref="K472:AC472" si="237">SUM(K461:K470)-K471</f>
        <v>0</v>
      </c>
      <c r="L472" s="3">
        <f t="shared" si="237"/>
        <v>0</v>
      </c>
      <c r="M472" s="3">
        <f t="shared" si="237"/>
        <v>0</v>
      </c>
      <c r="N472" s="3">
        <f t="shared" si="237"/>
        <v>0</v>
      </c>
      <c r="O472" s="3">
        <f t="shared" si="237"/>
        <v>0</v>
      </c>
      <c r="P472" s="3">
        <f t="shared" si="237"/>
        <v>0</v>
      </c>
      <c r="Q472" s="3">
        <f t="shared" si="237"/>
        <v>0</v>
      </c>
      <c r="R472" s="3">
        <f t="shared" si="237"/>
        <v>0</v>
      </c>
      <c r="S472" s="3">
        <f t="shared" si="237"/>
        <v>0</v>
      </c>
      <c r="T472" s="3">
        <f t="shared" si="237"/>
        <v>0</v>
      </c>
      <c r="U472" s="3">
        <f t="shared" si="237"/>
        <v>0</v>
      </c>
      <c r="V472" s="3">
        <f t="shared" si="237"/>
        <v>0</v>
      </c>
      <c r="W472" s="3">
        <f t="shared" si="237"/>
        <v>0</v>
      </c>
      <c r="X472" s="3">
        <f t="shared" si="237"/>
        <v>0</v>
      </c>
      <c r="Y472" s="3">
        <f t="shared" si="237"/>
        <v>0</v>
      </c>
      <c r="Z472" s="3">
        <f t="shared" si="237"/>
        <v>0</v>
      </c>
      <c r="AA472" s="3">
        <f t="shared" si="237"/>
        <v>0</v>
      </c>
      <c r="AB472" s="3">
        <f t="shared" si="237"/>
        <v>0</v>
      </c>
      <c r="AC472" s="3">
        <f t="shared" si="237"/>
        <v>0</v>
      </c>
      <c r="AD472" s="3">
        <f>SUM(AD461:AD470)-AD471</f>
        <v>0</v>
      </c>
      <c r="AE472" s="3">
        <f>SUM(AE461:AE470)-AE471</f>
        <v>0</v>
      </c>
      <c r="AF472" s="3">
        <f>SUM(AF461:AF470)-AF471</f>
        <v>0</v>
      </c>
      <c r="AG472" s="3">
        <f t="shared" ref="AG472" si="238">SUM(AG461:AG470)-AG471</f>
        <v>0</v>
      </c>
      <c r="AH472" s="3">
        <f>SUM(AH461:AH470)-AH471</f>
        <v>0</v>
      </c>
      <c r="AI472" s="3">
        <f>SUM(AI461:AI470)-AI471</f>
        <v>0</v>
      </c>
      <c r="AJ472" s="3">
        <f t="shared" ref="AJ472:AP472" si="239">SUM(AJ461:AJ470)-AJ471</f>
        <v>0</v>
      </c>
      <c r="AK472" s="3">
        <f t="shared" si="239"/>
        <v>0</v>
      </c>
      <c r="AL472" s="3">
        <f t="shared" si="239"/>
        <v>0</v>
      </c>
      <c r="AM472" s="3">
        <f t="shared" si="239"/>
        <v>0</v>
      </c>
      <c r="AN472" s="3">
        <f t="shared" si="239"/>
        <v>0</v>
      </c>
      <c r="AO472" s="3">
        <f t="shared" si="239"/>
        <v>0</v>
      </c>
      <c r="AP472" s="3">
        <f t="shared" si="239"/>
        <v>0</v>
      </c>
      <c r="AQ472" s="3">
        <f t="shared" ref="AQ472:AT472" si="240">SUM(AQ461:AQ470)-AQ471</f>
        <v>0</v>
      </c>
      <c r="AR472" s="3">
        <f t="shared" si="240"/>
        <v>0</v>
      </c>
      <c r="AS472" s="3">
        <f t="shared" si="240"/>
        <v>0</v>
      </c>
      <c r="AT472" s="3">
        <f t="shared" si="240"/>
        <v>0</v>
      </c>
      <c r="AU472" s="3">
        <f>SUM(AU461:AU470)-AU471</f>
        <v>0</v>
      </c>
      <c r="AV472" s="3">
        <f t="shared" ref="AV472:AY472" si="241">SUM(AV461:AV470)-AV471</f>
        <v>2130.89</v>
      </c>
      <c r="AW472" s="3">
        <f t="shared" si="241"/>
        <v>2174.1699999999996</v>
      </c>
      <c r="AX472" s="3">
        <f t="shared" si="241"/>
        <v>2175.94</v>
      </c>
      <c r="AY472" s="3">
        <f t="shared" si="241"/>
        <v>2161.2699999999995</v>
      </c>
      <c r="AZ472" s="3">
        <f t="shared" ref="AZ472:BA472" si="242">SUM(AZ461:AZ470)-AZ471</f>
        <v>2294.5199999999995</v>
      </c>
      <c r="BA472" s="3">
        <f t="shared" si="242"/>
        <v>2195.5299999999997</v>
      </c>
      <c r="BB472" s="105">
        <f t="shared" ref="BB472:BD472" si="243">SUM(BB461:BB470)-BB471</f>
        <v>4977.7299999999996</v>
      </c>
      <c r="BC472" s="3">
        <f t="shared" si="243"/>
        <v>0</v>
      </c>
      <c r="BD472" s="3">
        <f t="shared" si="243"/>
        <v>0</v>
      </c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>
        <f>SUM(J472:BC472)</f>
        <v>18110.05</v>
      </c>
      <c r="BY472" s="1"/>
      <c r="BZ472" s="1"/>
      <c r="CA472" s="1"/>
      <c r="CC472" s="6"/>
    </row>
    <row r="473" spans="1:81" ht="15.6" customHeight="1">
      <c r="A473" s="148" t="s">
        <v>346</v>
      </c>
      <c r="B473" s="148" t="s">
        <v>347</v>
      </c>
      <c r="C473" s="145" t="s">
        <v>310</v>
      </c>
      <c r="D473" s="145" t="s">
        <v>311</v>
      </c>
      <c r="E473" s="148" t="s">
        <v>312</v>
      </c>
      <c r="F473" s="148" t="s">
        <v>348</v>
      </c>
      <c r="G473" s="145" t="s">
        <v>314</v>
      </c>
      <c r="H473" s="145" t="s">
        <v>315</v>
      </c>
      <c r="I473" s="145" t="s">
        <v>349</v>
      </c>
      <c r="J473" s="146">
        <v>44105</v>
      </c>
      <c r="K473" s="146">
        <v>44136</v>
      </c>
      <c r="L473" s="146">
        <v>44166</v>
      </c>
      <c r="M473" s="146">
        <v>44197</v>
      </c>
      <c r="N473" s="146">
        <v>44228</v>
      </c>
      <c r="O473" s="146">
        <v>44256</v>
      </c>
      <c r="P473" s="146">
        <v>44287</v>
      </c>
      <c r="Q473" s="146">
        <v>44317</v>
      </c>
      <c r="R473" s="146">
        <v>44348</v>
      </c>
      <c r="S473" s="146">
        <v>44378</v>
      </c>
      <c r="T473" s="146">
        <v>44409</v>
      </c>
      <c r="U473" s="146">
        <v>44440</v>
      </c>
      <c r="V473" s="146">
        <v>44470</v>
      </c>
      <c r="W473" s="146">
        <v>44501</v>
      </c>
      <c r="X473" s="146">
        <v>44531</v>
      </c>
      <c r="Y473" s="146">
        <v>44562</v>
      </c>
      <c r="Z473" s="146">
        <v>44593</v>
      </c>
      <c r="AA473" s="146">
        <v>44621</v>
      </c>
      <c r="AB473" s="146">
        <v>44652</v>
      </c>
      <c r="AC473" s="146">
        <v>44682</v>
      </c>
      <c r="AD473" s="146">
        <v>44713</v>
      </c>
      <c r="AE473" s="146">
        <v>44743</v>
      </c>
      <c r="AF473" s="146">
        <v>44774</v>
      </c>
      <c r="AG473" s="146">
        <v>44805</v>
      </c>
      <c r="AH473" s="146">
        <v>44835</v>
      </c>
      <c r="AI473" s="146">
        <v>44866</v>
      </c>
      <c r="AJ473" s="146">
        <v>44896</v>
      </c>
      <c r="AK473" s="146">
        <v>44927</v>
      </c>
      <c r="AL473" s="146">
        <v>44958</v>
      </c>
      <c r="AM473" s="146">
        <v>44986</v>
      </c>
      <c r="AN473" s="146">
        <v>45017</v>
      </c>
      <c r="AO473" s="146">
        <v>45047</v>
      </c>
      <c r="AP473" s="146">
        <v>45078</v>
      </c>
      <c r="AQ473" s="146">
        <v>45108</v>
      </c>
      <c r="AR473" s="146">
        <v>45139</v>
      </c>
      <c r="AS473" s="146">
        <v>45170</v>
      </c>
      <c r="AT473" s="146">
        <v>45200</v>
      </c>
      <c r="AU473" s="146">
        <v>45231</v>
      </c>
      <c r="AV473" s="146">
        <v>45261</v>
      </c>
      <c r="AW473" s="146">
        <v>45292</v>
      </c>
      <c r="AX473" s="146">
        <v>45323</v>
      </c>
      <c r="AY473" s="146">
        <v>45352</v>
      </c>
      <c r="AZ473" s="146">
        <v>45383</v>
      </c>
      <c r="BA473" s="146">
        <v>45413</v>
      </c>
      <c r="BB473" s="146">
        <v>45444</v>
      </c>
      <c r="BC473" s="146">
        <v>45474</v>
      </c>
      <c r="BD473" s="146">
        <v>45505</v>
      </c>
      <c r="BE473" s="146">
        <v>45536</v>
      </c>
      <c r="BF473" s="146">
        <v>45566</v>
      </c>
      <c r="BG473" s="146">
        <v>45597</v>
      </c>
      <c r="BH473" s="146">
        <v>45627</v>
      </c>
      <c r="BI473" s="146">
        <v>45658</v>
      </c>
      <c r="BJ473" s="146">
        <v>45689</v>
      </c>
      <c r="BK473" s="146">
        <v>45717</v>
      </c>
      <c r="BL473" s="146"/>
      <c r="BM473" s="146"/>
      <c r="BN473" s="146"/>
      <c r="BO473" s="146"/>
      <c r="BP473" s="146"/>
      <c r="BQ473" s="146"/>
      <c r="BR473" s="146"/>
      <c r="BS473" s="146"/>
      <c r="BT473" s="146"/>
      <c r="BU473" s="146"/>
      <c r="BV473" s="146"/>
      <c r="BW473" s="146"/>
      <c r="BX473" s="147" t="s">
        <v>13</v>
      </c>
      <c r="BY473" s="5"/>
      <c r="BZ473" s="5"/>
      <c r="CA473" s="5"/>
    </row>
    <row r="474" spans="1:81" ht="15.75" customHeight="1">
      <c r="A474" s="264">
        <v>35</v>
      </c>
      <c r="B474" s="241" t="s">
        <v>384</v>
      </c>
      <c r="C474" s="253" t="s">
        <v>92</v>
      </c>
      <c r="D474" s="142"/>
      <c r="E474" s="250" t="s">
        <v>150</v>
      </c>
      <c r="F474" s="250" t="s">
        <v>150</v>
      </c>
      <c r="G474" s="256">
        <f>'CONSOLIDADO ATIVO INATIVO NOVO'!J45</f>
        <v>45604</v>
      </c>
      <c r="H474" s="256">
        <f>'CONSOLIDADO ATIVO INATIVO NOVO'!K45</f>
        <v>0</v>
      </c>
      <c r="I474" s="21" t="s">
        <v>350</v>
      </c>
      <c r="J474" s="21"/>
      <c r="K474" s="21"/>
      <c r="L474" s="21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105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1"/>
      <c r="BZ474" s="1"/>
      <c r="CA474" s="1"/>
      <c r="CC474" s="6"/>
    </row>
    <row r="475" spans="1:81" ht="15.75" customHeight="1">
      <c r="A475" s="265"/>
      <c r="B475" s="241"/>
      <c r="C475" s="254"/>
      <c r="D475" s="143"/>
      <c r="E475" s="251"/>
      <c r="F475" s="251"/>
      <c r="G475" s="254"/>
      <c r="H475" s="254"/>
      <c r="I475" s="21" t="s">
        <v>351</v>
      </c>
      <c r="J475" s="21"/>
      <c r="K475" s="21"/>
      <c r="L475" s="21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1315.5</v>
      </c>
      <c r="AF475" s="3">
        <v>1461.67</v>
      </c>
      <c r="AG475" s="3">
        <v>1800.77</v>
      </c>
      <c r="AH475" s="3">
        <v>1708.83</v>
      </c>
      <c r="AI475" s="3">
        <v>1708.83</v>
      </c>
      <c r="AJ475" s="3">
        <v>1708.83</v>
      </c>
      <c r="AK475" s="3">
        <v>1768.65</v>
      </c>
      <c r="AL475" s="3">
        <v>1768.65</v>
      </c>
      <c r="AM475" s="3">
        <v>1708.83</v>
      </c>
      <c r="AN475" s="3">
        <v>1768.65</v>
      </c>
      <c r="AO475" s="3">
        <v>1768.65</v>
      </c>
      <c r="AP475" s="3">
        <f>1708.83+59.82</f>
        <v>1768.6499999999999</v>
      </c>
      <c r="AQ475" s="3">
        <f>1708.83+59.82</f>
        <v>1768.6499999999999</v>
      </c>
      <c r="AR475" s="3">
        <v>1768.65</v>
      </c>
      <c r="AS475" s="3">
        <v>1879.71</v>
      </c>
      <c r="AT475" s="3">
        <v>1849.81</v>
      </c>
      <c r="AU475" s="3"/>
      <c r="AV475" s="3"/>
      <c r="AW475" s="3"/>
      <c r="AX475" s="3"/>
      <c r="AY475" s="3"/>
      <c r="AZ475" s="3"/>
      <c r="BA475" s="3"/>
      <c r="BB475" s="105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1"/>
      <c r="BZ475" s="1"/>
      <c r="CA475" s="1"/>
      <c r="CC475" s="6"/>
    </row>
    <row r="476" spans="1:81" ht="15.75" customHeight="1">
      <c r="A476" s="265"/>
      <c r="B476" s="241"/>
      <c r="C476" s="254"/>
      <c r="D476" s="143"/>
      <c r="E476" s="251"/>
      <c r="F476" s="251"/>
      <c r="G476" s="254"/>
      <c r="H476" s="254"/>
      <c r="I476" s="21" t="s">
        <v>371</v>
      </c>
      <c r="J476" s="21"/>
      <c r="K476" s="21"/>
      <c r="L476" s="21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>
        <v>130</v>
      </c>
      <c r="AS476" s="3"/>
      <c r="AT476" s="3"/>
      <c r="AU476" s="3"/>
      <c r="AV476" s="3"/>
      <c r="AW476" s="3"/>
      <c r="AX476" s="3"/>
      <c r="AY476" s="3"/>
      <c r="AZ476" s="3"/>
      <c r="BA476" s="3"/>
      <c r="BB476" s="105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1"/>
      <c r="BZ476" s="1"/>
      <c r="CA476" s="1"/>
      <c r="CC476" s="6"/>
    </row>
    <row r="477" spans="1:81" ht="15.75" customHeight="1">
      <c r="A477" s="265"/>
      <c r="B477" s="241"/>
      <c r="C477" s="254"/>
      <c r="D477" s="143"/>
      <c r="E477" s="251"/>
      <c r="F477" s="251"/>
      <c r="G477" s="254"/>
      <c r="H477" s="254"/>
      <c r="I477" s="21" t="s">
        <v>353</v>
      </c>
      <c r="J477" s="21"/>
      <c r="K477" s="21"/>
      <c r="L477" s="21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>
        <f>21.64+86.57</f>
        <v>108.21</v>
      </c>
      <c r="AI477" s="3"/>
      <c r="AJ477" s="3"/>
      <c r="AK477" s="3"/>
      <c r="AL477" s="3">
        <f>18.37+119.42</f>
        <v>137.79</v>
      </c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105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1"/>
      <c r="BZ477" s="1"/>
      <c r="CA477" s="1"/>
      <c r="CC477" s="6"/>
    </row>
    <row r="478" spans="1:81" ht="15.75" customHeight="1">
      <c r="A478" s="265"/>
      <c r="B478" s="241"/>
      <c r="C478" s="254"/>
      <c r="D478" s="143"/>
      <c r="E478" s="251"/>
      <c r="F478" s="251"/>
      <c r="G478" s="254"/>
      <c r="H478" s="254"/>
      <c r="I478" s="21" t="s">
        <v>354</v>
      </c>
      <c r="J478" s="21"/>
      <c r="K478" s="21"/>
      <c r="L478" s="21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105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1"/>
      <c r="BZ478" s="1"/>
      <c r="CA478" s="1"/>
      <c r="CC478" s="6"/>
    </row>
    <row r="479" spans="1:81" ht="15.75" customHeight="1">
      <c r="A479" s="265"/>
      <c r="B479" s="241"/>
      <c r="C479" s="254"/>
      <c r="D479" s="143" t="s">
        <v>89</v>
      </c>
      <c r="E479" s="251"/>
      <c r="F479" s="251"/>
      <c r="G479" s="254"/>
      <c r="H479" s="254"/>
      <c r="I479" s="21" t="s">
        <v>355</v>
      </c>
      <c r="J479" s="21"/>
      <c r="K479" s="21"/>
      <c r="L479" s="21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105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1"/>
      <c r="BZ479" s="1"/>
      <c r="CA479" s="1"/>
      <c r="CC479" s="6"/>
    </row>
    <row r="480" spans="1:81" ht="15.75" customHeight="1">
      <c r="A480" s="265"/>
      <c r="B480" s="241"/>
      <c r="C480" s="254"/>
      <c r="D480" s="143"/>
      <c r="E480" s="251"/>
      <c r="F480" s="251"/>
      <c r="G480" s="254"/>
      <c r="H480" s="254"/>
      <c r="I480" s="21" t="s">
        <v>356</v>
      </c>
      <c r="J480" s="21"/>
      <c r="K480" s="21"/>
      <c r="L480" s="21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105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1"/>
      <c r="BZ480" s="1"/>
      <c r="CA480" s="1"/>
      <c r="CC480" s="6"/>
    </row>
    <row r="481" spans="1:81" ht="15.75" customHeight="1">
      <c r="A481" s="265"/>
      <c r="B481" s="241"/>
      <c r="C481" s="254"/>
      <c r="D481" s="143"/>
      <c r="E481" s="251"/>
      <c r="F481" s="251"/>
      <c r="G481" s="254"/>
      <c r="H481" s="254"/>
      <c r="I481" s="21" t="s">
        <v>357</v>
      </c>
      <c r="J481" s="21"/>
      <c r="K481" s="21"/>
      <c r="L481" s="21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500.4</v>
      </c>
      <c r="AF481" s="3">
        <v>339.76</v>
      </c>
      <c r="AG481" s="3">
        <v>415.28</v>
      </c>
      <c r="AH481" s="3">
        <v>416.13</v>
      </c>
      <c r="AI481" s="3">
        <v>428.68</v>
      </c>
      <c r="AJ481" s="3">
        <v>441.88</v>
      </c>
      <c r="AK481" s="3">
        <v>411.18</v>
      </c>
      <c r="AL481" s="3">
        <v>440.1</v>
      </c>
      <c r="AM481" s="3">
        <v>449.68</v>
      </c>
      <c r="AN481" s="3">
        <v>411.28</v>
      </c>
      <c r="AO481" s="3">
        <v>440.18</v>
      </c>
      <c r="AP481" s="3">
        <v>411.18</v>
      </c>
      <c r="AQ481" s="3">
        <v>440.1</v>
      </c>
      <c r="AR481" s="3">
        <v>449.72</v>
      </c>
      <c r="AS481" s="3">
        <v>421.58</v>
      </c>
      <c r="AT481" s="3">
        <v>420.21</v>
      </c>
      <c r="AU481" s="3"/>
      <c r="AV481" s="3"/>
      <c r="AW481" s="3"/>
      <c r="AX481" s="3"/>
      <c r="AY481" s="3"/>
      <c r="AZ481" s="3"/>
      <c r="BA481" s="3"/>
      <c r="BB481" s="105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1"/>
      <c r="BZ481" s="1"/>
      <c r="CA481" s="1"/>
      <c r="CC481" s="6"/>
    </row>
    <row r="482" spans="1:81" ht="15.75" customHeight="1">
      <c r="A482" s="265"/>
      <c r="B482" s="241"/>
      <c r="C482" s="254"/>
      <c r="D482" s="143"/>
      <c r="E482" s="251"/>
      <c r="F482" s="251"/>
      <c r="G482" s="254"/>
      <c r="H482" s="254"/>
      <c r="I482" s="23" t="s">
        <v>362</v>
      </c>
      <c r="J482" s="23"/>
      <c r="K482" s="23"/>
      <c r="L482" s="2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>
        <v>4412.84</v>
      </c>
      <c r="AU482" s="3"/>
      <c r="AV482" s="3"/>
      <c r="AW482" s="3"/>
      <c r="AX482" s="3"/>
      <c r="AY482" s="3"/>
      <c r="AZ482" s="3"/>
      <c r="BA482" s="3"/>
      <c r="BB482" s="105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1"/>
      <c r="BZ482" s="1"/>
      <c r="CA482" s="1"/>
      <c r="CC482" s="6"/>
    </row>
    <row r="483" spans="1:81" ht="15.75" customHeight="1">
      <c r="A483" s="265"/>
      <c r="B483" s="241"/>
      <c r="C483" s="254"/>
      <c r="D483" s="143"/>
      <c r="E483" s="251"/>
      <c r="F483" s="251"/>
      <c r="G483" s="254"/>
      <c r="H483" s="254"/>
      <c r="I483" s="22" t="s">
        <v>363</v>
      </c>
      <c r="J483" s="22"/>
      <c r="K483" s="22"/>
      <c r="L483" s="2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>
        <v>356.01</v>
      </c>
      <c r="AJ483" s="3">
        <v>434.33</v>
      </c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105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1"/>
      <c r="BZ483" s="1"/>
      <c r="CA483" s="1"/>
      <c r="CC483" s="6"/>
    </row>
    <row r="484" spans="1:81" ht="15.75" customHeight="1">
      <c r="A484" s="265"/>
      <c r="B484" s="241"/>
      <c r="C484" s="254"/>
      <c r="D484" s="143"/>
      <c r="E484" s="251"/>
      <c r="F484" s="251"/>
      <c r="G484" s="254"/>
      <c r="H484" s="254"/>
      <c r="I484" s="44" t="s">
        <v>364</v>
      </c>
      <c r="J484" s="44"/>
      <c r="K484" s="44"/>
      <c r="L484" s="4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100.21</v>
      </c>
      <c r="AF484" s="3">
        <v>113.37</v>
      </c>
      <c r="AG484" s="3">
        <v>143.88</v>
      </c>
      <c r="AH484" s="3">
        <v>145.35</v>
      </c>
      <c r="AI484" s="3">
        <v>135.61000000000001</v>
      </c>
      <c r="AJ484" s="3">
        <v>135.61000000000001</v>
      </c>
      <c r="AK484" s="3">
        <v>133.99</v>
      </c>
      <c r="AL484" s="3">
        <v>146.66</v>
      </c>
      <c r="AM484" s="3">
        <v>134.26</v>
      </c>
      <c r="AN484" s="3">
        <v>134.26</v>
      </c>
      <c r="AO484" s="3">
        <v>133.99</v>
      </c>
      <c r="AP484" s="3">
        <v>133.99</v>
      </c>
      <c r="AQ484" s="3">
        <v>133.99</v>
      </c>
      <c r="AR484" s="3">
        <v>133.99</v>
      </c>
      <c r="AS484" s="3">
        <f>149.37+130</f>
        <v>279.37</v>
      </c>
      <c r="AT484" s="3">
        <v>146.68</v>
      </c>
      <c r="AU484" s="3"/>
      <c r="AV484" s="3"/>
      <c r="AW484" s="3"/>
      <c r="AX484" s="3"/>
      <c r="AY484" s="3"/>
      <c r="AZ484" s="3"/>
      <c r="BA484" s="3"/>
      <c r="BB484" s="105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1"/>
      <c r="BZ484" s="1"/>
      <c r="CA484" s="1"/>
      <c r="CC484" s="6"/>
    </row>
    <row r="485" spans="1:81" ht="15.75" customHeight="1">
      <c r="A485" s="266"/>
      <c r="B485" s="241"/>
      <c r="C485" s="255"/>
      <c r="D485" s="144"/>
      <c r="E485" s="252"/>
      <c r="F485" s="252"/>
      <c r="G485" s="255"/>
      <c r="H485" s="255"/>
      <c r="I485" s="52"/>
      <c r="J485" s="3">
        <f>SUM(J474:J483)-J484</f>
        <v>0</v>
      </c>
      <c r="K485" s="3">
        <f t="shared" ref="K485:AC485" si="244">SUM(K474:K483)-K484</f>
        <v>0</v>
      </c>
      <c r="L485" s="3">
        <f t="shared" si="244"/>
        <v>0</v>
      </c>
      <c r="M485" s="3">
        <f t="shared" si="244"/>
        <v>0</v>
      </c>
      <c r="N485" s="3">
        <f t="shared" si="244"/>
        <v>0</v>
      </c>
      <c r="O485" s="3">
        <f t="shared" si="244"/>
        <v>0</v>
      </c>
      <c r="P485" s="3">
        <f t="shared" si="244"/>
        <v>0</v>
      </c>
      <c r="Q485" s="3">
        <f t="shared" si="244"/>
        <v>0</v>
      </c>
      <c r="R485" s="3">
        <f t="shared" si="244"/>
        <v>0</v>
      </c>
      <c r="S485" s="3">
        <f t="shared" si="244"/>
        <v>0</v>
      </c>
      <c r="T485" s="3">
        <f t="shared" si="244"/>
        <v>0</v>
      </c>
      <c r="U485" s="3">
        <f t="shared" si="244"/>
        <v>0</v>
      </c>
      <c r="V485" s="3">
        <f t="shared" si="244"/>
        <v>0</v>
      </c>
      <c r="W485" s="3">
        <f t="shared" si="244"/>
        <v>0</v>
      </c>
      <c r="X485" s="3">
        <f t="shared" si="244"/>
        <v>0</v>
      </c>
      <c r="Y485" s="3">
        <f t="shared" si="244"/>
        <v>0</v>
      </c>
      <c r="Z485" s="3">
        <f t="shared" si="244"/>
        <v>0</v>
      </c>
      <c r="AA485" s="3">
        <f t="shared" si="244"/>
        <v>0</v>
      </c>
      <c r="AB485" s="3">
        <f t="shared" si="244"/>
        <v>0</v>
      </c>
      <c r="AC485" s="3">
        <f t="shared" si="244"/>
        <v>0</v>
      </c>
      <c r="AD485" s="3">
        <f>SUM(AD474:AD483)-AD484</f>
        <v>0</v>
      </c>
      <c r="AE485" s="3">
        <f>SUM(AE474:AE483)-AE484</f>
        <v>1715.69</v>
      </c>
      <c r="AF485" s="3">
        <f>SUM(AF474:AF483)-AF484</f>
        <v>1688.06</v>
      </c>
      <c r="AG485" s="3">
        <f t="shared" ref="AG485" si="245">SUM(AG474:AG483)-AG484</f>
        <v>2072.17</v>
      </c>
      <c r="AH485" s="3">
        <f>SUM(AH474:AH483)-AH484</f>
        <v>2087.8200000000002</v>
      </c>
      <c r="AI485" s="3">
        <f>SUM(AI474:AI483)-AI484</f>
        <v>2357.9099999999994</v>
      </c>
      <c r="AJ485" s="3">
        <f t="shared" ref="AJ485:AP485" si="246">SUM(AJ474:AJ483)-AJ484</f>
        <v>2449.4299999999998</v>
      </c>
      <c r="AK485" s="3">
        <f t="shared" si="246"/>
        <v>2045.84</v>
      </c>
      <c r="AL485" s="3">
        <f t="shared" si="246"/>
        <v>2199.88</v>
      </c>
      <c r="AM485" s="3">
        <f t="shared" si="246"/>
        <v>2024.2499999999998</v>
      </c>
      <c r="AN485" s="3">
        <f t="shared" si="246"/>
        <v>2045.6700000000003</v>
      </c>
      <c r="AO485" s="3">
        <f t="shared" si="246"/>
        <v>2074.84</v>
      </c>
      <c r="AP485" s="3">
        <f t="shared" si="246"/>
        <v>2045.84</v>
      </c>
      <c r="AQ485" s="3">
        <f t="shared" ref="AQ485:AS485" si="247">SUM(AQ474:AQ483)-AQ484</f>
        <v>2074.7600000000002</v>
      </c>
      <c r="AR485" s="3">
        <f t="shared" si="247"/>
        <v>2214.38</v>
      </c>
      <c r="AS485" s="3">
        <f t="shared" si="247"/>
        <v>2021.92</v>
      </c>
      <c r="AT485" s="3">
        <f>SUM(AT474:AT483)-AT484</f>
        <v>6536.18</v>
      </c>
      <c r="AU485" s="3">
        <f t="shared" ref="AU485:BC485" si="248">SUM(AU474:AU483)-AU484</f>
        <v>0</v>
      </c>
      <c r="AV485" s="3">
        <f t="shared" si="248"/>
        <v>0</v>
      </c>
      <c r="AW485" s="3">
        <f t="shared" si="248"/>
        <v>0</v>
      </c>
      <c r="AX485" s="3">
        <f t="shared" si="248"/>
        <v>0</v>
      </c>
      <c r="AY485" s="3">
        <f t="shared" si="248"/>
        <v>0</v>
      </c>
      <c r="AZ485" s="3">
        <f t="shared" si="248"/>
        <v>0</v>
      </c>
      <c r="BA485" s="3">
        <f t="shared" si="248"/>
        <v>0</v>
      </c>
      <c r="BB485" s="105">
        <f t="shared" si="248"/>
        <v>0</v>
      </c>
      <c r="BC485" s="3">
        <f t="shared" si="248"/>
        <v>0</v>
      </c>
      <c r="BD485" s="3">
        <f t="shared" ref="BD485" si="249">SUM(BD474:BD483)-BD484</f>
        <v>0</v>
      </c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>
        <f>SUM(J485:AY485)</f>
        <v>37654.640000000007</v>
      </c>
      <c r="BY485" s="1"/>
      <c r="BZ485" s="1"/>
      <c r="CA485" s="1"/>
      <c r="CC485" s="6"/>
    </row>
    <row r="486" spans="1:81" ht="15.6" customHeight="1">
      <c r="A486" s="148" t="s">
        <v>346</v>
      </c>
      <c r="B486" s="148" t="s">
        <v>347</v>
      </c>
      <c r="C486" s="145" t="s">
        <v>310</v>
      </c>
      <c r="D486" s="145" t="s">
        <v>311</v>
      </c>
      <c r="E486" s="148" t="s">
        <v>312</v>
      </c>
      <c r="F486" s="148" t="s">
        <v>348</v>
      </c>
      <c r="G486" s="145" t="s">
        <v>314</v>
      </c>
      <c r="H486" s="145" t="s">
        <v>315</v>
      </c>
      <c r="I486" s="145" t="s">
        <v>349</v>
      </c>
      <c r="J486" s="146">
        <v>44105</v>
      </c>
      <c r="K486" s="146">
        <v>44136</v>
      </c>
      <c r="L486" s="146">
        <v>44166</v>
      </c>
      <c r="M486" s="146">
        <v>44197</v>
      </c>
      <c r="N486" s="146">
        <v>44228</v>
      </c>
      <c r="O486" s="146">
        <v>44256</v>
      </c>
      <c r="P486" s="146">
        <v>44287</v>
      </c>
      <c r="Q486" s="146">
        <v>44317</v>
      </c>
      <c r="R486" s="146">
        <v>44348</v>
      </c>
      <c r="S486" s="146">
        <v>44378</v>
      </c>
      <c r="T486" s="146">
        <v>44409</v>
      </c>
      <c r="U486" s="146">
        <v>44440</v>
      </c>
      <c r="V486" s="146">
        <v>44470</v>
      </c>
      <c r="W486" s="146">
        <v>44501</v>
      </c>
      <c r="X486" s="146">
        <v>44531</v>
      </c>
      <c r="Y486" s="146">
        <v>44562</v>
      </c>
      <c r="Z486" s="146">
        <v>44593</v>
      </c>
      <c r="AA486" s="146">
        <v>44621</v>
      </c>
      <c r="AB486" s="146">
        <v>44652</v>
      </c>
      <c r="AC486" s="146">
        <v>44682</v>
      </c>
      <c r="AD486" s="146">
        <v>44713</v>
      </c>
      <c r="AE486" s="146">
        <v>44743</v>
      </c>
      <c r="AF486" s="146">
        <v>44774</v>
      </c>
      <c r="AG486" s="146">
        <v>44805</v>
      </c>
      <c r="AH486" s="146">
        <v>44835</v>
      </c>
      <c r="AI486" s="146">
        <v>44866</v>
      </c>
      <c r="AJ486" s="146">
        <v>44896</v>
      </c>
      <c r="AK486" s="146">
        <v>44927</v>
      </c>
      <c r="AL486" s="146">
        <v>44958</v>
      </c>
      <c r="AM486" s="146">
        <v>44986</v>
      </c>
      <c r="AN486" s="146">
        <v>45017</v>
      </c>
      <c r="AO486" s="146">
        <v>45047</v>
      </c>
      <c r="AP486" s="146">
        <v>45078</v>
      </c>
      <c r="AQ486" s="146">
        <v>45108</v>
      </c>
      <c r="AR486" s="146">
        <v>45139</v>
      </c>
      <c r="AS486" s="146">
        <v>45170</v>
      </c>
      <c r="AT486" s="146">
        <v>45200</v>
      </c>
      <c r="AU486" s="146">
        <v>45231</v>
      </c>
      <c r="AV486" s="146">
        <v>45261</v>
      </c>
      <c r="AW486" s="146">
        <v>45292</v>
      </c>
      <c r="AX486" s="146">
        <v>45323</v>
      </c>
      <c r="AY486" s="146">
        <v>45352</v>
      </c>
      <c r="AZ486" s="146">
        <v>45383</v>
      </c>
      <c r="BA486" s="146">
        <v>45413</v>
      </c>
      <c r="BB486" s="146">
        <v>45444</v>
      </c>
      <c r="BC486" s="146">
        <v>45474</v>
      </c>
      <c r="BD486" s="146">
        <v>45505</v>
      </c>
      <c r="BE486" s="146">
        <v>45536</v>
      </c>
      <c r="BF486" s="146">
        <v>45566</v>
      </c>
      <c r="BG486" s="146">
        <v>45597</v>
      </c>
      <c r="BH486" s="146">
        <v>45627</v>
      </c>
      <c r="BI486" s="146">
        <v>45658</v>
      </c>
      <c r="BJ486" s="146">
        <v>45689</v>
      </c>
      <c r="BK486" s="146">
        <v>45717</v>
      </c>
      <c r="BL486" s="146">
        <v>45748</v>
      </c>
      <c r="BM486" s="146">
        <v>45778</v>
      </c>
      <c r="BN486" s="146">
        <v>45809</v>
      </c>
      <c r="BO486" s="146">
        <v>45839</v>
      </c>
      <c r="BP486" s="146">
        <v>45870</v>
      </c>
      <c r="BQ486" s="146">
        <v>45901</v>
      </c>
      <c r="BR486" s="146">
        <v>45931</v>
      </c>
      <c r="BS486" s="146">
        <v>45962</v>
      </c>
      <c r="BT486" s="146">
        <v>45992</v>
      </c>
      <c r="BU486" s="146">
        <v>46023</v>
      </c>
      <c r="BV486" s="146">
        <v>46054</v>
      </c>
      <c r="BW486" s="146">
        <v>46082</v>
      </c>
      <c r="BX486" s="147" t="s">
        <v>13</v>
      </c>
      <c r="BY486" s="5"/>
      <c r="BZ486" s="5"/>
      <c r="CA486" s="5"/>
    </row>
    <row r="487" spans="1:81" s="178" customFormat="1" ht="15.75" customHeight="1">
      <c r="A487" s="234">
        <v>36</v>
      </c>
      <c r="B487" s="227" t="s">
        <v>147</v>
      </c>
      <c r="C487" s="237" t="s">
        <v>23</v>
      </c>
      <c r="D487" s="237" t="s">
        <v>89</v>
      </c>
      <c r="E487" s="237" t="s">
        <v>150</v>
      </c>
      <c r="F487" s="237" t="s">
        <v>150</v>
      </c>
      <c r="G487" s="272">
        <f>'CONSOLIDADO ATIVO INATIVO NOVO'!J47</f>
        <v>45264</v>
      </c>
      <c r="H487" s="237"/>
      <c r="I487" s="175" t="s">
        <v>350</v>
      </c>
      <c r="J487" s="175"/>
      <c r="K487" s="175"/>
      <c r="L487" s="175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6"/>
      <c r="AH487" s="176"/>
      <c r="AI487" s="176"/>
      <c r="AJ487" s="176"/>
      <c r="AK487" s="176"/>
      <c r="AL487" s="176"/>
      <c r="AM487" s="176"/>
      <c r="AN487" s="176"/>
      <c r="AO487" s="176"/>
      <c r="AP487" s="176"/>
      <c r="AQ487" s="176"/>
      <c r="AR487" s="176"/>
      <c r="AS487" s="176"/>
      <c r="AT487" s="176"/>
      <c r="AU487" s="176"/>
      <c r="AV487" s="176"/>
      <c r="AW487" s="176"/>
      <c r="AX487" s="176"/>
      <c r="AY487" s="176"/>
      <c r="AZ487" s="176"/>
      <c r="BA487" s="176"/>
      <c r="BB487" s="176"/>
      <c r="BC487" s="176"/>
      <c r="BD487" s="176"/>
      <c r="BE487" s="176"/>
      <c r="BF487" s="176"/>
      <c r="BG487" s="176"/>
      <c r="BH487" s="176"/>
      <c r="BI487" s="176"/>
      <c r="BJ487" s="176"/>
      <c r="BK487" s="176"/>
      <c r="BL487" s="176"/>
      <c r="BM487" s="176"/>
      <c r="BN487" s="176"/>
      <c r="BO487" s="176"/>
      <c r="BP487" s="176"/>
      <c r="BQ487" s="176"/>
      <c r="BR487" s="176"/>
      <c r="BS487" s="176"/>
      <c r="BT487" s="176"/>
      <c r="BU487" s="176"/>
      <c r="BV487" s="176"/>
      <c r="BW487" s="176"/>
      <c r="BX487" s="176"/>
      <c r="BY487" s="191"/>
      <c r="BZ487" s="191"/>
      <c r="CA487" s="191"/>
      <c r="CC487" s="182"/>
    </row>
    <row r="488" spans="1:81" s="178" customFormat="1" ht="15.75" customHeight="1">
      <c r="A488" s="235"/>
      <c r="B488" s="227"/>
      <c r="C488" s="238"/>
      <c r="D488" s="238"/>
      <c r="E488" s="238"/>
      <c r="F488" s="238"/>
      <c r="G488" s="238"/>
      <c r="H488" s="238"/>
      <c r="I488" s="175" t="s">
        <v>351</v>
      </c>
      <c r="J488" s="175"/>
      <c r="K488" s="175"/>
      <c r="L488" s="175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6"/>
      <c r="AH488" s="176"/>
      <c r="AI488" s="176"/>
      <c r="AJ488" s="176"/>
      <c r="AK488" s="176"/>
      <c r="AL488" s="176"/>
      <c r="AM488" s="176"/>
      <c r="AN488" s="176"/>
      <c r="AO488" s="176"/>
      <c r="AP488" s="176"/>
      <c r="AQ488" s="176"/>
      <c r="AR488" s="176"/>
      <c r="AS488" s="176"/>
      <c r="AT488" s="176"/>
      <c r="AU488" s="176"/>
      <c r="AV488" s="176"/>
      <c r="AW488" s="176"/>
      <c r="AX488" s="176"/>
      <c r="AY488" s="176"/>
      <c r="AZ488" s="176"/>
      <c r="BA488" s="176"/>
      <c r="BB488" s="176"/>
      <c r="BC488" s="176">
        <v>369.88</v>
      </c>
      <c r="BD488" s="176">
        <v>1849.41</v>
      </c>
      <c r="BE488" s="176">
        <v>1849.81</v>
      </c>
      <c r="BF488" s="176">
        <v>1849.81</v>
      </c>
      <c r="BG488" s="176">
        <v>1849.81</v>
      </c>
      <c r="BH488" s="176">
        <v>1849.81</v>
      </c>
      <c r="BI488" s="176">
        <v>1849.81</v>
      </c>
      <c r="BJ488" s="176">
        <v>1849.81</v>
      </c>
      <c r="BK488" s="176">
        <v>1849.81</v>
      </c>
      <c r="BL488" s="176">
        <v>1849.81</v>
      </c>
      <c r="BM488" s="176">
        <v>1849.81</v>
      </c>
      <c r="BN488" s="176">
        <v>1849.81</v>
      </c>
      <c r="BO488" s="176">
        <v>1849.81</v>
      </c>
      <c r="BP488" s="176">
        <v>1849.81</v>
      </c>
      <c r="BQ488" s="176">
        <v>1849.81</v>
      </c>
      <c r="BR488" s="176">
        <v>1849.81</v>
      </c>
      <c r="BS488" s="176">
        <v>0</v>
      </c>
      <c r="BT488" s="176"/>
      <c r="BU488" s="176"/>
      <c r="BV488" s="176"/>
      <c r="BW488" s="176">
        <v>61.66</v>
      </c>
      <c r="BX488" s="176"/>
      <c r="BY488" s="191"/>
      <c r="BZ488" s="191"/>
      <c r="CA488" s="191"/>
      <c r="CC488" s="182"/>
    </row>
    <row r="489" spans="1:81" s="178" customFormat="1" ht="15.75" customHeight="1">
      <c r="A489" s="235"/>
      <c r="B489" s="227"/>
      <c r="C489" s="238"/>
      <c r="D489" s="238"/>
      <c r="E489" s="238"/>
      <c r="F489" s="238"/>
      <c r="G489" s="238"/>
      <c r="H489" s="238"/>
      <c r="I489" s="175" t="s">
        <v>385</v>
      </c>
      <c r="J489" s="175"/>
      <c r="K489" s="175"/>
      <c r="L489" s="175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6"/>
      <c r="AH489" s="176"/>
      <c r="AI489" s="176"/>
      <c r="AJ489" s="176"/>
      <c r="AK489" s="176"/>
      <c r="AL489" s="176"/>
      <c r="AM489" s="176"/>
      <c r="AN489" s="176"/>
      <c r="AO489" s="176"/>
      <c r="AP489" s="176"/>
      <c r="AQ489" s="176"/>
      <c r="AR489" s="176"/>
      <c r="AS489" s="176"/>
      <c r="AT489" s="176"/>
      <c r="AU489" s="176"/>
      <c r="AV489" s="176"/>
      <c r="AW489" s="176"/>
      <c r="AX489" s="176"/>
      <c r="AY489" s="176"/>
      <c r="AZ489" s="176"/>
      <c r="BA489" s="176"/>
      <c r="BB489" s="176"/>
      <c r="BC489" s="176"/>
      <c r="BD489" s="176"/>
      <c r="BE489" s="176">
        <v>500</v>
      </c>
      <c r="BF489" s="176"/>
      <c r="BG489" s="176"/>
      <c r="BH489" s="176"/>
      <c r="BI489" s="176">
        <v>500</v>
      </c>
      <c r="BJ489" s="176">
        <v>500</v>
      </c>
      <c r="BK489" s="176">
        <v>500</v>
      </c>
      <c r="BL489" s="176">
        <v>203.48</v>
      </c>
      <c r="BM489" s="176">
        <v>203.48</v>
      </c>
      <c r="BN489" s="176">
        <v>203.48</v>
      </c>
      <c r="BO489" s="176">
        <v>203.48</v>
      </c>
      <c r="BP489" s="176">
        <v>203.48</v>
      </c>
      <c r="BQ489" s="176">
        <v>203.48</v>
      </c>
      <c r="BR489" s="176">
        <v>203.48</v>
      </c>
      <c r="BS489" s="176"/>
      <c r="BT489" s="176"/>
      <c r="BU489" s="176"/>
      <c r="BV489" s="176"/>
      <c r="BW489" s="176"/>
      <c r="BX489" s="176"/>
      <c r="BY489" s="191"/>
      <c r="BZ489" s="191"/>
      <c r="CA489" s="191"/>
      <c r="CC489" s="182"/>
    </row>
    <row r="490" spans="1:81" s="178" customFormat="1" ht="15.75" customHeight="1">
      <c r="A490" s="235"/>
      <c r="B490" s="227"/>
      <c r="C490" s="238"/>
      <c r="D490" s="238"/>
      <c r="E490" s="238"/>
      <c r="F490" s="238"/>
      <c r="G490" s="238"/>
      <c r="H490" s="238"/>
      <c r="I490" s="175" t="s">
        <v>353</v>
      </c>
      <c r="J490" s="175"/>
      <c r="K490" s="175"/>
      <c r="L490" s="175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  <c r="AA490" s="176"/>
      <c r="AB490" s="176"/>
      <c r="AC490" s="176"/>
      <c r="AD490" s="176"/>
      <c r="AE490" s="176"/>
      <c r="AF490" s="176"/>
      <c r="AG490" s="176"/>
      <c r="AH490" s="176"/>
      <c r="AI490" s="176"/>
      <c r="AJ490" s="176"/>
      <c r="AK490" s="176"/>
      <c r="AL490" s="176"/>
      <c r="AM490" s="176"/>
      <c r="AN490" s="176"/>
      <c r="AO490" s="176"/>
      <c r="AP490" s="176"/>
      <c r="AQ490" s="176"/>
      <c r="AR490" s="176"/>
      <c r="AS490" s="176"/>
      <c r="AT490" s="176"/>
      <c r="AU490" s="176"/>
      <c r="AV490" s="176"/>
      <c r="AW490" s="176"/>
      <c r="AX490" s="176"/>
      <c r="AY490" s="176"/>
      <c r="AZ490" s="176"/>
      <c r="BA490" s="176"/>
      <c r="BB490" s="176"/>
      <c r="BC490" s="176"/>
      <c r="BD490" s="176"/>
      <c r="BE490" s="176"/>
      <c r="BF490" s="176">
        <f>15.69+78.45</f>
        <v>94.14</v>
      </c>
      <c r="BG490" s="176"/>
      <c r="BH490" s="176"/>
      <c r="BI490" s="176"/>
      <c r="BJ490" s="176"/>
      <c r="BK490" s="176"/>
      <c r="BL490" s="176"/>
      <c r="BM490" s="176"/>
      <c r="BN490" s="176"/>
      <c r="BO490" s="176"/>
      <c r="BP490" s="176"/>
      <c r="BQ490" s="176"/>
      <c r="BR490" s="176"/>
      <c r="BS490" s="176"/>
      <c r="BT490" s="176"/>
      <c r="BU490" s="176"/>
      <c r="BV490" s="176"/>
      <c r="BW490" s="176"/>
      <c r="BX490" s="176"/>
      <c r="BY490" s="191"/>
      <c r="BZ490" s="191"/>
      <c r="CA490" s="191"/>
      <c r="CC490" s="182"/>
    </row>
    <row r="491" spans="1:81" s="178" customFormat="1" ht="15.75" customHeight="1">
      <c r="A491" s="235"/>
      <c r="B491" s="227"/>
      <c r="C491" s="238"/>
      <c r="D491" s="238"/>
      <c r="E491" s="238"/>
      <c r="F491" s="238"/>
      <c r="G491" s="238"/>
      <c r="H491" s="238"/>
      <c r="I491" s="175" t="s">
        <v>354</v>
      </c>
      <c r="J491" s="175"/>
      <c r="K491" s="175"/>
      <c r="L491" s="175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  <c r="AA491" s="176"/>
      <c r="AB491" s="176"/>
      <c r="AC491" s="176"/>
      <c r="AD491" s="176"/>
      <c r="AE491" s="176"/>
      <c r="AF491" s="176"/>
      <c r="AG491" s="176"/>
      <c r="AH491" s="176"/>
      <c r="AI491" s="176"/>
      <c r="AJ491" s="176"/>
      <c r="AK491" s="176"/>
      <c r="AL491" s="176"/>
      <c r="AM491" s="176"/>
      <c r="AN491" s="176"/>
      <c r="AO491" s="176"/>
      <c r="AP491" s="176"/>
      <c r="AQ491" s="176"/>
      <c r="AR491" s="176"/>
      <c r="AS491" s="176"/>
      <c r="AT491" s="176"/>
      <c r="AU491" s="176"/>
      <c r="AV491" s="176"/>
      <c r="AW491" s="176"/>
      <c r="AX491" s="176"/>
      <c r="AY491" s="176"/>
      <c r="AZ491" s="176"/>
      <c r="BA491" s="176"/>
      <c r="BB491" s="176"/>
      <c r="BC491" s="176"/>
      <c r="BD491" s="176"/>
      <c r="BE491" s="176"/>
      <c r="BF491" s="176"/>
      <c r="BG491" s="176"/>
      <c r="BH491" s="176"/>
      <c r="BI491" s="176"/>
      <c r="BJ491" s="176"/>
      <c r="BK491" s="176"/>
      <c r="BL491" s="176"/>
      <c r="BM491" s="176"/>
      <c r="BN491" s="176"/>
      <c r="BO491" s="176"/>
      <c r="BP491" s="176"/>
      <c r="BQ491" s="176"/>
      <c r="BR491" s="176"/>
      <c r="BS491" s="176"/>
      <c r="BT491" s="176"/>
      <c r="BU491" s="176"/>
      <c r="BV491" s="176"/>
      <c r="BW491" s="176"/>
      <c r="BX491" s="176"/>
      <c r="BY491" s="191"/>
      <c r="BZ491" s="191"/>
      <c r="CA491" s="191"/>
      <c r="CC491" s="182"/>
    </row>
    <row r="492" spans="1:81" s="178" customFormat="1" ht="15.75" customHeight="1">
      <c r="A492" s="235"/>
      <c r="B492" s="227"/>
      <c r="C492" s="238"/>
      <c r="D492" s="238"/>
      <c r="E492" s="238"/>
      <c r="F492" s="238"/>
      <c r="G492" s="238"/>
      <c r="H492" s="238"/>
      <c r="I492" s="175" t="s">
        <v>355</v>
      </c>
      <c r="J492" s="175"/>
      <c r="K492" s="175"/>
      <c r="L492" s="175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  <c r="AA492" s="176"/>
      <c r="AB492" s="176"/>
      <c r="AC492" s="176"/>
      <c r="AD492" s="176"/>
      <c r="AE492" s="176"/>
      <c r="AF492" s="176"/>
      <c r="AG492" s="176"/>
      <c r="AH492" s="176"/>
      <c r="AI492" s="176"/>
      <c r="AJ492" s="176"/>
      <c r="AK492" s="176"/>
      <c r="AL492" s="176"/>
      <c r="AM492" s="176"/>
      <c r="AN492" s="176"/>
      <c r="AO492" s="176"/>
      <c r="AP492" s="176"/>
      <c r="AQ492" s="176"/>
      <c r="AR492" s="176"/>
      <c r="AS492" s="176"/>
      <c r="AT492" s="176"/>
      <c r="AU492" s="176"/>
      <c r="AV492" s="176"/>
      <c r="AW492" s="176"/>
      <c r="AX492" s="176"/>
      <c r="AY492" s="176"/>
      <c r="AZ492" s="176"/>
      <c r="BA492" s="176"/>
      <c r="BB492" s="176"/>
      <c r="BC492" s="176"/>
      <c r="BD492" s="176"/>
      <c r="BE492" s="176"/>
      <c r="BF492" s="176"/>
      <c r="BG492" s="176"/>
      <c r="BH492" s="176"/>
      <c r="BI492" s="176"/>
      <c r="BJ492" s="176"/>
      <c r="BK492" s="176"/>
      <c r="BL492" s="176">
        <v>2000</v>
      </c>
      <c r="BM492" s="176"/>
      <c r="BN492" s="176"/>
      <c r="BO492" s="176"/>
      <c r="BP492" s="176"/>
      <c r="BQ492" s="176"/>
      <c r="BR492" s="176"/>
      <c r="BS492" s="176"/>
      <c r="BT492" s="176"/>
      <c r="BU492" s="176"/>
      <c r="BV492" s="176"/>
      <c r="BW492" s="176"/>
      <c r="BX492" s="176"/>
      <c r="BY492" s="191"/>
      <c r="BZ492" s="191"/>
      <c r="CA492" s="191"/>
      <c r="CC492" s="182"/>
    </row>
    <row r="493" spans="1:81" s="178" customFormat="1" ht="15.75" customHeight="1">
      <c r="A493" s="235"/>
      <c r="B493" s="227"/>
      <c r="C493" s="238"/>
      <c r="D493" s="238"/>
      <c r="E493" s="238"/>
      <c r="F493" s="238"/>
      <c r="G493" s="238"/>
      <c r="H493" s="238"/>
      <c r="I493" s="175" t="s">
        <v>356</v>
      </c>
      <c r="J493" s="175"/>
      <c r="K493" s="175"/>
      <c r="L493" s="175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  <c r="AA493" s="176"/>
      <c r="AB493" s="176"/>
      <c r="AC493" s="176"/>
      <c r="AD493" s="176"/>
      <c r="AE493" s="176"/>
      <c r="AF493" s="176"/>
      <c r="AG493" s="176"/>
      <c r="AH493" s="176"/>
      <c r="AI493" s="176"/>
      <c r="AJ493" s="176"/>
      <c r="AK493" s="176"/>
      <c r="AL493" s="176"/>
      <c r="AM493" s="176"/>
      <c r="AN493" s="176"/>
      <c r="AO493" s="176"/>
      <c r="AP493" s="176"/>
      <c r="AQ493" s="176"/>
      <c r="AR493" s="176"/>
      <c r="AS493" s="176"/>
      <c r="AT493" s="176"/>
      <c r="AU493" s="176"/>
      <c r="AV493" s="176"/>
      <c r="AW493" s="176"/>
      <c r="AX493" s="176"/>
      <c r="AY493" s="176"/>
      <c r="AZ493" s="176"/>
      <c r="BA493" s="176"/>
      <c r="BB493" s="176"/>
      <c r="BC493" s="176"/>
      <c r="BD493" s="176"/>
      <c r="BE493" s="176"/>
      <c r="BF493" s="176"/>
      <c r="BG493" s="176"/>
      <c r="BH493" s="176"/>
      <c r="BI493" s="176"/>
      <c r="BJ493" s="176"/>
      <c r="BK493" s="176"/>
      <c r="BL493" s="176"/>
      <c r="BM493" s="176"/>
      <c r="BN493" s="176"/>
      <c r="BO493" s="176"/>
      <c r="BP493" s="176"/>
      <c r="BQ493" s="176"/>
      <c r="BR493" s="176"/>
      <c r="BS493" s="176"/>
      <c r="BT493" s="176"/>
      <c r="BU493" s="176"/>
      <c r="BV493" s="176"/>
      <c r="BW493" s="176"/>
      <c r="BX493" s="176"/>
      <c r="BY493" s="191"/>
      <c r="BZ493" s="191"/>
      <c r="CA493" s="191"/>
      <c r="CC493" s="182"/>
    </row>
    <row r="494" spans="1:81" s="178" customFormat="1" ht="15.75" customHeight="1">
      <c r="A494" s="235"/>
      <c r="B494" s="227"/>
      <c r="C494" s="238"/>
      <c r="D494" s="238"/>
      <c r="E494" s="238"/>
      <c r="F494" s="238"/>
      <c r="G494" s="238"/>
      <c r="H494" s="238"/>
      <c r="I494" s="175" t="s">
        <v>357</v>
      </c>
      <c r="J494" s="175"/>
      <c r="K494" s="175"/>
      <c r="L494" s="175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  <c r="AA494" s="176"/>
      <c r="AB494" s="176"/>
      <c r="AC494" s="176"/>
      <c r="AD494" s="176"/>
      <c r="AE494" s="176"/>
      <c r="AF494" s="176"/>
      <c r="AG494" s="176"/>
      <c r="AH494" s="176"/>
      <c r="AI494" s="176"/>
      <c r="AJ494" s="176"/>
      <c r="AK494" s="176"/>
      <c r="AL494" s="176"/>
      <c r="AM494" s="176"/>
      <c r="AN494" s="176"/>
      <c r="AO494" s="176"/>
      <c r="AP494" s="176"/>
      <c r="AQ494" s="176"/>
      <c r="AR494" s="176"/>
      <c r="AS494" s="176"/>
      <c r="AT494" s="176"/>
      <c r="AU494" s="176"/>
      <c r="AV494" s="176"/>
      <c r="AW494" s="176"/>
      <c r="AX494" s="176"/>
      <c r="AY494" s="176"/>
      <c r="AZ494" s="176"/>
      <c r="BA494" s="176"/>
      <c r="BB494" s="176"/>
      <c r="BC494" s="176">
        <v>369.1</v>
      </c>
      <c r="BD494" s="176">
        <v>498.51</v>
      </c>
      <c r="BE494" s="176">
        <v>498.51</v>
      </c>
      <c r="BF494" s="176">
        <v>519.51</v>
      </c>
      <c r="BG494" s="176">
        <v>511.01</v>
      </c>
      <c r="BH494" s="176">
        <v>532.01</v>
      </c>
      <c r="BI494" s="176">
        <v>532.01</v>
      </c>
      <c r="BJ494" s="176">
        <v>834</v>
      </c>
      <c r="BK494" s="176">
        <f>448.25+320</f>
        <v>768.25</v>
      </c>
      <c r="BL494" s="176">
        <f>320+409</f>
        <v>729</v>
      </c>
      <c r="BM494" s="176">
        <f>448.25+320</f>
        <v>768.25</v>
      </c>
      <c r="BN494" s="176">
        <f>320+409</f>
        <v>729</v>
      </c>
      <c r="BO494" s="176">
        <f>440.5+320</f>
        <v>760.5</v>
      </c>
      <c r="BP494" s="176">
        <f>320+432.5</f>
        <v>752.5</v>
      </c>
      <c r="BQ494" s="176">
        <f>440.5+320</f>
        <v>760.5</v>
      </c>
      <c r="BR494" s="176"/>
      <c r="BS494" s="176"/>
      <c r="BT494" s="176"/>
      <c r="BU494" s="176"/>
      <c r="BV494" s="176"/>
      <c r="BW494" s="176"/>
      <c r="BX494" s="176"/>
      <c r="BY494" s="191"/>
      <c r="BZ494" s="191"/>
      <c r="CA494" s="191"/>
      <c r="CC494" s="182"/>
    </row>
    <row r="495" spans="1:81" s="178" customFormat="1" ht="15.75" customHeight="1">
      <c r="A495" s="235"/>
      <c r="B495" s="227"/>
      <c r="C495" s="238"/>
      <c r="D495" s="238"/>
      <c r="E495" s="238"/>
      <c r="F495" s="238"/>
      <c r="G495" s="238"/>
      <c r="H495" s="238"/>
      <c r="I495" s="184" t="s">
        <v>362</v>
      </c>
      <c r="J495" s="184"/>
      <c r="K495" s="184"/>
      <c r="L495" s="184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  <c r="AA495" s="176"/>
      <c r="AB495" s="176"/>
      <c r="AC495" s="176"/>
      <c r="AD495" s="176"/>
      <c r="AE495" s="176"/>
      <c r="AF495" s="176"/>
      <c r="AG495" s="176"/>
      <c r="AH495" s="176"/>
      <c r="AI495" s="176"/>
      <c r="AJ495" s="176"/>
      <c r="AK495" s="176"/>
      <c r="AL495" s="176"/>
      <c r="AM495" s="176"/>
      <c r="AN495" s="176"/>
      <c r="AO495" s="176"/>
      <c r="AP495" s="176"/>
      <c r="AQ495" s="176"/>
      <c r="AR495" s="176"/>
      <c r="AS495" s="176"/>
      <c r="AT495" s="176"/>
      <c r="AU495" s="176"/>
      <c r="AV495" s="176"/>
      <c r="AW495" s="176"/>
      <c r="AX495" s="176"/>
      <c r="AY495" s="176"/>
      <c r="AZ495" s="176"/>
      <c r="BA495" s="176"/>
      <c r="BB495" s="176"/>
      <c r="BC495" s="176"/>
      <c r="BD495" s="176"/>
      <c r="BE495" s="176"/>
      <c r="BF495" s="176"/>
      <c r="BG495" s="176"/>
      <c r="BH495" s="176"/>
      <c r="BI495" s="176"/>
      <c r="BJ495" s="176"/>
      <c r="BK495" s="176"/>
      <c r="BL495" s="176"/>
      <c r="BM495" s="176"/>
      <c r="BN495" s="176"/>
      <c r="BO495" s="176"/>
      <c r="BP495" s="176"/>
      <c r="BQ495" s="176"/>
      <c r="BR495" s="176"/>
      <c r="BS495" s="176"/>
      <c r="BT495" s="176"/>
      <c r="BU495" s="176"/>
      <c r="BV495" s="176"/>
      <c r="BW495" s="176"/>
      <c r="BX495" s="176"/>
      <c r="BY495" s="191"/>
      <c r="BZ495" s="191"/>
      <c r="CA495" s="191"/>
      <c r="CC495" s="182"/>
    </row>
    <row r="496" spans="1:81" s="178" customFormat="1" ht="15.75" customHeight="1">
      <c r="A496" s="235"/>
      <c r="B496" s="227"/>
      <c r="C496" s="238"/>
      <c r="D496" s="238"/>
      <c r="E496" s="238"/>
      <c r="F496" s="238"/>
      <c r="G496" s="238"/>
      <c r="H496" s="238"/>
      <c r="I496" s="190" t="s">
        <v>363</v>
      </c>
      <c r="J496" s="190"/>
      <c r="K496" s="190"/>
      <c r="L496" s="190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  <c r="AA496" s="176"/>
      <c r="AB496" s="176"/>
      <c r="AC496" s="176"/>
      <c r="AD496" s="176"/>
      <c r="AE496" s="176"/>
      <c r="AF496" s="176"/>
      <c r="AG496" s="176"/>
      <c r="AH496" s="176"/>
      <c r="AI496" s="176"/>
      <c r="AJ496" s="176"/>
      <c r="AK496" s="176"/>
      <c r="AL496" s="176"/>
      <c r="AM496" s="176"/>
      <c r="AN496" s="176"/>
      <c r="AO496" s="176"/>
      <c r="AP496" s="176"/>
      <c r="AQ496" s="176"/>
      <c r="AR496" s="176"/>
      <c r="AS496" s="176"/>
      <c r="AT496" s="176"/>
      <c r="AU496" s="176"/>
      <c r="AV496" s="176"/>
      <c r="AW496" s="176"/>
      <c r="AX496" s="176"/>
      <c r="AY496" s="176"/>
      <c r="AZ496" s="176"/>
      <c r="BA496" s="176"/>
      <c r="BB496" s="176"/>
      <c r="BC496" s="176"/>
      <c r="BD496" s="176"/>
      <c r="BE496" s="176"/>
      <c r="BF496" s="176"/>
      <c r="BG496" s="176"/>
      <c r="BH496" s="176"/>
      <c r="BI496" s="176"/>
      <c r="BJ496" s="176"/>
      <c r="BK496" s="176"/>
      <c r="BL496" s="176"/>
      <c r="BM496" s="176"/>
      <c r="BN496" s="176"/>
      <c r="BO496" s="176"/>
      <c r="BP496" s="176"/>
      <c r="BQ496" s="176"/>
      <c r="BR496" s="176"/>
      <c r="BS496" s="176"/>
      <c r="BT496" s="176"/>
      <c r="BU496" s="176"/>
      <c r="BV496" s="176"/>
      <c r="BW496" s="176"/>
      <c r="BX496" s="176"/>
      <c r="BY496" s="191"/>
      <c r="BZ496" s="191"/>
      <c r="CA496" s="191"/>
      <c r="CC496" s="182"/>
    </row>
    <row r="497" spans="1:81" s="178" customFormat="1" ht="15.75" customHeight="1">
      <c r="A497" s="235"/>
      <c r="B497" s="227"/>
      <c r="C497" s="238"/>
      <c r="D497" s="238"/>
      <c r="E497" s="238"/>
      <c r="F497" s="238"/>
      <c r="G497" s="238"/>
      <c r="H497" s="238"/>
      <c r="I497" s="193" t="s">
        <v>364</v>
      </c>
      <c r="J497" s="193"/>
      <c r="K497" s="193"/>
      <c r="L497" s="193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  <c r="AA497" s="176"/>
      <c r="AB497" s="176"/>
      <c r="AC497" s="176"/>
      <c r="AD497" s="176"/>
      <c r="AE497" s="176"/>
      <c r="AF497" s="176"/>
      <c r="AG497" s="176"/>
      <c r="AH497" s="176"/>
      <c r="AI497" s="176"/>
      <c r="AJ497" s="176"/>
      <c r="AK497" s="176"/>
      <c r="AL497" s="176"/>
      <c r="AM497" s="176"/>
      <c r="AN497" s="176"/>
      <c r="AO497" s="176"/>
      <c r="AP497" s="176"/>
      <c r="AQ497" s="176"/>
      <c r="AR497" s="176"/>
      <c r="AS497" s="176"/>
      <c r="AT497" s="176"/>
      <c r="AU497" s="176"/>
      <c r="AV497" s="176"/>
      <c r="AW497" s="176"/>
      <c r="AX497" s="176"/>
      <c r="AY497" s="176"/>
      <c r="AZ497" s="176"/>
      <c r="BA497" s="176"/>
      <c r="BB497" s="176"/>
      <c r="BC497" s="176">
        <v>27.74</v>
      </c>
      <c r="BD497" s="176">
        <v>145.26</v>
      </c>
      <c r="BE497" s="176">
        <v>145.26</v>
      </c>
      <c r="BF497" s="176">
        <v>153.88</v>
      </c>
      <c r="BG497" s="176">
        <v>145.30000000000001</v>
      </c>
      <c r="BH497" s="176">
        <v>145.30000000000001</v>
      </c>
      <c r="BI497" s="176">
        <v>254.7</v>
      </c>
      <c r="BJ497" s="176">
        <v>254.7</v>
      </c>
      <c r="BK497" s="176">
        <v>254.7</v>
      </c>
      <c r="BL497" s="176">
        <v>254.7</v>
      </c>
      <c r="BM497" s="176">
        <v>254.7</v>
      </c>
      <c r="BN497" s="176">
        <v>254.7</v>
      </c>
      <c r="BO497" s="176">
        <v>254.7</v>
      </c>
      <c r="BP497" s="176">
        <v>255.7</v>
      </c>
      <c r="BQ497" s="176">
        <v>255.7</v>
      </c>
      <c r="BR497" s="176">
        <v>1583.13</v>
      </c>
      <c r="BS497" s="176"/>
      <c r="BT497" s="176"/>
      <c r="BU497" s="176"/>
      <c r="BV497" s="176"/>
      <c r="BW497" s="176">
        <f>4.62+3.7</f>
        <v>8.32</v>
      </c>
      <c r="BX497" s="176"/>
      <c r="BY497" s="191"/>
      <c r="BZ497" s="191"/>
      <c r="CA497" s="191"/>
      <c r="CC497" s="182"/>
    </row>
    <row r="498" spans="1:81" s="178" customFormat="1" ht="15.75" customHeight="1">
      <c r="A498" s="236"/>
      <c r="B498" s="227"/>
      <c r="C498" s="239"/>
      <c r="D498" s="239"/>
      <c r="E498" s="239"/>
      <c r="F498" s="239"/>
      <c r="G498" s="239"/>
      <c r="H498" s="239"/>
      <c r="I498" s="194"/>
      <c r="J498" s="176">
        <f>SUM(J487:J496)-J497</f>
        <v>0</v>
      </c>
      <c r="K498" s="176">
        <f t="shared" ref="K498:AC498" si="250">SUM(K487:K496)-K497</f>
        <v>0</v>
      </c>
      <c r="L498" s="176">
        <f t="shared" si="250"/>
        <v>0</v>
      </c>
      <c r="M498" s="176">
        <f t="shared" si="250"/>
        <v>0</v>
      </c>
      <c r="N498" s="176">
        <f t="shared" si="250"/>
        <v>0</v>
      </c>
      <c r="O498" s="176">
        <f t="shared" si="250"/>
        <v>0</v>
      </c>
      <c r="P498" s="176">
        <f t="shared" si="250"/>
        <v>0</v>
      </c>
      <c r="Q498" s="176">
        <f t="shared" si="250"/>
        <v>0</v>
      </c>
      <c r="R498" s="176">
        <f t="shared" si="250"/>
        <v>0</v>
      </c>
      <c r="S498" s="176">
        <f t="shared" si="250"/>
        <v>0</v>
      </c>
      <c r="T498" s="176">
        <f t="shared" si="250"/>
        <v>0</v>
      </c>
      <c r="U498" s="176">
        <f t="shared" si="250"/>
        <v>0</v>
      </c>
      <c r="V498" s="176">
        <f t="shared" si="250"/>
        <v>0</v>
      </c>
      <c r="W498" s="176">
        <f t="shared" si="250"/>
        <v>0</v>
      </c>
      <c r="X498" s="176">
        <f t="shared" si="250"/>
        <v>0</v>
      </c>
      <c r="Y498" s="176">
        <f t="shared" si="250"/>
        <v>0</v>
      </c>
      <c r="Z498" s="176">
        <f t="shared" si="250"/>
        <v>0</v>
      </c>
      <c r="AA498" s="176">
        <f t="shared" si="250"/>
        <v>0</v>
      </c>
      <c r="AB498" s="176">
        <f t="shared" si="250"/>
        <v>0</v>
      </c>
      <c r="AC498" s="176">
        <f t="shared" si="250"/>
        <v>0</v>
      </c>
      <c r="AD498" s="176">
        <f>SUM(AD487:AD496)-AD497</f>
        <v>0</v>
      </c>
      <c r="AE498" s="176">
        <f>SUM(AE487:AE496)-AE497</f>
        <v>0</v>
      </c>
      <c r="AF498" s="176">
        <f>SUM(AF487:AF496)-AF497</f>
        <v>0</v>
      </c>
      <c r="AG498" s="176">
        <f t="shared" ref="AG498" si="251">SUM(AG487:AG496)-AG497</f>
        <v>0</v>
      </c>
      <c r="AH498" s="176">
        <f>SUM(AH487:AH496)-AH497</f>
        <v>0</v>
      </c>
      <c r="AI498" s="176">
        <f>SUM(AI487:AI496)-AI497</f>
        <v>0</v>
      </c>
      <c r="AJ498" s="176">
        <f t="shared" ref="AJ498:AP498" si="252">SUM(AJ487:AJ496)-AJ497</f>
        <v>0</v>
      </c>
      <c r="AK498" s="176">
        <f t="shared" si="252"/>
        <v>0</v>
      </c>
      <c r="AL498" s="176">
        <f t="shared" si="252"/>
        <v>0</v>
      </c>
      <c r="AM498" s="176">
        <f t="shared" si="252"/>
        <v>0</v>
      </c>
      <c r="AN498" s="176">
        <f t="shared" si="252"/>
        <v>0</v>
      </c>
      <c r="AO498" s="176">
        <f t="shared" si="252"/>
        <v>0</v>
      </c>
      <c r="AP498" s="176">
        <f t="shared" si="252"/>
        <v>0</v>
      </c>
      <c r="AQ498" s="176">
        <f t="shared" ref="AQ498:AS498" si="253">SUM(AQ487:AQ496)-AQ497</f>
        <v>0</v>
      </c>
      <c r="AR498" s="176">
        <f t="shared" si="253"/>
        <v>0</v>
      </c>
      <c r="AS498" s="176">
        <f t="shared" si="253"/>
        <v>0</v>
      </c>
      <c r="AT498" s="176">
        <f>SUM(AT487:AT496)-AT497</f>
        <v>0</v>
      </c>
      <c r="AU498" s="176">
        <f t="shared" ref="AU498:BC498" si="254">SUM(AU487:AU496)-AU497</f>
        <v>0</v>
      </c>
      <c r="AV498" s="176">
        <f t="shared" si="254"/>
        <v>0</v>
      </c>
      <c r="AW498" s="176">
        <f t="shared" si="254"/>
        <v>0</v>
      </c>
      <c r="AX498" s="176">
        <f t="shared" si="254"/>
        <v>0</v>
      </c>
      <c r="AY498" s="176">
        <f t="shared" si="254"/>
        <v>0</v>
      </c>
      <c r="AZ498" s="176">
        <f t="shared" si="254"/>
        <v>0</v>
      </c>
      <c r="BA498" s="176">
        <f t="shared" si="254"/>
        <v>0</v>
      </c>
      <c r="BB498" s="176">
        <f t="shared" si="254"/>
        <v>0</v>
      </c>
      <c r="BC498" s="176">
        <f t="shared" si="254"/>
        <v>711.24</v>
      </c>
      <c r="BD498" s="176">
        <f t="shared" ref="BD498:BE498" si="255">SUM(BD487:BD496)-BD497</f>
        <v>2202.66</v>
      </c>
      <c r="BE498" s="176">
        <f t="shared" si="255"/>
        <v>2703.0599999999995</v>
      </c>
      <c r="BF498" s="176">
        <f>BF488+BF490+BF494-BF497</f>
        <v>2309.58</v>
      </c>
      <c r="BG498" s="176">
        <f>BG488+BG490+BG494-BG497</f>
        <v>2215.5199999999995</v>
      </c>
      <c r="BH498" s="176">
        <f>(BH488+BH494)-BH497</f>
        <v>2236.5199999999995</v>
      </c>
      <c r="BI498" s="176">
        <f>BI488+BI489+BI494-BI497</f>
        <v>2627.12</v>
      </c>
      <c r="BJ498" s="176">
        <f t="shared" ref="BJ498:BK498" si="256">BJ488+BJ489+BJ494-BJ497</f>
        <v>2929.11</v>
      </c>
      <c r="BK498" s="176">
        <f t="shared" si="256"/>
        <v>2863.36</v>
      </c>
      <c r="BL498" s="176">
        <f>BL488+BL489+BL494-BL497+BL492</f>
        <v>4527.59</v>
      </c>
      <c r="BM498" s="176">
        <f t="shared" ref="BM498:BR498" si="257">BM488+BM489+BM494-BM497+BM492</f>
        <v>2566.84</v>
      </c>
      <c r="BN498" s="176">
        <f t="shared" si="257"/>
        <v>2527.59</v>
      </c>
      <c r="BO498" s="176">
        <f t="shared" si="257"/>
        <v>2559.09</v>
      </c>
      <c r="BP498" s="176">
        <f t="shared" si="257"/>
        <v>2550.09</v>
      </c>
      <c r="BQ498" s="176">
        <f t="shared" si="257"/>
        <v>2558.09</v>
      </c>
      <c r="BR498" s="176">
        <f t="shared" si="257"/>
        <v>470.15999999999985</v>
      </c>
      <c r="BS498" s="176"/>
      <c r="BT498" s="176"/>
      <c r="BU498" s="176"/>
      <c r="BV498" s="176"/>
      <c r="BW498" s="176">
        <f>BW488-BW497</f>
        <v>53.339999999999996</v>
      </c>
      <c r="BX498" s="176">
        <f>SUM(J498:BW498)</f>
        <v>38610.959999999992</v>
      </c>
      <c r="BY498" s="191"/>
      <c r="BZ498" s="191"/>
      <c r="CA498" s="191"/>
      <c r="CC498" s="182"/>
    </row>
    <row r="499" spans="1:81" ht="15.6" customHeight="1">
      <c r="A499" s="148" t="s">
        <v>346</v>
      </c>
      <c r="B499" s="148" t="s">
        <v>347</v>
      </c>
      <c r="C499" s="145" t="s">
        <v>310</v>
      </c>
      <c r="D499" s="145" t="s">
        <v>311</v>
      </c>
      <c r="E499" s="148" t="s">
        <v>312</v>
      </c>
      <c r="F499" s="148" t="s">
        <v>348</v>
      </c>
      <c r="G499" s="145" t="s">
        <v>314</v>
      </c>
      <c r="H499" s="145" t="s">
        <v>315</v>
      </c>
      <c r="I499" s="145" t="s">
        <v>349</v>
      </c>
      <c r="J499" s="146">
        <v>44105</v>
      </c>
      <c r="K499" s="146">
        <v>44136</v>
      </c>
      <c r="L499" s="146">
        <v>44166</v>
      </c>
      <c r="M499" s="146">
        <v>44197</v>
      </c>
      <c r="N499" s="146">
        <v>44228</v>
      </c>
      <c r="O499" s="146">
        <v>44256</v>
      </c>
      <c r="P499" s="146">
        <v>44287</v>
      </c>
      <c r="Q499" s="146">
        <v>44317</v>
      </c>
      <c r="R499" s="146">
        <v>44348</v>
      </c>
      <c r="S499" s="146">
        <v>44378</v>
      </c>
      <c r="T499" s="146">
        <v>44409</v>
      </c>
      <c r="U499" s="146">
        <v>44440</v>
      </c>
      <c r="V499" s="146">
        <v>44470</v>
      </c>
      <c r="W499" s="146">
        <v>44501</v>
      </c>
      <c r="X499" s="146">
        <v>44531</v>
      </c>
      <c r="Y499" s="146">
        <v>44562</v>
      </c>
      <c r="Z499" s="146">
        <v>44593</v>
      </c>
      <c r="AA499" s="146">
        <v>44621</v>
      </c>
      <c r="AB499" s="146">
        <v>44652</v>
      </c>
      <c r="AC499" s="146">
        <v>44682</v>
      </c>
      <c r="AD499" s="146">
        <v>44713</v>
      </c>
      <c r="AE499" s="146">
        <v>44743</v>
      </c>
      <c r="AF499" s="146">
        <v>44774</v>
      </c>
      <c r="AG499" s="146">
        <v>44805</v>
      </c>
      <c r="AH499" s="146">
        <v>44835</v>
      </c>
      <c r="AI499" s="146">
        <v>44866</v>
      </c>
      <c r="AJ499" s="146">
        <v>44896</v>
      </c>
      <c r="AK499" s="146">
        <v>44927</v>
      </c>
      <c r="AL499" s="146">
        <v>44958</v>
      </c>
      <c r="AM499" s="146">
        <v>44986</v>
      </c>
      <c r="AN499" s="146">
        <v>45017</v>
      </c>
      <c r="AO499" s="146">
        <v>45047</v>
      </c>
      <c r="AP499" s="146">
        <v>45078</v>
      </c>
      <c r="AQ499" s="146">
        <v>45108</v>
      </c>
      <c r="AR499" s="146">
        <v>45139</v>
      </c>
      <c r="AS499" s="146">
        <v>45170</v>
      </c>
      <c r="AT499" s="146">
        <v>45200</v>
      </c>
      <c r="AU499" s="146">
        <v>45231</v>
      </c>
      <c r="AV499" s="146">
        <v>45261</v>
      </c>
      <c r="AW499" s="146">
        <v>45292</v>
      </c>
      <c r="AX499" s="146">
        <v>45323</v>
      </c>
      <c r="AY499" s="146">
        <v>45352</v>
      </c>
      <c r="AZ499" s="146">
        <v>45383</v>
      </c>
      <c r="BA499" s="146">
        <v>45413</v>
      </c>
      <c r="BB499" s="146">
        <v>45444</v>
      </c>
      <c r="BC499" s="146">
        <v>45474</v>
      </c>
      <c r="BD499" s="146">
        <v>45505</v>
      </c>
      <c r="BE499" s="146">
        <v>45536</v>
      </c>
      <c r="BF499" s="146">
        <v>45566</v>
      </c>
      <c r="BG499" s="146">
        <v>45597</v>
      </c>
      <c r="BH499" s="146">
        <v>45627</v>
      </c>
      <c r="BI499" s="146">
        <v>45658</v>
      </c>
      <c r="BJ499" s="146">
        <v>45689</v>
      </c>
      <c r="BK499" s="146">
        <v>45717</v>
      </c>
      <c r="BL499" s="146"/>
      <c r="BM499" s="146"/>
      <c r="BN499" s="146"/>
      <c r="BO499" s="146"/>
      <c r="BP499" s="146"/>
      <c r="BQ499" s="146"/>
      <c r="BR499" s="146"/>
      <c r="BS499" s="146"/>
      <c r="BT499" s="146"/>
      <c r="BU499" s="146"/>
      <c r="BV499" s="146"/>
      <c r="BW499" s="146"/>
      <c r="BX499" s="147" t="s">
        <v>13</v>
      </c>
      <c r="BY499" s="5"/>
      <c r="BZ499" s="5"/>
      <c r="CA499" s="5"/>
    </row>
    <row r="500" spans="1:81" ht="15.75" customHeight="1">
      <c r="A500" s="264">
        <v>37</v>
      </c>
      <c r="B500" s="241" t="s">
        <v>80</v>
      </c>
      <c r="C500" s="253" t="s">
        <v>92</v>
      </c>
      <c r="D500" s="253" t="s">
        <v>89</v>
      </c>
      <c r="E500" s="250" t="s">
        <v>150</v>
      </c>
      <c r="F500" s="250" t="s">
        <v>150</v>
      </c>
      <c r="G500" s="256">
        <f>'CONSOLIDADO ATIVO INATIVO NOVO'!J48</f>
        <v>44972</v>
      </c>
      <c r="H500" s="256">
        <f>'CONSOLIDADO ATIVO INATIVO NOVO'!K48</f>
        <v>45299</v>
      </c>
      <c r="I500" s="21" t="s">
        <v>350</v>
      </c>
      <c r="J500" s="21"/>
      <c r="K500" s="21"/>
      <c r="L500" s="21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105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1"/>
      <c r="BZ500" s="1"/>
      <c r="CA500" s="1"/>
      <c r="CC500" s="6"/>
    </row>
    <row r="501" spans="1:81" ht="15.75" customHeight="1">
      <c r="A501" s="265"/>
      <c r="B501" s="241"/>
      <c r="C501" s="254"/>
      <c r="D501" s="254"/>
      <c r="E501" s="251"/>
      <c r="F501" s="251"/>
      <c r="G501" s="254"/>
      <c r="H501" s="254"/>
      <c r="I501" s="21" t="s">
        <v>351</v>
      </c>
      <c r="J501" s="21"/>
      <c r="K501" s="12"/>
      <c r="L501" s="12"/>
      <c r="M501" s="12"/>
      <c r="N501" s="12"/>
      <c r="O501" s="12"/>
      <c r="P501" s="12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>
        <v>683.53</v>
      </c>
      <c r="AI501" s="3">
        <v>1708.83</v>
      </c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105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1"/>
      <c r="BZ501" s="1"/>
      <c r="CA501" s="1"/>
      <c r="CC501" s="6"/>
    </row>
    <row r="502" spans="1:81" ht="15.75" customHeight="1">
      <c r="A502" s="265"/>
      <c r="B502" s="241"/>
      <c r="C502" s="254"/>
      <c r="D502" s="254"/>
      <c r="E502" s="251"/>
      <c r="F502" s="251"/>
      <c r="G502" s="254"/>
      <c r="H502" s="254"/>
      <c r="I502" s="21" t="s">
        <v>371</v>
      </c>
      <c r="J502" s="21"/>
      <c r="K502" s="12"/>
      <c r="L502" s="12"/>
      <c r="M502" s="12"/>
      <c r="N502" s="12"/>
      <c r="O502" s="12"/>
      <c r="P502" s="12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105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1"/>
      <c r="BZ502" s="1"/>
      <c r="CA502" s="1"/>
      <c r="CC502" s="6"/>
    </row>
    <row r="503" spans="1:81" ht="15.75" customHeight="1">
      <c r="A503" s="265"/>
      <c r="B503" s="241"/>
      <c r="C503" s="254"/>
      <c r="D503" s="254"/>
      <c r="E503" s="251"/>
      <c r="F503" s="251"/>
      <c r="G503" s="254"/>
      <c r="H503" s="254"/>
      <c r="I503" s="21" t="s">
        <v>353</v>
      </c>
      <c r="J503" s="21"/>
      <c r="K503" s="12"/>
      <c r="L503" s="3"/>
      <c r="M503" s="12"/>
      <c r="N503" s="12"/>
      <c r="O503" s="12"/>
      <c r="P503" s="12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105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1"/>
      <c r="BZ503" s="1"/>
      <c r="CA503" s="1"/>
      <c r="CC503" s="6"/>
    </row>
    <row r="504" spans="1:81" ht="15.75" customHeight="1">
      <c r="A504" s="265"/>
      <c r="B504" s="241"/>
      <c r="C504" s="254"/>
      <c r="D504" s="254"/>
      <c r="E504" s="251"/>
      <c r="F504" s="251"/>
      <c r="G504" s="254"/>
      <c r="H504" s="254"/>
      <c r="I504" s="21" t="s">
        <v>354</v>
      </c>
      <c r="J504" s="21"/>
      <c r="K504" s="12"/>
      <c r="L504" s="3"/>
      <c r="M504" s="12"/>
      <c r="N504" s="12"/>
      <c r="O504" s="12"/>
      <c r="P504" s="12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105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1"/>
      <c r="BZ504" s="1"/>
      <c r="CA504" s="1"/>
      <c r="CC504" s="6"/>
    </row>
    <row r="505" spans="1:81" ht="15.75" customHeight="1">
      <c r="A505" s="265"/>
      <c r="B505" s="241"/>
      <c r="C505" s="254"/>
      <c r="D505" s="254"/>
      <c r="E505" s="251"/>
      <c r="F505" s="251"/>
      <c r="G505" s="254"/>
      <c r="H505" s="254"/>
      <c r="I505" s="21" t="s">
        <v>355</v>
      </c>
      <c r="J505" s="21"/>
      <c r="K505" s="12"/>
      <c r="L505" s="3"/>
      <c r="M505" s="12"/>
      <c r="N505" s="12"/>
      <c r="O505" s="12"/>
      <c r="P505" s="12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105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1"/>
      <c r="BZ505" s="1"/>
      <c r="CA505" s="1"/>
      <c r="CC505" s="6"/>
    </row>
    <row r="506" spans="1:81" ht="15.75" customHeight="1">
      <c r="A506" s="265"/>
      <c r="B506" s="241"/>
      <c r="C506" s="254"/>
      <c r="D506" s="254"/>
      <c r="E506" s="251"/>
      <c r="F506" s="251"/>
      <c r="G506" s="254"/>
      <c r="H506" s="254"/>
      <c r="I506" s="21" t="s">
        <v>356</v>
      </c>
      <c r="J506" s="21"/>
      <c r="K506" s="12"/>
      <c r="L506" s="12"/>
      <c r="M506" s="12"/>
      <c r="N506" s="12"/>
      <c r="O506" s="12"/>
      <c r="P506" s="12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105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1"/>
      <c r="BZ506" s="1"/>
      <c r="CA506" s="1"/>
      <c r="CC506" s="6"/>
    </row>
    <row r="507" spans="1:81" ht="15.75" customHeight="1">
      <c r="A507" s="265"/>
      <c r="B507" s="241"/>
      <c r="C507" s="254"/>
      <c r="D507" s="254"/>
      <c r="E507" s="251"/>
      <c r="F507" s="251"/>
      <c r="G507" s="254"/>
      <c r="H507" s="254"/>
      <c r="I507" s="21" t="s">
        <v>357</v>
      </c>
      <c r="J507" s="21"/>
      <c r="K507" s="12"/>
      <c r="L507" s="12"/>
      <c r="M507" s="12"/>
      <c r="N507" s="12"/>
      <c r="O507" s="12"/>
      <c r="P507" s="12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>
        <v>181.31</v>
      </c>
      <c r="AI507" s="3">
        <f>374.23+82.05</f>
        <v>456.28000000000003</v>
      </c>
      <c r="AJ507" s="3">
        <v>26.49</v>
      </c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105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1"/>
      <c r="BZ507" s="1"/>
      <c r="CA507" s="1"/>
      <c r="CC507" s="6"/>
    </row>
    <row r="508" spans="1:81" ht="15.75" customHeight="1">
      <c r="A508" s="265"/>
      <c r="B508" s="241"/>
      <c r="C508" s="254"/>
      <c r="D508" s="254"/>
      <c r="E508" s="251"/>
      <c r="F508" s="251"/>
      <c r="G508" s="254"/>
      <c r="H508" s="254"/>
      <c r="I508" s="23" t="s">
        <v>362</v>
      </c>
      <c r="J508" s="23"/>
      <c r="K508" s="14"/>
      <c r="L508" s="14"/>
      <c r="M508" s="12"/>
      <c r="N508" s="12"/>
      <c r="O508" s="12"/>
      <c r="P508" s="12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>
        <f>355.77+14.8</f>
        <v>370.57</v>
      </c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105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1"/>
      <c r="BZ508" s="1"/>
      <c r="CA508" s="1"/>
      <c r="CC508" s="6"/>
    </row>
    <row r="509" spans="1:81" ht="15.75" customHeight="1">
      <c r="A509" s="265"/>
      <c r="B509" s="241"/>
      <c r="C509" s="254"/>
      <c r="D509" s="254"/>
      <c r="E509" s="251"/>
      <c r="F509" s="251"/>
      <c r="G509" s="254"/>
      <c r="H509" s="254"/>
      <c r="I509" s="22" t="s">
        <v>363</v>
      </c>
      <c r="J509" s="22"/>
      <c r="K509" s="45"/>
      <c r="L509" s="1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81">
        <v>71.2</v>
      </c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105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1"/>
      <c r="BZ509" s="1"/>
      <c r="CA509" s="1"/>
      <c r="CC509" s="6"/>
    </row>
    <row r="510" spans="1:81" ht="15.75" customHeight="1">
      <c r="A510" s="265"/>
      <c r="B510" s="241"/>
      <c r="C510" s="254"/>
      <c r="D510" s="254"/>
      <c r="E510" s="251"/>
      <c r="F510" s="251"/>
      <c r="G510" s="254"/>
      <c r="H510" s="254"/>
      <c r="I510" s="44" t="s">
        <v>373</v>
      </c>
      <c r="J510" s="44"/>
      <c r="K510" s="45"/>
      <c r="L510" s="45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>
        <v>51.26</v>
      </c>
      <c r="AI510" s="3">
        <v>135.61000000000001</v>
      </c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105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1"/>
      <c r="BZ510" s="1"/>
      <c r="CA510" s="1"/>
      <c r="CC510" s="6"/>
    </row>
    <row r="511" spans="1:81" s="25" customFormat="1" ht="15.75" customHeight="1">
      <c r="A511" s="266"/>
      <c r="B511" s="241"/>
      <c r="C511" s="255"/>
      <c r="D511" s="255"/>
      <c r="E511" s="252"/>
      <c r="F511" s="252"/>
      <c r="G511" s="255"/>
      <c r="H511" s="255"/>
      <c r="I511" s="52"/>
      <c r="J511" s="22">
        <f>SUM(J500:J509)-J510</f>
        <v>0</v>
      </c>
      <c r="K511" s="22">
        <f t="shared" ref="K511:AD511" si="258">SUM(K500:K509)-K510</f>
        <v>0</v>
      </c>
      <c r="L511" s="22">
        <f t="shared" si="258"/>
        <v>0</v>
      </c>
      <c r="M511" s="22">
        <f t="shared" si="258"/>
        <v>0</v>
      </c>
      <c r="N511" s="22">
        <f t="shared" si="258"/>
        <v>0</v>
      </c>
      <c r="O511" s="22">
        <f t="shared" si="258"/>
        <v>0</v>
      </c>
      <c r="P511" s="22">
        <f t="shared" si="258"/>
        <v>0</v>
      </c>
      <c r="Q511" s="22">
        <f t="shared" si="258"/>
        <v>0</v>
      </c>
      <c r="R511" s="22">
        <f t="shared" si="258"/>
        <v>0</v>
      </c>
      <c r="S511" s="22">
        <f t="shared" si="258"/>
        <v>0</v>
      </c>
      <c r="T511" s="22">
        <f t="shared" si="258"/>
        <v>0</v>
      </c>
      <c r="U511" s="22">
        <f t="shared" si="258"/>
        <v>0</v>
      </c>
      <c r="V511" s="22">
        <f t="shared" si="258"/>
        <v>0</v>
      </c>
      <c r="W511" s="22">
        <f t="shared" si="258"/>
        <v>0</v>
      </c>
      <c r="X511" s="22">
        <f t="shared" si="258"/>
        <v>0</v>
      </c>
      <c r="Y511" s="22">
        <f t="shared" si="258"/>
        <v>0</v>
      </c>
      <c r="Z511" s="22">
        <f t="shared" si="258"/>
        <v>0</v>
      </c>
      <c r="AA511" s="22">
        <f t="shared" si="258"/>
        <v>0</v>
      </c>
      <c r="AB511" s="22">
        <f t="shared" si="258"/>
        <v>0</v>
      </c>
      <c r="AC511" s="22">
        <f t="shared" si="258"/>
        <v>0</v>
      </c>
      <c r="AD511" s="22">
        <f t="shared" si="258"/>
        <v>0</v>
      </c>
      <c r="AE511" s="22">
        <f>SUM(AE500:AE509)-AE510</f>
        <v>0</v>
      </c>
      <c r="AF511" s="22">
        <f>SUM(AF500:AF509)-AF510</f>
        <v>0</v>
      </c>
      <c r="AG511" s="22">
        <f t="shared" ref="AG511" si="259">SUM(AG500:AG509)-AG510</f>
        <v>0</v>
      </c>
      <c r="AH511" s="22">
        <f>SUM(AH500:AH509)-AH510</f>
        <v>813.57999999999993</v>
      </c>
      <c r="AI511" s="22">
        <f>SUM(AI500:AI509)-AI510</f>
        <v>2100.6999999999998</v>
      </c>
      <c r="AJ511" s="22">
        <f t="shared" ref="AJ511" si="260">SUM(AJ500:AJ509)-AJ510</f>
        <v>397.06</v>
      </c>
      <c r="AK511" s="22">
        <f t="shared" ref="AK511:AP511" si="261">SUM(AK500:AK509)-AK510</f>
        <v>0</v>
      </c>
      <c r="AL511" s="22">
        <f t="shared" si="261"/>
        <v>0</v>
      </c>
      <c r="AM511" s="22">
        <f t="shared" si="261"/>
        <v>0</v>
      </c>
      <c r="AN511" s="22">
        <f t="shared" si="261"/>
        <v>0</v>
      </c>
      <c r="AO511" s="22">
        <f t="shared" si="261"/>
        <v>0</v>
      </c>
      <c r="AP511" s="22">
        <f t="shared" si="261"/>
        <v>0</v>
      </c>
      <c r="AQ511" s="22">
        <f t="shared" ref="AQ511:AT511" si="262">SUM(AQ500:AQ509)-AQ510</f>
        <v>0</v>
      </c>
      <c r="AR511" s="22">
        <f t="shared" si="262"/>
        <v>0</v>
      </c>
      <c r="AS511" s="22">
        <f t="shared" si="262"/>
        <v>0</v>
      </c>
      <c r="AT511" s="22">
        <f t="shared" si="262"/>
        <v>0</v>
      </c>
      <c r="AU511" s="22">
        <f>SUM(AU500:AU509)-AU510</f>
        <v>0</v>
      </c>
      <c r="AV511" s="22">
        <f t="shared" ref="AV511:BC511" si="263">SUM(AV500:AV509)-AV510</f>
        <v>0</v>
      </c>
      <c r="AW511" s="22">
        <f t="shared" si="263"/>
        <v>0</v>
      </c>
      <c r="AX511" s="22">
        <f t="shared" si="263"/>
        <v>0</v>
      </c>
      <c r="AY511" s="22">
        <f t="shared" si="263"/>
        <v>0</v>
      </c>
      <c r="AZ511" s="3">
        <f t="shared" si="263"/>
        <v>0</v>
      </c>
      <c r="BA511" s="3">
        <f t="shared" si="263"/>
        <v>0</v>
      </c>
      <c r="BB511" s="105">
        <f t="shared" si="263"/>
        <v>0</v>
      </c>
      <c r="BC511" s="3">
        <f t="shared" si="263"/>
        <v>0</v>
      </c>
      <c r="BD511" s="3">
        <f t="shared" ref="BD511" si="264">SUM(BD500:BD509)-BD510</f>
        <v>0</v>
      </c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22">
        <f>SUM(J511:AY511)</f>
        <v>3311.3399999999997</v>
      </c>
      <c r="BY511" s="55"/>
      <c r="BZ511" s="55"/>
      <c r="CA511" s="55"/>
      <c r="CC511" s="56"/>
    </row>
    <row r="512" spans="1:81" ht="15.6" customHeight="1">
      <c r="A512" s="148" t="s">
        <v>346</v>
      </c>
      <c r="B512" s="148" t="s">
        <v>347</v>
      </c>
      <c r="C512" s="145" t="s">
        <v>310</v>
      </c>
      <c r="D512" s="145" t="s">
        <v>311</v>
      </c>
      <c r="E512" s="148" t="s">
        <v>312</v>
      </c>
      <c r="F512" s="148" t="s">
        <v>348</v>
      </c>
      <c r="G512" s="145" t="s">
        <v>314</v>
      </c>
      <c r="H512" s="145" t="s">
        <v>315</v>
      </c>
      <c r="I512" s="145" t="s">
        <v>349</v>
      </c>
      <c r="J512" s="146">
        <v>44105</v>
      </c>
      <c r="K512" s="146">
        <v>44136</v>
      </c>
      <c r="L512" s="146">
        <v>44166</v>
      </c>
      <c r="M512" s="146">
        <v>44197</v>
      </c>
      <c r="N512" s="146">
        <v>44228</v>
      </c>
      <c r="O512" s="146">
        <v>44256</v>
      </c>
      <c r="P512" s="146">
        <v>44287</v>
      </c>
      <c r="Q512" s="146">
        <v>44317</v>
      </c>
      <c r="R512" s="146">
        <v>44348</v>
      </c>
      <c r="S512" s="146">
        <v>44378</v>
      </c>
      <c r="T512" s="146">
        <v>44409</v>
      </c>
      <c r="U512" s="146">
        <v>44440</v>
      </c>
      <c r="V512" s="146">
        <v>44470</v>
      </c>
      <c r="W512" s="146">
        <v>44501</v>
      </c>
      <c r="X512" s="146">
        <v>44531</v>
      </c>
      <c r="Y512" s="146">
        <v>44562</v>
      </c>
      <c r="Z512" s="146">
        <v>44593</v>
      </c>
      <c r="AA512" s="146">
        <v>44621</v>
      </c>
      <c r="AB512" s="146">
        <v>44652</v>
      </c>
      <c r="AC512" s="146">
        <v>44682</v>
      </c>
      <c r="AD512" s="146">
        <v>44713</v>
      </c>
      <c r="AE512" s="146">
        <v>44743</v>
      </c>
      <c r="AF512" s="146">
        <v>44774</v>
      </c>
      <c r="AG512" s="146">
        <v>44805</v>
      </c>
      <c r="AH512" s="146">
        <v>44835</v>
      </c>
      <c r="AI512" s="146">
        <v>44866</v>
      </c>
      <c r="AJ512" s="146">
        <v>44896</v>
      </c>
      <c r="AK512" s="146">
        <v>44927</v>
      </c>
      <c r="AL512" s="146">
        <v>44958</v>
      </c>
      <c r="AM512" s="146">
        <v>44986</v>
      </c>
      <c r="AN512" s="146">
        <v>45017</v>
      </c>
      <c r="AO512" s="146">
        <v>45047</v>
      </c>
      <c r="AP512" s="146">
        <v>45078</v>
      </c>
      <c r="AQ512" s="146">
        <v>45108</v>
      </c>
      <c r="AR512" s="146">
        <v>45139</v>
      </c>
      <c r="AS512" s="146">
        <v>45170</v>
      </c>
      <c r="AT512" s="146">
        <v>45200</v>
      </c>
      <c r="AU512" s="146">
        <v>45231</v>
      </c>
      <c r="AV512" s="146">
        <v>45261</v>
      </c>
      <c r="AW512" s="146">
        <v>45292</v>
      </c>
      <c r="AX512" s="146">
        <v>45323</v>
      </c>
      <c r="AY512" s="146">
        <v>45352</v>
      </c>
      <c r="AZ512" s="146">
        <v>45383</v>
      </c>
      <c r="BA512" s="146">
        <v>45413</v>
      </c>
      <c r="BB512" s="146">
        <v>45444</v>
      </c>
      <c r="BC512" s="146">
        <v>45474</v>
      </c>
      <c r="BD512" s="146">
        <v>45505</v>
      </c>
      <c r="BE512" s="146">
        <v>45536</v>
      </c>
      <c r="BF512" s="146">
        <v>45566</v>
      </c>
      <c r="BG512" s="146">
        <v>45597</v>
      </c>
      <c r="BH512" s="146">
        <v>45627</v>
      </c>
      <c r="BI512" s="146">
        <v>45658</v>
      </c>
      <c r="BJ512" s="146">
        <v>45689</v>
      </c>
      <c r="BK512" s="146">
        <v>45717</v>
      </c>
      <c r="BL512" s="146">
        <v>45748</v>
      </c>
      <c r="BM512" s="146">
        <v>45778</v>
      </c>
      <c r="BN512" s="146">
        <v>45809</v>
      </c>
      <c r="BO512" s="146">
        <v>45839</v>
      </c>
      <c r="BP512" s="146">
        <v>45870</v>
      </c>
      <c r="BQ512" s="146">
        <v>45901</v>
      </c>
      <c r="BR512" s="146">
        <v>45931</v>
      </c>
      <c r="BS512" s="146">
        <v>45962</v>
      </c>
      <c r="BT512" s="146">
        <v>45992</v>
      </c>
      <c r="BU512" s="146">
        <v>46023</v>
      </c>
      <c r="BV512" s="146">
        <v>46054</v>
      </c>
      <c r="BW512" s="146"/>
      <c r="BX512" s="147" t="s">
        <v>13</v>
      </c>
      <c r="BY512" s="5"/>
      <c r="BZ512" s="5"/>
      <c r="CA512" s="5"/>
    </row>
    <row r="513" spans="1:81" s="107" customFormat="1" ht="15.75" customHeight="1">
      <c r="A513" s="267">
        <v>38</v>
      </c>
      <c r="B513" s="241" t="s">
        <v>386</v>
      </c>
      <c r="C513" s="250" t="s">
        <v>23</v>
      </c>
      <c r="D513" s="250" t="s">
        <v>89</v>
      </c>
      <c r="E513" s="250" t="s">
        <v>150</v>
      </c>
      <c r="F513" s="250" t="s">
        <v>150</v>
      </c>
      <c r="G513" s="271">
        <f>'CONSOLIDADO ATIVO INATIVO NOVO'!J49</f>
        <v>45145</v>
      </c>
      <c r="H513" s="250"/>
      <c r="I513" s="106" t="s">
        <v>350</v>
      </c>
      <c r="J513" s="106"/>
      <c r="K513" s="106"/>
      <c r="L513" s="106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  <c r="AU513" s="105"/>
      <c r="AV513" s="105"/>
      <c r="AW513" s="105"/>
      <c r="AX513" s="105"/>
      <c r="AY513" s="105"/>
      <c r="AZ513" s="105"/>
      <c r="BA513" s="105"/>
      <c r="BB513" s="105"/>
      <c r="BC513" s="105"/>
      <c r="BD513" s="105"/>
      <c r="BE513" s="105"/>
      <c r="BF513" s="105"/>
      <c r="BG513" s="105"/>
      <c r="BH513" s="105"/>
      <c r="BI513" s="105"/>
      <c r="BJ513" s="105"/>
      <c r="BK513" s="105"/>
      <c r="BL513" s="105"/>
      <c r="BM513" s="105"/>
      <c r="BN513" s="105"/>
      <c r="BO513" s="105"/>
      <c r="BP513" s="105"/>
      <c r="BQ513" s="105"/>
      <c r="BR513" s="105"/>
      <c r="BS513" s="105"/>
      <c r="BT513" s="105"/>
      <c r="BU513" s="105"/>
      <c r="BV513" s="105"/>
      <c r="BW513" s="105"/>
      <c r="BX513" s="105"/>
      <c r="BY513" s="117"/>
      <c r="BZ513" s="117"/>
      <c r="CA513" s="117"/>
      <c r="CC513" s="118"/>
    </row>
    <row r="514" spans="1:81" s="107" customFormat="1" ht="15.75" customHeight="1">
      <c r="A514" s="268"/>
      <c r="B514" s="241"/>
      <c r="C514" s="251"/>
      <c r="D514" s="251"/>
      <c r="E514" s="251"/>
      <c r="F514" s="251"/>
      <c r="G514" s="251"/>
      <c r="H514" s="251"/>
      <c r="I514" s="106" t="s">
        <v>351</v>
      </c>
      <c r="J514" s="106"/>
      <c r="K514" s="109"/>
      <c r="L514" s="109"/>
      <c r="M514" s="109"/>
      <c r="N514" s="109"/>
      <c r="O514" s="109"/>
      <c r="P514" s="109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05"/>
      <c r="BF514" s="105"/>
      <c r="BG514" s="105">
        <v>1418.19</v>
      </c>
      <c r="BH514" s="105">
        <v>1849.81</v>
      </c>
      <c r="BI514" s="105">
        <v>1849.81</v>
      </c>
      <c r="BJ514" s="105">
        <v>1849.81</v>
      </c>
      <c r="BK514" s="105">
        <f t="shared" ref="BK514:BR514" si="265">1849.81+65</f>
        <v>1914.81</v>
      </c>
      <c r="BL514" s="105">
        <f t="shared" si="265"/>
        <v>1914.81</v>
      </c>
      <c r="BM514" s="105">
        <f t="shared" si="265"/>
        <v>1914.81</v>
      </c>
      <c r="BN514" s="105">
        <f t="shared" si="265"/>
        <v>1914.81</v>
      </c>
      <c r="BO514" s="105">
        <f t="shared" si="265"/>
        <v>1914.81</v>
      </c>
      <c r="BP514" s="105">
        <f t="shared" si="265"/>
        <v>1914.81</v>
      </c>
      <c r="BQ514" s="105">
        <f t="shared" si="265"/>
        <v>1914.81</v>
      </c>
      <c r="BR514" s="105">
        <f t="shared" si="265"/>
        <v>1914.81</v>
      </c>
      <c r="BS514" s="105">
        <v>2064.11</v>
      </c>
      <c r="BT514" s="105">
        <f>1849.81+65+1.77</f>
        <v>1916.58</v>
      </c>
      <c r="BU514" s="105">
        <f>1849.81+65+1.77</f>
        <v>1916.58</v>
      </c>
      <c r="BV514" s="105"/>
      <c r="BW514" s="105"/>
      <c r="BX514" s="105"/>
      <c r="BY514" s="117"/>
      <c r="BZ514" s="117"/>
      <c r="CA514" s="117"/>
      <c r="CC514" s="118"/>
    </row>
    <row r="515" spans="1:81" s="107" customFormat="1" ht="15.75" customHeight="1">
      <c r="A515" s="268"/>
      <c r="B515" s="241"/>
      <c r="C515" s="251"/>
      <c r="D515" s="251"/>
      <c r="E515" s="251"/>
      <c r="F515" s="251"/>
      <c r="G515" s="251"/>
      <c r="H515" s="251"/>
      <c r="I515" s="106" t="s">
        <v>371</v>
      </c>
      <c r="J515" s="106"/>
      <c r="K515" s="109"/>
      <c r="L515" s="109"/>
      <c r="M515" s="109"/>
      <c r="N515" s="109"/>
      <c r="O515" s="109"/>
      <c r="P515" s="109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05"/>
      <c r="BF515" s="105"/>
      <c r="BG515" s="105"/>
      <c r="BH515" s="105">
        <v>500</v>
      </c>
      <c r="BI515" s="105">
        <v>500</v>
      </c>
      <c r="BJ515" s="105">
        <v>500</v>
      </c>
      <c r="BK515" s="105"/>
      <c r="BL515" s="105"/>
      <c r="BM515" s="105"/>
      <c r="BN515" s="105"/>
      <c r="BO515" s="105"/>
      <c r="BP515" s="105"/>
      <c r="BQ515" s="105"/>
      <c r="BR515" s="105"/>
      <c r="BS515" s="105"/>
      <c r="BT515" s="105"/>
      <c r="BU515" s="105"/>
      <c r="BV515" s="105"/>
      <c r="BW515" s="105"/>
      <c r="BX515" s="105"/>
      <c r="BY515" s="117"/>
      <c r="BZ515" s="117"/>
      <c r="CA515" s="117"/>
      <c r="CC515" s="118"/>
    </row>
    <row r="516" spans="1:81" s="107" customFormat="1" ht="15.75" customHeight="1">
      <c r="A516" s="268"/>
      <c r="B516" s="241"/>
      <c r="C516" s="251"/>
      <c r="D516" s="251"/>
      <c r="E516" s="251"/>
      <c r="F516" s="251"/>
      <c r="G516" s="251"/>
      <c r="H516" s="251"/>
      <c r="I516" s="106" t="s">
        <v>353</v>
      </c>
      <c r="J516" s="106"/>
      <c r="K516" s="109"/>
      <c r="L516" s="105"/>
      <c r="M516" s="109"/>
      <c r="N516" s="109"/>
      <c r="O516" s="109"/>
      <c r="P516" s="109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05"/>
      <c r="BF516" s="105"/>
      <c r="BG516" s="105"/>
      <c r="BH516" s="105"/>
      <c r="BI516" s="105"/>
      <c r="BJ516" s="105"/>
      <c r="BK516" s="105">
        <f>229.54+45.91</f>
        <v>275.45</v>
      </c>
      <c r="BL516" s="105"/>
      <c r="BM516" s="105"/>
      <c r="BN516" s="105"/>
      <c r="BO516" s="105"/>
      <c r="BP516" s="105"/>
      <c r="BQ516" s="105"/>
      <c r="BR516" s="105"/>
      <c r="BS516" s="105"/>
      <c r="BT516" s="105"/>
      <c r="BU516" s="105"/>
      <c r="BV516" s="105"/>
      <c r="BW516" s="105"/>
      <c r="BX516" s="105"/>
      <c r="BY516" s="117"/>
      <c r="BZ516" s="117"/>
      <c r="CA516" s="117"/>
      <c r="CC516" s="118"/>
    </row>
    <row r="517" spans="1:81" s="107" customFormat="1" ht="15.75" customHeight="1">
      <c r="A517" s="268"/>
      <c r="B517" s="241"/>
      <c r="C517" s="251"/>
      <c r="D517" s="251"/>
      <c r="E517" s="251"/>
      <c r="F517" s="251"/>
      <c r="G517" s="251"/>
      <c r="H517" s="251"/>
      <c r="I517" s="106" t="s">
        <v>354</v>
      </c>
      <c r="J517" s="106"/>
      <c r="K517" s="109"/>
      <c r="L517" s="105"/>
      <c r="M517" s="109"/>
      <c r="N517" s="109"/>
      <c r="O517" s="109"/>
      <c r="P517" s="109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5"/>
      <c r="BE517" s="105"/>
      <c r="BF517" s="105"/>
      <c r="BG517" s="105"/>
      <c r="BH517" s="105"/>
      <c r="BI517" s="105"/>
      <c r="BJ517" s="105"/>
      <c r="BK517" s="105"/>
      <c r="BL517" s="105"/>
      <c r="BM517" s="105"/>
      <c r="BN517" s="105"/>
      <c r="BO517" s="105"/>
      <c r="BP517" s="105"/>
      <c r="BQ517" s="105"/>
      <c r="BR517" s="105"/>
      <c r="BS517" s="105"/>
      <c r="BT517" s="105"/>
      <c r="BU517" s="105"/>
      <c r="BV517" s="105"/>
      <c r="BW517" s="105"/>
      <c r="BX517" s="105"/>
      <c r="BY517" s="117"/>
      <c r="BZ517" s="117"/>
      <c r="CA517" s="117"/>
      <c r="CC517" s="118"/>
    </row>
    <row r="518" spans="1:81" s="107" customFormat="1" ht="15.75" customHeight="1">
      <c r="A518" s="268"/>
      <c r="B518" s="241"/>
      <c r="C518" s="251"/>
      <c r="D518" s="251"/>
      <c r="E518" s="251"/>
      <c r="F518" s="251"/>
      <c r="G518" s="251"/>
      <c r="H518" s="251"/>
      <c r="I518" s="106" t="s">
        <v>376</v>
      </c>
      <c r="J518" s="106"/>
      <c r="K518" s="109"/>
      <c r="L518" s="105"/>
      <c r="M518" s="109"/>
      <c r="N518" s="109"/>
      <c r="O518" s="109"/>
      <c r="P518" s="109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05"/>
      <c r="BF518" s="105"/>
      <c r="BG518" s="105"/>
      <c r="BH518" s="105"/>
      <c r="BI518" s="105"/>
      <c r="BJ518" s="105">
        <v>900</v>
      </c>
      <c r="BK518" s="105"/>
      <c r="BL518" s="105">
        <v>1200</v>
      </c>
      <c r="BM518" s="105"/>
      <c r="BN518" s="105"/>
      <c r="BO518" s="105"/>
      <c r="BP518" s="105"/>
      <c r="BQ518" s="105"/>
      <c r="BR518" s="105"/>
      <c r="BS518" s="105"/>
      <c r="BT518" s="105"/>
      <c r="BU518" s="105"/>
      <c r="BV518" s="105"/>
      <c r="BW518" s="105"/>
      <c r="BX518" s="105"/>
      <c r="BY518" s="117"/>
      <c r="BZ518" s="117"/>
      <c r="CA518" s="117"/>
      <c r="CC518" s="118"/>
    </row>
    <row r="519" spans="1:81" s="107" customFormat="1" ht="15.75" customHeight="1">
      <c r="A519" s="268"/>
      <c r="B519" s="241"/>
      <c r="C519" s="251"/>
      <c r="D519" s="251"/>
      <c r="E519" s="251"/>
      <c r="F519" s="251"/>
      <c r="G519" s="251"/>
      <c r="H519" s="251"/>
      <c r="I519" s="106" t="s">
        <v>356</v>
      </c>
      <c r="J519" s="106"/>
      <c r="K519" s="109"/>
      <c r="L519" s="109"/>
      <c r="M519" s="109"/>
      <c r="N519" s="109"/>
      <c r="O519" s="109"/>
      <c r="P519" s="109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  <c r="AU519" s="105"/>
      <c r="AV519" s="105"/>
      <c r="AW519" s="105"/>
      <c r="AX519" s="105"/>
      <c r="AY519" s="105"/>
      <c r="AZ519" s="105"/>
      <c r="BA519" s="105"/>
      <c r="BB519" s="105"/>
      <c r="BC519" s="105"/>
      <c r="BD519" s="105"/>
      <c r="BE519" s="105"/>
      <c r="BF519" s="105"/>
      <c r="BG519" s="105">
        <v>333.04</v>
      </c>
      <c r="BH519" s="105">
        <v>458.61</v>
      </c>
      <c r="BI519" s="105">
        <v>458.61</v>
      </c>
      <c r="BJ519" s="105">
        <v>550.4</v>
      </c>
      <c r="BK519" s="105">
        <f>249.6+320</f>
        <v>569.6</v>
      </c>
      <c r="BL519" s="105">
        <f>320+252</f>
        <v>572</v>
      </c>
      <c r="BM519" s="105">
        <f>325.5+320</f>
        <v>645.5</v>
      </c>
      <c r="BN519" s="105">
        <f>320+252</f>
        <v>572</v>
      </c>
      <c r="BO519" s="105">
        <f>328+320</f>
        <v>648</v>
      </c>
      <c r="BP519" s="105">
        <f>320+432.5</f>
        <v>752.5</v>
      </c>
      <c r="BQ519" s="105">
        <f>504+320</f>
        <v>824</v>
      </c>
      <c r="BR519" s="105">
        <f>514.5+320</f>
        <v>834.5</v>
      </c>
      <c r="BS519" s="105">
        <v>761</v>
      </c>
      <c r="BT519" s="105">
        <f>441+320</f>
        <v>761</v>
      </c>
      <c r="BU519" s="105">
        <f>493.5+320</f>
        <v>813.5</v>
      </c>
      <c r="BV519" s="105">
        <f>462+320</f>
        <v>782</v>
      </c>
      <c r="BW519" s="105"/>
      <c r="BX519" s="105"/>
      <c r="BY519" s="117"/>
      <c r="BZ519" s="117"/>
      <c r="CA519" s="117"/>
      <c r="CC519" s="118"/>
    </row>
    <row r="520" spans="1:81" s="107" customFormat="1" ht="15.75" customHeight="1">
      <c r="A520" s="268"/>
      <c r="B520" s="241"/>
      <c r="C520" s="251"/>
      <c r="D520" s="251"/>
      <c r="E520" s="251"/>
      <c r="F520" s="251"/>
      <c r="G520" s="251"/>
      <c r="H520" s="251"/>
      <c r="I520" s="106" t="s">
        <v>357</v>
      </c>
      <c r="J520" s="106"/>
      <c r="K520" s="109"/>
      <c r="L520" s="109"/>
      <c r="M520" s="109"/>
      <c r="N520" s="109"/>
      <c r="O520" s="109"/>
      <c r="P520" s="109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05"/>
      <c r="BF520" s="105"/>
      <c r="BG520" s="105"/>
      <c r="BH520" s="105"/>
      <c r="BI520" s="105"/>
      <c r="BJ520" s="105"/>
      <c r="BK520" s="105"/>
      <c r="BL520" s="105"/>
      <c r="BM520" s="105"/>
      <c r="BN520" s="105"/>
      <c r="BO520" s="105"/>
      <c r="BP520" s="105"/>
      <c r="BQ520" s="105"/>
      <c r="BR520" s="105"/>
      <c r="BS520" s="105"/>
      <c r="BT520" s="105"/>
      <c r="BU520" s="105"/>
      <c r="BV520" s="105"/>
      <c r="BW520" s="105"/>
      <c r="BX520" s="105"/>
      <c r="BY520" s="117"/>
      <c r="BZ520" s="117"/>
      <c r="CA520" s="117"/>
      <c r="CC520" s="118"/>
    </row>
    <row r="521" spans="1:81" s="107" customFormat="1" ht="15.75" customHeight="1">
      <c r="A521" s="268"/>
      <c r="B521" s="241"/>
      <c r="C521" s="251"/>
      <c r="D521" s="251"/>
      <c r="E521" s="251"/>
      <c r="F521" s="251"/>
      <c r="G521" s="251"/>
      <c r="H521" s="251"/>
      <c r="I521" s="131">
        <v>5781</v>
      </c>
      <c r="J521" s="131"/>
      <c r="K521" s="111"/>
      <c r="L521" s="111"/>
      <c r="M521" s="109"/>
      <c r="N521" s="109"/>
      <c r="O521" s="109"/>
      <c r="P521" s="109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  <c r="AU521" s="105"/>
      <c r="AV521" s="105"/>
      <c r="AW521" s="105"/>
      <c r="AX521" s="105"/>
      <c r="AY521" s="105"/>
      <c r="AZ521" s="105"/>
      <c r="BA521" s="105"/>
      <c r="BB521" s="105"/>
      <c r="BC521" s="105"/>
      <c r="BD521" s="105"/>
      <c r="BE521" s="105"/>
      <c r="BF521" s="105"/>
      <c r="BG521" s="105"/>
      <c r="BH521" s="105"/>
      <c r="BI521" s="105"/>
      <c r="BJ521" s="105"/>
      <c r="BK521" s="105"/>
      <c r="BL521" s="105"/>
      <c r="BM521" s="105"/>
      <c r="BN521" s="105"/>
      <c r="BO521" s="105"/>
      <c r="BP521" s="105"/>
      <c r="BQ521" s="105"/>
      <c r="BR521" s="105"/>
      <c r="BS521" s="105"/>
      <c r="BT521" s="105"/>
      <c r="BU521" s="105"/>
      <c r="BV521" s="105">
        <v>5781.87</v>
      </c>
      <c r="BW521" s="105"/>
      <c r="BX521" s="105"/>
      <c r="BY521" s="117"/>
      <c r="BZ521" s="117"/>
      <c r="CA521" s="117"/>
      <c r="CC521" s="118"/>
    </row>
    <row r="522" spans="1:81" s="107" customFormat="1" ht="15.75" customHeight="1">
      <c r="A522" s="268"/>
      <c r="B522" s="241"/>
      <c r="C522" s="251"/>
      <c r="D522" s="251"/>
      <c r="E522" s="251"/>
      <c r="F522" s="251"/>
      <c r="G522" s="251"/>
      <c r="H522" s="251"/>
      <c r="I522" s="132" t="s">
        <v>363</v>
      </c>
      <c r="J522" s="132"/>
      <c r="K522" s="162"/>
      <c r="L522" s="109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05"/>
      <c r="BF522" s="105"/>
      <c r="BG522" s="105"/>
      <c r="BH522" s="105"/>
      <c r="BI522" s="105"/>
      <c r="BJ522" s="105"/>
      <c r="BK522" s="105"/>
      <c r="BL522" s="105"/>
      <c r="BM522" s="105"/>
      <c r="BN522" s="105"/>
      <c r="BO522" s="105"/>
      <c r="BP522" s="105"/>
      <c r="BQ522" s="105"/>
      <c r="BR522" s="105"/>
      <c r="BS522" s="105"/>
      <c r="BT522" s="105"/>
      <c r="BU522" s="105"/>
      <c r="BV522" s="105"/>
      <c r="BW522" s="105"/>
      <c r="BX522" s="105"/>
      <c r="BY522" s="117"/>
      <c r="BZ522" s="117"/>
      <c r="CA522" s="117"/>
      <c r="CC522" s="118"/>
    </row>
    <row r="523" spans="1:81" s="107" customFormat="1" ht="15.75" customHeight="1">
      <c r="A523" s="268"/>
      <c r="B523" s="241"/>
      <c r="C523" s="251"/>
      <c r="D523" s="251"/>
      <c r="E523" s="251"/>
      <c r="F523" s="251"/>
      <c r="G523" s="251"/>
      <c r="H523" s="251"/>
      <c r="I523" s="133" t="s">
        <v>373</v>
      </c>
      <c r="J523" s="133"/>
      <c r="K523" s="162"/>
      <c r="L523" s="162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05"/>
      <c r="BF523" s="105"/>
      <c r="BG523" s="105">
        <v>106.45</v>
      </c>
      <c r="BH523" s="105">
        <v>145.30000000000001</v>
      </c>
      <c r="BI523" s="105">
        <v>754.7</v>
      </c>
      <c r="BJ523" s="105">
        <v>754.7</v>
      </c>
      <c r="BK523" s="105">
        <v>279.49</v>
      </c>
      <c r="BL523" s="105">
        <v>279.49</v>
      </c>
      <c r="BM523" s="105">
        <v>279.49</v>
      </c>
      <c r="BN523" s="105">
        <v>279.49</v>
      </c>
      <c r="BO523" s="105">
        <v>279.49</v>
      </c>
      <c r="BP523" s="105">
        <v>279.49</v>
      </c>
      <c r="BQ523" s="105">
        <v>279.49</v>
      </c>
      <c r="BR523" s="105">
        <v>279.49</v>
      </c>
      <c r="BS523" s="105">
        <v>438.62</v>
      </c>
      <c r="BT523" s="105">
        <f>982.85-600</f>
        <v>382.85</v>
      </c>
      <c r="BU523" s="105">
        <f>982.85-600</f>
        <v>382.85</v>
      </c>
      <c r="BV523" s="105">
        <v>1349.42</v>
      </c>
      <c r="BW523" s="105"/>
      <c r="BX523" s="105"/>
      <c r="BY523" s="117"/>
      <c r="BZ523" s="117"/>
      <c r="CA523" s="117"/>
      <c r="CC523" s="118"/>
    </row>
    <row r="524" spans="1:81" s="164" customFormat="1" ht="15.75" customHeight="1">
      <c r="A524" s="269"/>
      <c r="B524" s="241"/>
      <c r="C524" s="252"/>
      <c r="D524" s="252"/>
      <c r="E524" s="252"/>
      <c r="F524" s="252"/>
      <c r="G524" s="252"/>
      <c r="H524" s="252"/>
      <c r="I524" s="130"/>
      <c r="J524" s="132">
        <f>SUM(J513:J522)-J523</f>
        <v>0</v>
      </c>
      <c r="K524" s="132">
        <f t="shared" ref="K524:AD524" si="266">SUM(K513:K522)-K523</f>
        <v>0</v>
      </c>
      <c r="L524" s="132">
        <f t="shared" si="266"/>
        <v>0</v>
      </c>
      <c r="M524" s="132">
        <f t="shared" si="266"/>
        <v>0</v>
      </c>
      <c r="N524" s="132">
        <f t="shared" si="266"/>
        <v>0</v>
      </c>
      <c r="O524" s="132">
        <f t="shared" si="266"/>
        <v>0</v>
      </c>
      <c r="P524" s="132">
        <f t="shared" si="266"/>
        <v>0</v>
      </c>
      <c r="Q524" s="132">
        <f t="shared" si="266"/>
        <v>0</v>
      </c>
      <c r="R524" s="132">
        <f t="shared" si="266"/>
        <v>0</v>
      </c>
      <c r="S524" s="132">
        <f t="shared" si="266"/>
        <v>0</v>
      </c>
      <c r="T524" s="132">
        <f t="shared" si="266"/>
        <v>0</v>
      </c>
      <c r="U524" s="132">
        <f t="shared" si="266"/>
        <v>0</v>
      </c>
      <c r="V524" s="132">
        <f t="shared" si="266"/>
        <v>0</v>
      </c>
      <c r="W524" s="132">
        <f t="shared" si="266"/>
        <v>0</v>
      </c>
      <c r="X524" s="132">
        <f t="shared" si="266"/>
        <v>0</v>
      </c>
      <c r="Y524" s="132">
        <f t="shared" si="266"/>
        <v>0</v>
      </c>
      <c r="Z524" s="132">
        <f t="shared" si="266"/>
        <v>0</v>
      </c>
      <c r="AA524" s="132">
        <f t="shared" si="266"/>
        <v>0</v>
      </c>
      <c r="AB524" s="132">
        <f t="shared" si="266"/>
        <v>0</v>
      </c>
      <c r="AC524" s="132">
        <f t="shared" si="266"/>
        <v>0</v>
      </c>
      <c r="AD524" s="132">
        <f t="shared" si="266"/>
        <v>0</v>
      </c>
      <c r="AE524" s="132">
        <f>SUM(AE513:AE522)-AE523</f>
        <v>0</v>
      </c>
      <c r="AF524" s="132">
        <f>SUM(AF513:AF522)-AF523</f>
        <v>0</v>
      </c>
      <c r="AG524" s="132">
        <f t="shared" ref="AG524" si="267">SUM(AG513:AG522)-AG523</f>
        <v>0</v>
      </c>
      <c r="AH524" s="132"/>
      <c r="AI524" s="132"/>
      <c r="AJ524" s="132"/>
      <c r="AK524" s="132">
        <f t="shared" ref="AK524:AP524" si="268">SUM(AK513:AK522)-AK523</f>
        <v>0</v>
      </c>
      <c r="AL524" s="132">
        <f t="shared" si="268"/>
        <v>0</v>
      </c>
      <c r="AM524" s="132">
        <f t="shared" si="268"/>
        <v>0</v>
      </c>
      <c r="AN524" s="132">
        <f t="shared" si="268"/>
        <v>0</v>
      </c>
      <c r="AO524" s="132">
        <f t="shared" si="268"/>
        <v>0</v>
      </c>
      <c r="AP524" s="132">
        <f t="shared" si="268"/>
        <v>0</v>
      </c>
      <c r="AQ524" s="132">
        <f t="shared" ref="AQ524:AT524" si="269">SUM(AQ513:AQ522)-AQ523</f>
        <v>0</v>
      </c>
      <c r="AR524" s="132">
        <f t="shared" si="269"/>
        <v>0</v>
      </c>
      <c r="AS524" s="132">
        <f t="shared" si="269"/>
        <v>0</v>
      </c>
      <c r="AT524" s="132">
        <f t="shared" si="269"/>
        <v>0</v>
      </c>
      <c r="AU524" s="132">
        <f>SUM(AU513:AU522)-AU523</f>
        <v>0</v>
      </c>
      <c r="AV524" s="132">
        <f t="shared" ref="AV524:BC524" si="270">SUM(AV513:AV522)-AV523</f>
        <v>0</v>
      </c>
      <c r="AW524" s="132">
        <f t="shared" si="270"/>
        <v>0</v>
      </c>
      <c r="AX524" s="132">
        <f t="shared" si="270"/>
        <v>0</v>
      </c>
      <c r="AY524" s="132">
        <f t="shared" si="270"/>
        <v>0</v>
      </c>
      <c r="AZ524" s="105">
        <f t="shared" si="270"/>
        <v>0</v>
      </c>
      <c r="BA524" s="105">
        <f t="shared" si="270"/>
        <v>0</v>
      </c>
      <c r="BB524" s="105">
        <f t="shared" si="270"/>
        <v>0</v>
      </c>
      <c r="BC524" s="105">
        <f t="shared" si="270"/>
        <v>0</v>
      </c>
      <c r="BD524" s="105">
        <f t="shared" ref="BD524" si="271">SUM(BD513:BD522)-BD523</f>
        <v>0</v>
      </c>
      <c r="BE524" s="105"/>
      <c r="BF524" s="105"/>
      <c r="BG524" s="105">
        <f>(BG514+BG519)-BG523</f>
        <v>1644.78</v>
      </c>
      <c r="BH524" s="105">
        <f>BH514+BH519-BH523</f>
        <v>2163.12</v>
      </c>
      <c r="BI524" s="105">
        <f>BI514+BI519-BI523</f>
        <v>1553.72</v>
      </c>
      <c r="BJ524" s="105">
        <f>BJ514+BJ515+BJ518+BJ519-BJ523</f>
        <v>3045.51</v>
      </c>
      <c r="BK524" s="105">
        <f>BK514+BK516+BK519-BK523</f>
        <v>2480.37</v>
      </c>
      <c r="BL524" s="105">
        <f t="shared" ref="BL524:BT524" si="272">BL514+BL516+BL519-BL523+BL518</f>
        <v>3407.3199999999997</v>
      </c>
      <c r="BM524" s="105">
        <f t="shared" si="272"/>
        <v>2280.8199999999997</v>
      </c>
      <c r="BN524" s="105">
        <f t="shared" si="272"/>
        <v>2207.3199999999997</v>
      </c>
      <c r="BO524" s="105">
        <f t="shared" si="272"/>
        <v>2283.3199999999997</v>
      </c>
      <c r="BP524" s="105">
        <f t="shared" si="272"/>
        <v>2387.8199999999997</v>
      </c>
      <c r="BQ524" s="105">
        <f t="shared" si="272"/>
        <v>2459.3199999999997</v>
      </c>
      <c r="BR524" s="105">
        <f t="shared" si="272"/>
        <v>2469.8199999999997</v>
      </c>
      <c r="BS524" s="105">
        <f t="shared" si="272"/>
        <v>2386.4900000000002</v>
      </c>
      <c r="BT524" s="105">
        <f t="shared" si="272"/>
        <v>2294.73</v>
      </c>
      <c r="BU524" s="105">
        <f t="shared" ref="BU524" si="273">BU514+BU516+BU519-BU523+BU518</f>
        <v>2347.23</v>
      </c>
      <c r="BV524" s="105">
        <f>BV521+BV519-BV523</f>
        <v>5214.45</v>
      </c>
      <c r="BW524" s="105"/>
      <c r="BX524" s="132">
        <f>SUM(BG524:BV524)</f>
        <v>40626.14</v>
      </c>
      <c r="BY524" s="163"/>
      <c r="BZ524" s="163"/>
      <c r="CA524" s="163"/>
      <c r="CC524" s="165"/>
    </row>
    <row r="525" spans="1:81" ht="15.6" customHeight="1">
      <c r="A525" s="148" t="s">
        <v>346</v>
      </c>
      <c r="B525" s="148" t="s">
        <v>347</v>
      </c>
      <c r="C525" s="145" t="s">
        <v>310</v>
      </c>
      <c r="D525" s="145" t="s">
        <v>311</v>
      </c>
      <c r="E525" s="148" t="s">
        <v>312</v>
      </c>
      <c r="F525" s="148" t="s">
        <v>348</v>
      </c>
      <c r="G525" s="145" t="s">
        <v>314</v>
      </c>
      <c r="H525" s="145" t="s">
        <v>315</v>
      </c>
      <c r="I525" s="145" t="s">
        <v>349</v>
      </c>
      <c r="J525" s="146">
        <v>44105</v>
      </c>
      <c r="K525" s="146">
        <v>44136</v>
      </c>
      <c r="L525" s="146">
        <v>44166</v>
      </c>
      <c r="M525" s="146">
        <v>44197</v>
      </c>
      <c r="N525" s="146">
        <v>44228</v>
      </c>
      <c r="O525" s="146">
        <v>44256</v>
      </c>
      <c r="P525" s="146">
        <v>44287</v>
      </c>
      <c r="Q525" s="146">
        <v>44317</v>
      </c>
      <c r="R525" s="146">
        <v>44348</v>
      </c>
      <c r="S525" s="146">
        <v>44378</v>
      </c>
      <c r="T525" s="146">
        <v>44409</v>
      </c>
      <c r="U525" s="146">
        <v>44440</v>
      </c>
      <c r="V525" s="146">
        <v>44470</v>
      </c>
      <c r="W525" s="146">
        <v>44501</v>
      </c>
      <c r="X525" s="146">
        <v>44531</v>
      </c>
      <c r="Y525" s="146">
        <v>44562</v>
      </c>
      <c r="Z525" s="146">
        <v>44593</v>
      </c>
      <c r="AA525" s="146">
        <v>44621</v>
      </c>
      <c r="AB525" s="146">
        <v>44652</v>
      </c>
      <c r="AC525" s="146">
        <v>44682</v>
      </c>
      <c r="AD525" s="146">
        <v>44713</v>
      </c>
      <c r="AE525" s="146">
        <v>44743</v>
      </c>
      <c r="AF525" s="146">
        <v>44774</v>
      </c>
      <c r="AG525" s="146">
        <v>44805</v>
      </c>
      <c r="AH525" s="146">
        <v>44835</v>
      </c>
      <c r="AI525" s="146">
        <v>44866</v>
      </c>
      <c r="AJ525" s="146">
        <v>44896</v>
      </c>
      <c r="AK525" s="146">
        <v>44927</v>
      </c>
      <c r="AL525" s="146">
        <v>44958</v>
      </c>
      <c r="AM525" s="146">
        <v>44986</v>
      </c>
      <c r="AN525" s="146">
        <v>45017</v>
      </c>
      <c r="AO525" s="146">
        <v>45047</v>
      </c>
      <c r="AP525" s="146">
        <v>45078</v>
      </c>
      <c r="AQ525" s="146">
        <v>45108</v>
      </c>
      <c r="AR525" s="146">
        <v>45139</v>
      </c>
      <c r="AS525" s="146">
        <v>45170</v>
      </c>
      <c r="AT525" s="146">
        <v>45200</v>
      </c>
      <c r="AU525" s="146">
        <v>45231</v>
      </c>
      <c r="AV525" s="146">
        <v>45261</v>
      </c>
      <c r="AW525" s="146">
        <v>45292</v>
      </c>
      <c r="AX525" s="146">
        <v>45323</v>
      </c>
      <c r="AY525" s="146">
        <v>45352</v>
      </c>
      <c r="AZ525" s="146">
        <v>45383</v>
      </c>
      <c r="BA525" s="146">
        <v>45413</v>
      </c>
      <c r="BB525" s="146">
        <v>45444</v>
      </c>
      <c r="BC525" s="146">
        <v>45474</v>
      </c>
      <c r="BD525" s="146">
        <v>45505</v>
      </c>
      <c r="BE525" s="146">
        <v>45536</v>
      </c>
      <c r="BF525" s="146">
        <v>45566</v>
      </c>
      <c r="BG525" s="146">
        <v>45597</v>
      </c>
      <c r="BH525" s="146">
        <v>45627</v>
      </c>
      <c r="BI525" s="146">
        <v>45658</v>
      </c>
      <c r="BJ525" s="146">
        <v>45689</v>
      </c>
      <c r="BK525" s="146">
        <v>45717</v>
      </c>
      <c r="BL525" s="146"/>
      <c r="BM525" s="146"/>
      <c r="BN525" s="146"/>
      <c r="BO525" s="146"/>
      <c r="BP525" s="146"/>
      <c r="BQ525" s="146"/>
      <c r="BR525" s="146"/>
      <c r="BS525" s="146"/>
      <c r="BT525" s="146"/>
      <c r="BU525" s="146"/>
      <c r="BV525" s="146"/>
      <c r="BW525" s="146"/>
      <c r="BX525" s="147" t="s">
        <v>13</v>
      </c>
      <c r="BY525" s="5"/>
      <c r="BZ525" s="5"/>
      <c r="CA525" s="5"/>
    </row>
    <row r="526" spans="1:81" s="107" customFormat="1" ht="15.75" customHeight="1">
      <c r="A526" s="267">
        <v>39</v>
      </c>
      <c r="B526" s="241" t="s">
        <v>56</v>
      </c>
      <c r="C526" s="253" t="s">
        <v>92</v>
      </c>
      <c r="D526" s="253" t="s">
        <v>89</v>
      </c>
      <c r="E526" s="250" t="s">
        <v>150</v>
      </c>
      <c r="F526" s="250" t="s">
        <v>150</v>
      </c>
      <c r="G526" s="256">
        <f>'CONSOLIDADO ATIVO INATIVO NOVO'!J50</f>
        <v>45637</v>
      </c>
      <c r="H526" s="256">
        <f>'CONSOLIDADO ATIVO INATIVO NOVO'!K50</f>
        <v>0</v>
      </c>
      <c r="I526" s="106" t="s">
        <v>350</v>
      </c>
      <c r="J526" s="106"/>
      <c r="K526" s="106"/>
      <c r="L526" s="106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05"/>
      <c r="BF526" s="105"/>
      <c r="BG526" s="105"/>
      <c r="BH526" s="105"/>
      <c r="BI526" s="105"/>
      <c r="BJ526" s="105"/>
      <c r="BK526" s="105"/>
      <c r="BL526" s="105"/>
      <c r="BM526" s="105"/>
      <c r="BN526" s="105"/>
      <c r="BO526" s="105"/>
      <c r="BP526" s="105"/>
      <c r="BQ526" s="105"/>
      <c r="BR526" s="105"/>
      <c r="BS526" s="105"/>
      <c r="BT526" s="105"/>
      <c r="BU526" s="105"/>
      <c r="BV526" s="105"/>
      <c r="BW526" s="105"/>
      <c r="BX526" s="105"/>
      <c r="BY526" s="117"/>
      <c r="BZ526" s="117"/>
      <c r="CA526" s="117"/>
      <c r="CC526" s="118"/>
    </row>
    <row r="527" spans="1:81" s="107" customFormat="1" ht="15.75" customHeight="1">
      <c r="A527" s="268"/>
      <c r="B527" s="241"/>
      <c r="C527" s="254"/>
      <c r="D527" s="254"/>
      <c r="E527" s="251"/>
      <c r="F527" s="251"/>
      <c r="G527" s="254"/>
      <c r="H527" s="254"/>
      <c r="I527" s="106" t="s">
        <v>351</v>
      </c>
      <c r="J527" s="106"/>
      <c r="K527" s="109">
        <v>1364.23</v>
      </c>
      <c r="L527" s="109">
        <v>1461.67</v>
      </c>
      <c r="M527" s="109">
        <v>1461.67</v>
      </c>
      <c r="N527" s="109">
        <v>1461.67</v>
      </c>
      <c r="O527" s="109">
        <v>1461.67</v>
      </c>
      <c r="P527" s="109">
        <v>1461.67</v>
      </c>
      <c r="Q527" s="105">
        <f>188.6+707.26</f>
        <v>895.86</v>
      </c>
      <c r="R527" s="105">
        <f>828.28+146.17</f>
        <v>974.44999999999993</v>
      </c>
      <c r="S527" s="105">
        <v>1461.67</v>
      </c>
      <c r="T527" s="105">
        <v>1461.67</v>
      </c>
      <c r="U527" s="105">
        <v>1461.67</v>
      </c>
      <c r="V527" s="105">
        <v>1461.67</v>
      </c>
      <c r="W527" s="105">
        <v>1461.67</v>
      </c>
      <c r="X527" s="105">
        <v>1461.67</v>
      </c>
      <c r="Y527" s="105">
        <v>1578.6</v>
      </c>
      <c r="Z527" s="105">
        <v>1578.6</v>
      </c>
      <c r="AA527" s="105">
        <v>1578.6</v>
      </c>
      <c r="AB527" s="105">
        <v>1578.6</v>
      </c>
      <c r="AC527" s="105">
        <v>1578.6</v>
      </c>
      <c r="AD527" s="105">
        <v>1578.6</v>
      </c>
      <c r="AE527" s="105">
        <v>1578.6</v>
      </c>
      <c r="AF527" s="105">
        <v>1578.6</v>
      </c>
      <c r="AG527" s="105">
        <v>0</v>
      </c>
      <c r="AH527" s="105">
        <v>1708.83</v>
      </c>
      <c r="AI527" s="105">
        <v>1708.83</v>
      </c>
      <c r="AJ527" s="105">
        <v>1708.83</v>
      </c>
      <c r="AK527" s="105">
        <v>1708.83</v>
      </c>
      <c r="AL527" s="105">
        <v>1708.83</v>
      </c>
      <c r="AM527" s="105">
        <v>1708.83</v>
      </c>
      <c r="AN527" s="105"/>
      <c r="AO527" s="105"/>
      <c r="AP527" s="105"/>
      <c r="AQ527" s="105"/>
      <c r="AR527" s="105"/>
      <c r="AS527" s="105"/>
      <c r="AT527" s="105"/>
      <c r="AU527" s="105"/>
      <c r="AV527" s="105"/>
      <c r="AW527" s="105"/>
      <c r="AX527" s="105"/>
      <c r="AY527" s="105"/>
      <c r="AZ527" s="105"/>
      <c r="BA527" s="105"/>
      <c r="BB527" s="105"/>
      <c r="BC527" s="105"/>
      <c r="BD527" s="105"/>
      <c r="BE527" s="105"/>
      <c r="BF527" s="105"/>
      <c r="BG527" s="105"/>
      <c r="BH527" s="105"/>
      <c r="BI527" s="105"/>
      <c r="BJ527" s="105"/>
      <c r="BK527" s="105"/>
      <c r="BL527" s="105"/>
      <c r="BM527" s="105"/>
      <c r="BN527" s="105"/>
      <c r="BO527" s="105"/>
      <c r="BP527" s="105"/>
      <c r="BQ527" s="105"/>
      <c r="BR527" s="105"/>
      <c r="BS527" s="105"/>
      <c r="BT527" s="105"/>
      <c r="BU527" s="105"/>
      <c r="BV527" s="105"/>
      <c r="BW527" s="105"/>
      <c r="BX527" s="105"/>
      <c r="BY527" s="117"/>
      <c r="BZ527" s="117"/>
      <c r="CA527" s="117"/>
      <c r="CC527" s="118"/>
    </row>
    <row r="528" spans="1:81" s="107" customFormat="1" ht="15.75" customHeight="1">
      <c r="A528" s="268"/>
      <c r="B528" s="241"/>
      <c r="C528" s="254"/>
      <c r="D528" s="254"/>
      <c r="E528" s="251"/>
      <c r="F528" s="251"/>
      <c r="G528" s="254"/>
      <c r="H528" s="254"/>
      <c r="I528" s="106" t="s">
        <v>371</v>
      </c>
      <c r="J528" s="106"/>
      <c r="K528" s="109"/>
      <c r="L528" s="109"/>
      <c r="M528" s="109"/>
      <c r="N528" s="109"/>
      <c r="O528" s="109"/>
      <c r="P528" s="109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M528" s="105"/>
      <c r="AN528" s="105"/>
      <c r="AO528" s="105"/>
      <c r="AP528" s="105"/>
      <c r="AQ528" s="105"/>
      <c r="AR528" s="105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05"/>
      <c r="BF528" s="105"/>
      <c r="BG528" s="105"/>
      <c r="BH528" s="105"/>
      <c r="BI528" s="105"/>
      <c r="BJ528" s="105"/>
      <c r="BK528" s="105"/>
      <c r="BL528" s="105"/>
      <c r="BM528" s="105"/>
      <c r="BN528" s="105"/>
      <c r="BO528" s="105"/>
      <c r="BP528" s="105"/>
      <c r="BQ528" s="105"/>
      <c r="BR528" s="105"/>
      <c r="BS528" s="105"/>
      <c r="BT528" s="105"/>
      <c r="BU528" s="105"/>
      <c r="BV528" s="105"/>
      <c r="BW528" s="105"/>
      <c r="BX528" s="105"/>
      <c r="BY528" s="117"/>
      <c r="BZ528" s="117"/>
      <c r="CA528" s="117"/>
      <c r="CC528" s="118"/>
    </row>
    <row r="529" spans="1:81" s="107" customFormat="1" ht="15.75" customHeight="1">
      <c r="A529" s="268"/>
      <c r="B529" s="241"/>
      <c r="C529" s="254"/>
      <c r="D529" s="254"/>
      <c r="E529" s="251"/>
      <c r="F529" s="251"/>
      <c r="G529" s="254"/>
      <c r="H529" s="254"/>
      <c r="I529" s="106" t="s">
        <v>353</v>
      </c>
      <c r="J529" s="106"/>
      <c r="K529" s="109"/>
      <c r="L529" s="105"/>
      <c r="M529" s="109"/>
      <c r="N529" s="109"/>
      <c r="O529" s="109"/>
      <c r="P529" s="109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5"/>
      <c r="BE529" s="105"/>
      <c r="BF529" s="105"/>
      <c r="BG529" s="105"/>
      <c r="BH529" s="105"/>
      <c r="BI529" s="105"/>
      <c r="BJ529" s="105"/>
      <c r="BK529" s="105"/>
      <c r="BL529" s="105"/>
      <c r="BM529" s="105"/>
      <c r="BN529" s="105"/>
      <c r="BO529" s="105"/>
      <c r="BP529" s="105"/>
      <c r="BQ529" s="105"/>
      <c r="BR529" s="105"/>
      <c r="BS529" s="105"/>
      <c r="BT529" s="105"/>
      <c r="BU529" s="105"/>
      <c r="BV529" s="105"/>
      <c r="BW529" s="105"/>
      <c r="BX529" s="105"/>
      <c r="BY529" s="117"/>
      <c r="BZ529" s="117"/>
      <c r="CA529" s="117"/>
      <c r="CC529" s="118"/>
    </row>
    <row r="530" spans="1:81" s="107" customFormat="1" ht="15.75" customHeight="1">
      <c r="A530" s="268"/>
      <c r="B530" s="241"/>
      <c r="C530" s="254"/>
      <c r="D530" s="254"/>
      <c r="E530" s="251"/>
      <c r="F530" s="251"/>
      <c r="G530" s="254"/>
      <c r="H530" s="254"/>
      <c r="I530" s="106" t="s">
        <v>354</v>
      </c>
      <c r="J530" s="106"/>
      <c r="K530" s="109"/>
      <c r="L530" s="105"/>
      <c r="M530" s="109"/>
      <c r="N530" s="109"/>
      <c r="O530" s="109"/>
      <c r="P530" s="109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>
        <f>2.25+0.35</f>
        <v>2.6</v>
      </c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05"/>
      <c r="BF530" s="105"/>
      <c r="BG530" s="105"/>
      <c r="BH530" s="105"/>
      <c r="BI530" s="105"/>
      <c r="BJ530" s="105"/>
      <c r="BK530" s="105"/>
      <c r="BL530" s="105"/>
      <c r="BM530" s="105"/>
      <c r="BN530" s="105"/>
      <c r="BO530" s="105"/>
      <c r="BP530" s="105"/>
      <c r="BQ530" s="105"/>
      <c r="BR530" s="105"/>
      <c r="BS530" s="105"/>
      <c r="BT530" s="105"/>
      <c r="BU530" s="105"/>
      <c r="BV530" s="105"/>
      <c r="BW530" s="105"/>
      <c r="BX530" s="105"/>
      <c r="BY530" s="117"/>
      <c r="BZ530" s="117"/>
      <c r="CA530" s="117"/>
      <c r="CC530" s="118"/>
    </row>
    <row r="531" spans="1:81" s="107" customFormat="1" ht="15.75" customHeight="1">
      <c r="A531" s="268"/>
      <c r="B531" s="241"/>
      <c r="C531" s="254"/>
      <c r="D531" s="254"/>
      <c r="E531" s="251"/>
      <c r="F531" s="251"/>
      <c r="G531" s="254"/>
      <c r="H531" s="254"/>
      <c r="I531" s="106" t="s">
        <v>355</v>
      </c>
      <c r="J531" s="106"/>
      <c r="K531" s="109"/>
      <c r="L531" s="105"/>
      <c r="M531" s="109"/>
      <c r="N531" s="109"/>
      <c r="O531" s="109"/>
      <c r="P531" s="109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5"/>
      <c r="BE531" s="105"/>
      <c r="BF531" s="105"/>
      <c r="BG531" s="105"/>
      <c r="BH531" s="105"/>
      <c r="BI531" s="105"/>
      <c r="BJ531" s="105"/>
      <c r="BK531" s="105"/>
      <c r="BL531" s="105"/>
      <c r="BM531" s="105"/>
      <c r="BN531" s="105"/>
      <c r="BO531" s="105"/>
      <c r="BP531" s="105"/>
      <c r="BQ531" s="105"/>
      <c r="BR531" s="105"/>
      <c r="BS531" s="105"/>
      <c r="BT531" s="105"/>
      <c r="BU531" s="105"/>
      <c r="BV531" s="105"/>
      <c r="BW531" s="105"/>
      <c r="BX531" s="105"/>
      <c r="BY531" s="117"/>
      <c r="BZ531" s="117"/>
      <c r="CA531" s="117"/>
      <c r="CC531" s="118"/>
    </row>
    <row r="532" spans="1:81" s="107" customFormat="1" ht="15.75" customHeight="1">
      <c r="A532" s="268"/>
      <c r="B532" s="241"/>
      <c r="C532" s="254"/>
      <c r="D532" s="254"/>
      <c r="E532" s="251"/>
      <c r="F532" s="251"/>
      <c r="G532" s="254"/>
      <c r="H532" s="254"/>
      <c r="I532" s="106" t="s">
        <v>356</v>
      </c>
      <c r="J532" s="106"/>
      <c r="K532" s="109">
        <v>186.2</v>
      </c>
      <c r="L532" s="109">
        <v>186.2</v>
      </c>
      <c r="M532" s="109">
        <v>196</v>
      </c>
      <c r="N532" s="109">
        <v>196</v>
      </c>
      <c r="O532" s="109">
        <v>225.4</v>
      </c>
      <c r="P532" s="109">
        <v>205.8</v>
      </c>
      <c r="Q532" s="105">
        <v>205.8</v>
      </c>
      <c r="R532" s="105">
        <v>137.19999999999999</v>
      </c>
      <c r="S532" s="105">
        <v>205.8</v>
      </c>
      <c r="T532" s="105">
        <v>215.6</v>
      </c>
      <c r="U532" s="105">
        <v>205.8</v>
      </c>
      <c r="V532" s="105">
        <v>198</v>
      </c>
      <c r="W532" s="105">
        <v>207.9</v>
      </c>
      <c r="X532" s="105">
        <v>207.9</v>
      </c>
      <c r="Y532" s="105">
        <v>207.9</v>
      </c>
      <c r="Z532" s="105">
        <v>198</v>
      </c>
      <c r="AA532" s="105">
        <v>227.7</v>
      </c>
      <c r="AB532" s="105">
        <v>207.9</v>
      </c>
      <c r="AC532" s="105">
        <v>217.8</v>
      </c>
      <c r="AD532" s="105">
        <v>217.8</v>
      </c>
      <c r="AE532" s="105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05"/>
      <c r="BF532" s="105"/>
      <c r="BG532" s="105"/>
      <c r="BH532" s="105"/>
      <c r="BI532" s="105"/>
      <c r="BJ532" s="105"/>
      <c r="BK532" s="105"/>
      <c r="BL532" s="105"/>
      <c r="BM532" s="105"/>
      <c r="BN532" s="105"/>
      <c r="BO532" s="105"/>
      <c r="BP532" s="105"/>
      <c r="BQ532" s="105"/>
      <c r="BR532" s="105"/>
      <c r="BS532" s="105"/>
      <c r="BT532" s="105"/>
      <c r="BU532" s="105"/>
      <c r="BV532" s="105"/>
      <c r="BW532" s="105"/>
      <c r="BX532" s="105"/>
      <c r="BY532" s="117"/>
      <c r="BZ532" s="117"/>
      <c r="CA532" s="117"/>
      <c r="CC532" s="118"/>
    </row>
    <row r="533" spans="1:81" s="107" customFormat="1" ht="15.75" customHeight="1">
      <c r="A533" s="268"/>
      <c r="B533" s="241"/>
      <c r="C533" s="254"/>
      <c r="D533" s="254"/>
      <c r="E533" s="251"/>
      <c r="F533" s="251"/>
      <c r="G533" s="254"/>
      <c r="H533" s="254"/>
      <c r="I533" s="106" t="s">
        <v>357</v>
      </c>
      <c r="J533" s="106"/>
      <c r="K533" s="109"/>
      <c r="L533" s="109"/>
      <c r="M533" s="109"/>
      <c r="N533" s="109"/>
      <c r="O533" s="109"/>
      <c r="P533" s="109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>
        <v>432.68</v>
      </c>
      <c r="AF533" s="105">
        <v>442.58</v>
      </c>
      <c r="AG533" s="105">
        <v>270</v>
      </c>
      <c r="AH533" s="105">
        <v>423.63</v>
      </c>
      <c r="AI533" s="105">
        <v>435.88</v>
      </c>
      <c r="AJ533" s="105">
        <v>449.98</v>
      </c>
      <c r="AK533" s="105">
        <v>447.88</v>
      </c>
      <c r="AL533" s="105">
        <f>428.08+250+200</f>
        <v>878.07999999999993</v>
      </c>
      <c r="AM533" s="105">
        <f>457.78+350+140+170</f>
        <v>1117.78</v>
      </c>
      <c r="AN533" s="105">
        <v>179.95</v>
      </c>
      <c r="AO533" s="105"/>
      <c r="AP533" s="105"/>
      <c r="AQ533" s="105"/>
      <c r="AR533" s="105"/>
      <c r="AS533" s="105"/>
      <c r="AT533" s="105"/>
      <c r="AU533" s="105"/>
      <c r="AV533" s="105"/>
      <c r="AW533" s="105"/>
      <c r="AX533" s="105"/>
      <c r="AY533" s="105"/>
      <c r="AZ533" s="105"/>
      <c r="BA533" s="105"/>
      <c r="BB533" s="105"/>
      <c r="BC533" s="105"/>
      <c r="BD533" s="105"/>
      <c r="BE533" s="105"/>
      <c r="BF533" s="105"/>
      <c r="BG533" s="105"/>
      <c r="BH533" s="105"/>
      <c r="BI533" s="105"/>
      <c r="BJ533" s="105"/>
      <c r="BK533" s="105"/>
      <c r="BL533" s="105"/>
      <c r="BM533" s="105"/>
      <c r="BN533" s="105"/>
      <c r="BO533" s="105"/>
      <c r="BP533" s="105"/>
      <c r="BQ533" s="105"/>
      <c r="BR533" s="105"/>
      <c r="BS533" s="105"/>
      <c r="BT533" s="105"/>
      <c r="BU533" s="105"/>
      <c r="BV533" s="105"/>
      <c r="BW533" s="105"/>
      <c r="BX533" s="105"/>
      <c r="BY533" s="117"/>
      <c r="BZ533" s="117"/>
      <c r="CA533" s="117"/>
      <c r="CC533" s="118"/>
    </row>
    <row r="534" spans="1:81" s="107" customFormat="1" ht="15.75" customHeight="1">
      <c r="A534" s="268"/>
      <c r="B534" s="241"/>
      <c r="C534" s="254"/>
      <c r="D534" s="254"/>
      <c r="E534" s="251"/>
      <c r="F534" s="251"/>
      <c r="G534" s="254"/>
      <c r="H534" s="254"/>
      <c r="I534" s="106" t="s">
        <v>361</v>
      </c>
      <c r="J534" s="106"/>
      <c r="K534" s="109"/>
      <c r="L534" s="109"/>
      <c r="M534" s="109"/>
      <c r="N534" s="109"/>
      <c r="O534" s="109"/>
      <c r="P534" s="109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>
        <v>1933.55</v>
      </c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05"/>
      <c r="BF534" s="105"/>
      <c r="BG534" s="105"/>
      <c r="BH534" s="105"/>
      <c r="BI534" s="105"/>
      <c r="BJ534" s="105"/>
      <c r="BK534" s="105"/>
      <c r="BL534" s="105"/>
      <c r="BM534" s="105"/>
      <c r="BN534" s="105"/>
      <c r="BO534" s="105"/>
      <c r="BP534" s="105"/>
      <c r="BQ534" s="105"/>
      <c r="BR534" s="105"/>
      <c r="BS534" s="105"/>
      <c r="BT534" s="105"/>
      <c r="BU534" s="105"/>
      <c r="BV534" s="105"/>
      <c r="BW534" s="105"/>
      <c r="BX534" s="105"/>
      <c r="BY534" s="117"/>
      <c r="BZ534" s="117"/>
      <c r="CA534" s="117"/>
      <c r="CC534" s="118"/>
    </row>
    <row r="535" spans="1:81" s="107" customFormat="1" ht="15.75" customHeight="1">
      <c r="A535" s="268"/>
      <c r="B535" s="241"/>
      <c r="C535" s="254"/>
      <c r="D535" s="254"/>
      <c r="E535" s="251"/>
      <c r="F535" s="251"/>
      <c r="G535" s="254"/>
      <c r="H535" s="254"/>
      <c r="I535" s="131" t="s">
        <v>362</v>
      </c>
      <c r="J535" s="131"/>
      <c r="K535" s="111"/>
      <c r="L535" s="111"/>
      <c r="M535" s="109"/>
      <c r="N535" s="109"/>
      <c r="O535" s="109"/>
      <c r="P535" s="109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  <c r="AM535" s="105"/>
      <c r="AN535" s="105">
        <v>4184.07</v>
      </c>
      <c r="AO535" s="105"/>
      <c r="AP535" s="105"/>
      <c r="AQ535" s="105"/>
      <c r="AR535" s="105"/>
      <c r="AS535" s="105"/>
      <c r="AT535" s="105"/>
      <c r="AU535" s="105"/>
      <c r="AV535" s="105"/>
      <c r="AW535" s="105"/>
      <c r="AX535" s="105"/>
      <c r="AY535" s="105"/>
      <c r="AZ535" s="105"/>
      <c r="BA535" s="105"/>
      <c r="BB535" s="105"/>
      <c r="BC535" s="105"/>
      <c r="BD535" s="105"/>
      <c r="BE535" s="105"/>
      <c r="BF535" s="105"/>
      <c r="BG535" s="105"/>
      <c r="BH535" s="105"/>
      <c r="BI535" s="105"/>
      <c r="BJ535" s="105"/>
      <c r="BK535" s="105"/>
      <c r="BL535" s="105"/>
      <c r="BM535" s="105"/>
      <c r="BN535" s="105"/>
      <c r="BO535" s="105"/>
      <c r="BP535" s="105"/>
      <c r="BQ535" s="105"/>
      <c r="BR535" s="105"/>
      <c r="BS535" s="105"/>
      <c r="BT535" s="105"/>
      <c r="BU535" s="105"/>
      <c r="BV535" s="105"/>
      <c r="BW535" s="105"/>
      <c r="BX535" s="105"/>
      <c r="BY535" s="117"/>
      <c r="BZ535" s="117"/>
      <c r="CA535" s="117"/>
      <c r="CC535" s="118"/>
    </row>
    <row r="536" spans="1:81" s="107" customFormat="1" ht="15.75" customHeight="1">
      <c r="A536" s="268"/>
      <c r="B536" s="241"/>
      <c r="C536" s="254"/>
      <c r="D536" s="254"/>
      <c r="E536" s="251"/>
      <c r="F536" s="251"/>
      <c r="G536" s="254"/>
      <c r="H536" s="254"/>
      <c r="I536" s="132" t="s">
        <v>363</v>
      </c>
      <c r="J536" s="132"/>
      <c r="K536" s="162">
        <v>121.81</v>
      </c>
      <c r="L536" s="109">
        <v>121.81</v>
      </c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>
        <v>730.84</v>
      </c>
      <c r="X536" s="105">
        <v>1461.67</v>
      </c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>
        <v>854.42</v>
      </c>
      <c r="AJ536" s="105">
        <v>718.8</v>
      </c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05"/>
      <c r="BF536" s="105"/>
      <c r="BG536" s="105"/>
      <c r="BH536" s="105"/>
      <c r="BI536" s="105"/>
      <c r="BJ536" s="105"/>
      <c r="BK536" s="105"/>
      <c r="BL536" s="105"/>
      <c r="BM536" s="105"/>
      <c r="BN536" s="105"/>
      <c r="BO536" s="105"/>
      <c r="BP536" s="105"/>
      <c r="BQ536" s="105"/>
      <c r="BR536" s="105"/>
      <c r="BS536" s="105"/>
      <c r="BT536" s="105"/>
      <c r="BU536" s="105"/>
      <c r="BV536" s="105"/>
      <c r="BW536" s="105"/>
      <c r="BX536" s="105"/>
      <c r="BY536" s="117"/>
      <c r="BZ536" s="117"/>
      <c r="CA536" s="117"/>
      <c r="CC536" s="118"/>
    </row>
    <row r="537" spans="1:81" s="107" customFormat="1" ht="15.75" customHeight="1">
      <c r="A537" s="268"/>
      <c r="B537" s="241"/>
      <c r="C537" s="254"/>
      <c r="D537" s="254"/>
      <c r="E537" s="251"/>
      <c r="F537" s="251"/>
      <c r="G537" s="254"/>
      <c r="H537" s="254"/>
      <c r="I537" s="133" t="s">
        <v>373</v>
      </c>
      <c r="J537" s="133"/>
      <c r="K537" s="162">
        <v>107.36</v>
      </c>
      <c r="L537" s="162">
        <f>18.27+115.87</f>
        <v>134.14000000000001</v>
      </c>
      <c r="M537" s="105">
        <v>115.05</v>
      </c>
      <c r="N537" s="105">
        <v>115.05</v>
      </c>
      <c r="O537" s="105">
        <v>115.05</v>
      </c>
      <c r="P537" s="105">
        <v>115.05</v>
      </c>
      <c r="Q537" s="105">
        <v>67.180000000000007</v>
      </c>
      <c r="R537" s="105">
        <v>73.08</v>
      </c>
      <c r="S537" s="105">
        <v>115.05</v>
      </c>
      <c r="T537" s="105">
        <v>115.05</v>
      </c>
      <c r="U537" s="105">
        <v>115.05</v>
      </c>
      <c r="V537" s="105">
        <v>115.05</v>
      </c>
      <c r="W537" s="105">
        <v>115.05</v>
      </c>
      <c r="X537" s="105">
        <f>115.05+87.7+730.84+115.05</f>
        <v>1048.6400000000001</v>
      </c>
      <c r="Y537" s="105">
        <f>123.89+94.72</f>
        <v>218.61</v>
      </c>
      <c r="Z537" s="105">
        <f>114.42+94.72+52.62+52.62</f>
        <v>314.38</v>
      </c>
      <c r="AA537" s="105">
        <f>123.89+94.72</f>
        <v>218.61</v>
      </c>
      <c r="AB537" s="105">
        <f t="shared" ref="AB537:AD537" si="274">123.89+94.72</f>
        <v>218.61</v>
      </c>
      <c r="AC537" s="105">
        <f t="shared" si="274"/>
        <v>218.61</v>
      </c>
      <c r="AD537" s="105">
        <f t="shared" si="274"/>
        <v>218.61</v>
      </c>
      <c r="AE537" s="105">
        <v>123.89</v>
      </c>
      <c r="AF537" s="105">
        <v>123.89</v>
      </c>
      <c r="AG537" s="105"/>
      <c r="AH537" s="105">
        <v>135.61000000000001</v>
      </c>
      <c r="AI537" s="105">
        <v>135.61000000000001</v>
      </c>
      <c r="AJ537" s="105">
        <v>135.84</v>
      </c>
      <c r="AK537" s="105">
        <v>134.26</v>
      </c>
      <c r="AL537" s="105">
        <v>134.26</v>
      </c>
      <c r="AM537" s="105">
        <v>134.26</v>
      </c>
      <c r="AN537" s="105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  <c r="BA537" s="105"/>
      <c r="BB537" s="105"/>
      <c r="BC537" s="105"/>
      <c r="BD537" s="105"/>
      <c r="BE537" s="105"/>
      <c r="BF537" s="105"/>
      <c r="BG537" s="105"/>
      <c r="BH537" s="105"/>
      <c r="BI537" s="105"/>
      <c r="BJ537" s="105"/>
      <c r="BK537" s="105"/>
      <c r="BL537" s="105"/>
      <c r="BM537" s="105"/>
      <c r="BN537" s="105"/>
      <c r="BO537" s="105"/>
      <c r="BP537" s="105"/>
      <c r="BQ537" s="105"/>
      <c r="BR537" s="105"/>
      <c r="BS537" s="105"/>
      <c r="BT537" s="105"/>
      <c r="BU537" s="105"/>
      <c r="BV537" s="105"/>
      <c r="BW537" s="105"/>
      <c r="BX537" s="105"/>
      <c r="BY537" s="117"/>
      <c r="BZ537" s="117"/>
      <c r="CA537" s="117"/>
      <c r="CC537" s="118"/>
    </row>
    <row r="538" spans="1:81" s="164" customFormat="1" ht="15.75" customHeight="1">
      <c r="A538" s="269"/>
      <c r="B538" s="241"/>
      <c r="C538" s="255"/>
      <c r="D538" s="255"/>
      <c r="E538" s="252"/>
      <c r="F538" s="252"/>
      <c r="G538" s="255"/>
      <c r="H538" s="255"/>
      <c r="I538" s="130"/>
      <c r="J538" s="132">
        <f>SUM(J526:J536)-J537</f>
        <v>0</v>
      </c>
      <c r="K538" s="132">
        <f t="shared" ref="K538:AD538" si="275">SUM(K526:K536)-K537</f>
        <v>1564.88</v>
      </c>
      <c r="L538" s="132">
        <f t="shared" si="275"/>
        <v>1635.54</v>
      </c>
      <c r="M538" s="132">
        <f t="shared" si="275"/>
        <v>1542.6200000000001</v>
      </c>
      <c r="N538" s="132">
        <f t="shared" si="275"/>
        <v>1542.6200000000001</v>
      </c>
      <c r="O538" s="132">
        <f t="shared" si="275"/>
        <v>1572.0200000000002</v>
      </c>
      <c r="P538" s="132">
        <f t="shared" si="275"/>
        <v>1552.42</v>
      </c>
      <c r="Q538" s="132">
        <f t="shared" si="275"/>
        <v>1034.48</v>
      </c>
      <c r="R538" s="132">
        <f t="shared" si="275"/>
        <v>1038.57</v>
      </c>
      <c r="S538" s="132">
        <f t="shared" si="275"/>
        <v>1552.42</v>
      </c>
      <c r="T538" s="132">
        <f t="shared" si="275"/>
        <v>1562.22</v>
      </c>
      <c r="U538" s="132">
        <f t="shared" si="275"/>
        <v>1552.42</v>
      </c>
      <c r="V538" s="132">
        <f t="shared" si="275"/>
        <v>1544.6200000000001</v>
      </c>
      <c r="W538" s="132">
        <f t="shared" si="275"/>
        <v>2285.36</v>
      </c>
      <c r="X538" s="132">
        <f t="shared" si="275"/>
        <v>2082.6000000000004</v>
      </c>
      <c r="Y538" s="132">
        <f t="shared" si="275"/>
        <v>1567.8899999999999</v>
      </c>
      <c r="Z538" s="132">
        <f t="shared" si="275"/>
        <v>1462.2199999999998</v>
      </c>
      <c r="AA538" s="132">
        <f t="shared" si="275"/>
        <v>1587.69</v>
      </c>
      <c r="AB538" s="132">
        <f t="shared" si="275"/>
        <v>1567.8899999999999</v>
      </c>
      <c r="AC538" s="132">
        <f t="shared" si="275"/>
        <v>1577.79</v>
      </c>
      <c r="AD538" s="132">
        <f t="shared" si="275"/>
        <v>1577.79</v>
      </c>
      <c r="AE538" s="132">
        <f>SUM(AE526:AE536)-AE537</f>
        <v>1887.3899999999999</v>
      </c>
      <c r="AF538" s="132">
        <f>SUM(AF526:AF536)-AF537</f>
        <v>3830.8399999999997</v>
      </c>
      <c r="AG538" s="132">
        <f>SUM(AG526:AG536)-AG537</f>
        <v>270</v>
      </c>
      <c r="AH538" s="132">
        <f t="shared" ref="AH538" si="276">SUM(AH526:AH536)-AH537</f>
        <v>1996.85</v>
      </c>
      <c r="AI538" s="132">
        <f>SUM(AI526:AI536)-AI537</f>
        <v>2863.52</v>
      </c>
      <c r="AJ538" s="132">
        <f t="shared" ref="AJ538:AP538" si="277">SUM(AJ526:AJ536)-AJ537</f>
        <v>2744.37</v>
      </c>
      <c r="AK538" s="132">
        <f t="shared" si="277"/>
        <v>2022.45</v>
      </c>
      <c r="AL538" s="132">
        <f t="shared" si="277"/>
        <v>2452.6499999999996</v>
      </c>
      <c r="AM538" s="132">
        <f t="shared" si="277"/>
        <v>2692.3499999999995</v>
      </c>
      <c r="AN538" s="132">
        <f t="shared" si="277"/>
        <v>4364.0199999999995</v>
      </c>
      <c r="AO538" s="132">
        <f t="shared" si="277"/>
        <v>0</v>
      </c>
      <c r="AP538" s="132">
        <f t="shared" si="277"/>
        <v>0</v>
      </c>
      <c r="AQ538" s="132">
        <f t="shared" ref="AQ538:AT538" si="278">SUM(AQ526:AQ536)-AQ537</f>
        <v>0</v>
      </c>
      <c r="AR538" s="132">
        <f t="shared" si="278"/>
        <v>0</v>
      </c>
      <c r="AS538" s="132">
        <f t="shared" si="278"/>
        <v>0</v>
      </c>
      <c r="AT538" s="132">
        <f t="shared" si="278"/>
        <v>0</v>
      </c>
      <c r="AU538" s="132">
        <f>SUM(AU526:AU536)-AU537</f>
        <v>0</v>
      </c>
      <c r="AV538" s="132">
        <f t="shared" ref="AV538:AY538" si="279">SUM(AV526:AV536)-AV537</f>
        <v>0</v>
      </c>
      <c r="AW538" s="132">
        <f t="shared" si="279"/>
        <v>0</v>
      </c>
      <c r="AX538" s="132">
        <f t="shared" si="279"/>
        <v>0</v>
      </c>
      <c r="AY538" s="132">
        <f t="shared" si="279"/>
        <v>0</v>
      </c>
      <c r="AZ538" s="105">
        <f t="shared" ref="AZ538:BC538" si="280">SUM(AZ527:AZ536)-AZ537</f>
        <v>0</v>
      </c>
      <c r="BA538" s="105">
        <f t="shared" si="280"/>
        <v>0</v>
      </c>
      <c r="BB538" s="105">
        <f t="shared" si="280"/>
        <v>0</v>
      </c>
      <c r="BC538" s="105">
        <f t="shared" si="280"/>
        <v>0</v>
      </c>
      <c r="BD538" s="105">
        <f t="shared" ref="BD538" si="281">SUM(BD527:BD536)-BD537</f>
        <v>0</v>
      </c>
      <c r="BE538" s="105"/>
      <c r="BF538" s="105"/>
      <c r="BG538" s="105"/>
      <c r="BH538" s="105"/>
      <c r="BI538" s="105"/>
      <c r="BJ538" s="105"/>
      <c r="BK538" s="105"/>
      <c r="BL538" s="105"/>
      <c r="BM538" s="105"/>
      <c r="BN538" s="105"/>
      <c r="BO538" s="105"/>
      <c r="BP538" s="105"/>
      <c r="BQ538" s="105"/>
      <c r="BR538" s="105"/>
      <c r="BS538" s="105"/>
      <c r="BT538" s="105"/>
      <c r="BU538" s="105"/>
      <c r="BV538" s="105"/>
      <c r="BW538" s="105"/>
      <c r="BX538" s="132">
        <f>SUM(J538:AY538)</f>
        <v>56528.499999999993</v>
      </c>
      <c r="BY538" s="163"/>
      <c r="BZ538" s="163"/>
      <c r="CA538" s="163"/>
      <c r="CC538" s="165"/>
    </row>
    <row r="539" spans="1:81" ht="15.6" customHeight="1">
      <c r="A539" s="148" t="s">
        <v>346</v>
      </c>
      <c r="B539" s="148" t="s">
        <v>347</v>
      </c>
      <c r="C539" s="145" t="s">
        <v>310</v>
      </c>
      <c r="D539" s="145" t="s">
        <v>311</v>
      </c>
      <c r="E539" s="148" t="s">
        <v>312</v>
      </c>
      <c r="F539" s="148" t="s">
        <v>348</v>
      </c>
      <c r="G539" s="145" t="s">
        <v>314</v>
      </c>
      <c r="H539" s="145" t="s">
        <v>315</v>
      </c>
      <c r="I539" s="145" t="s">
        <v>349</v>
      </c>
      <c r="J539" s="146">
        <v>44105</v>
      </c>
      <c r="K539" s="146">
        <v>44136</v>
      </c>
      <c r="L539" s="146">
        <v>44166</v>
      </c>
      <c r="M539" s="146">
        <v>44197</v>
      </c>
      <c r="N539" s="146">
        <v>44228</v>
      </c>
      <c r="O539" s="146">
        <v>44256</v>
      </c>
      <c r="P539" s="146">
        <v>44287</v>
      </c>
      <c r="Q539" s="146">
        <v>44317</v>
      </c>
      <c r="R539" s="146">
        <v>44348</v>
      </c>
      <c r="S539" s="146">
        <v>44378</v>
      </c>
      <c r="T539" s="146">
        <v>44409</v>
      </c>
      <c r="U539" s="146">
        <v>44440</v>
      </c>
      <c r="V539" s="146">
        <v>44470</v>
      </c>
      <c r="W539" s="146">
        <v>44501</v>
      </c>
      <c r="X539" s="146">
        <v>44531</v>
      </c>
      <c r="Y539" s="146">
        <v>44562</v>
      </c>
      <c r="Z539" s="146">
        <v>44593</v>
      </c>
      <c r="AA539" s="146">
        <v>44621</v>
      </c>
      <c r="AB539" s="146">
        <v>44652</v>
      </c>
      <c r="AC539" s="146">
        <v>44682</v>
      </c>
      <c r="AD539" s="146">
        <v>44713</v>
      </c>
      <c r="AE539" s="146">
        <v>44743</v>
      </c>
      <c r="AF539" s="146">
        <v>44774</v>
      </c>
      <c r="AG539" s="146">
        <v>44805</v>
      </c>
      <c r="AH539" s="146">
        <v>44835</v>
      </c>
      <c r="AI539" s="146">
        <v>44866</v>
      </c>
      <c r="AJ539" s="146">
        <v>44896</v>
      </c>
      <c r="AK539" s="146">
        <v>44927</v>
      </c>
      <c r="AL539" s="146">
        <v>44958</v>
      </c>
      <c r="AM539" s="146">
        <v>44986</v>
      </c>
      <c r="AN539" s="146">
        <v>45017</v>
      </c>
      <c r="AO539" s="146">
        <v>45047</v>
      </c>
      <c r="AP539" s="146">
        <v>45078</v>
      </c>
      <c r="AQ539" s="146">
        <v>45108</v>
      </c>
      <c r="AR539" s="146">
        <v>45139</v>
      </c>
      <c r="AS539" s="146">
        <v>45170</v>
      </c>
      <c r="AT539" s="146">
        <v>45200</v>
      </c>
      <c r="AU539" s="146">
        <v>45231</v>
      </c>
      <c r="AV539" s="146">
        <v>45261</v>
      </c>
      <c r="AW539" s="146">
        <v>45292</v>
      </c>
      <c r="AX539" s="146">
        <v>45323</v>
      </c>
      <c r="AY539" s="146">
        <v>45352</v>
      </c>
      <c r="AZ539" s="146">
        <v>45383</v>
      </c>
      <c r="BA539" s="146">
        <v>45413</v>
      </c>
      <c r="BB539" s="146">
        <v>45444</v>
      </c>
      <c r="BC539" s="146">
        <v>45474</v>
      </c>
      <c r="BD539" s="146">
        <v>45505</v>
      </c>
      <c r="BE539" s="146">
        <v>45536</v>
      </c>
      <c r="BF539" s="146">
        <v>45566</v>
      </c>
      <c r="BG539" s="146">
        <v>45597</v>
      </c>
      <c r="BH539" s="146">
        <v>45627</v>
      </c>
      <c r="BI539" s="146">
        <v>45658</v>
      </c>
      <c r="BJ539" s="146">
        <v>45689</v>
      </c>
      <c r="BK539" s="146">
        <v>45717</v>
      </c>
      <c r="BL539" s="146"/>
      <c r="BM539" s="146"/>
      <c r="BN539" s="146"/>
      <c r="BO539" s="146"/>
      <c r="BP539" s="146"/>
      <c r="BQ539" s="146"/>
      <c r="BR539" s="146"/>
      <c r="BS539" s="146"/>
      <c r="BT539" s="146"/>
      <c r="BU539" s="146"/>
      <c r="BV539" s="146"/>
      <c r="BW539" s="146"/>
      <c r="BX539" s="147" t="s">
        <v>13</v>
      </c>
      <c r="BY539" s="5"/>
      <c r="BZ539" s="5"/>
      <c r="CA539" s="5"/>
    </row>
    <row r="540" spans="1:81" s="107" customFormat="1" ht="15.75" customHeight="1">
      <c r="A540" s="267">
        <v>40</v>
      </c>
      <c r="B540" s="241" t="s">
        <v>36</v>
      </c>
      <c r="C540" s="253" t="s">
        <v>92</v>
      </c>
      <c r="D540" s="253" t="s">
        <v>89</v>
      </c>
      <c r="E540" s="250" t="s">
        <v>150</v>
      </c>
      <c r="F540" s="250" t="s">
        <v>150</v>
      </c>
      <c r="G540" s="256">
        <f>'CONSOLIDADO ATIVO INATIVO NOVO'!J51</f>
        <v>45566</v>
      </c>
      <c r="H540" s="256">
        <f>'CONSOLIDADO ATIVO INATIVO NOVO'!K51</f>
        <v>45900</v>
      </c>
      <c r="I540" s="106" t="s">
        <v>350</v>
      </c>
      <c r="J540" s="106"/>
      <c r="K540" s="106"/>
      <c r="L540" s="106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05"/>
      <c r="BF540" s="105"/>
      <c r="BG540" s="105"/>
      <c r="BH540" s="105"/>
      <c r="BI540" s="105"/>
      <c r="BJ540" s="105"/>
      <c r="BK540" s="105"/>
      <c r="BL540" s="105"/>
      <c r="BM540" s="105"/>
      <c r="BN540" s="105"/>
      <c r="BO540" s="105"/>
      <c r="BP540" s="105"/>
      <c r="BQ540" s="105"/>
      <c r="BR540" s="105"/>
      <c r="BS540" s="105"/>
      <c r="BT540" s="105"/>
      <c r="BU540" s="105"/>
      <c r="BV540" s="105"/>
      <c r="BW540" s="105"/>
      <c r="BX540" s="105"/>
      <c r="BY540" s="117"/>
      <c r="BZ540" s="117"/>
      <c r="CA540" s="117"/>
      <c r="CC540" s="118"/>
    </row>
    <row r="541" spans="1:81" s="107" customFormat="1" ht="15.75" customHeight="1">
      <c r="A541" s="268"/>
      <c r="B541" s="241"/>
      <c r="C541" s="254"/>
      <c r="D541" s="254"/>
      <c r="E541" s="251"/>
      <c r="F541" s="251"/>
      <c r="G541" s="254"/>
      <c r="H541" s="254"/>
      <c r="I541" s="106" t="s">
        <v>351</v>
      </c>
      <c r="J541" s="106"/>
      <c r="K541" s="106"/>
      <c r="L541" s="106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  <c r="AU541" s="105"/>
      <c r="AV541" s="105">
        <v>1664.83</v>
      </c>
      <c r="AW541" s="105">
        <v>1849.81</v>
      </c>
      <c r="AX541" s="105">
        <v>1849.81</v>
      </c>
      <c r="AY541" s="105">
        <v>1849.81</v>
      </c>
      <c r="AZ541" s="105">
        <v>1849.81</v>
      </c>
      <c r="BA541" s="105">
        <v>1849.81</v>
      </c>
      <c r="BB541" s="105">
        <v>1849.81</v>
      </c>
      <c r="BC541" s="105">
        <v>1849.81</v>
      </c>
      <c r="BD541" s="105">
        <v>1849.81</v>
      </c>
      <c r="BE541" s="105">
        <v>1849.81</v>
      </c>
      <c r="BF541" s="105">
        <v>1949.81</v>
      </c>
      <c r="BG541" s="105"/>
      <c r="BH541" s="105"/>
      <c r="BI541" s="105"/>
      <c r="BJ541" s="105"/>
      <c r="BK541" s="105"/>
      <c r="BL541" s="105"/>
      <c r="BM541" s="105"/>
      <c r="BN541" s="105"/>
      <c r="BO541" s="105"/>
      <c r="BP541" s="105"/>
      <c r="BQ541" s="105"/>
      <c r="BR541" s="105"/>
      <c r="BS541" s="105"/>
      <c r="BT541" s="105"/>
      <c r="BU541" s="105"/>
      <c r="BV541" s="105"/>
      <c r="BW541" s="105"/>
      <c r="BX541" s="105"/>
      <c r="BY541" s="117"/>
      <c r="BZ541" s="117"/>
      <c r="CA541" s="117"/>
      <c r="CC541" s="118"/>
    </row>
    <row r="542" spans="1:81" s="107" customFormat="1" ht="15.75" customHeight="1">
      <c r="A542" s="268"/>
      <c r="B542" s="241"/>
      <c r="C542" s="254"/>
      <c r="D542" s="254"/>
      <c r="E542" s="251"/>
      <c r="F542" s="251"/>
      <c r="G542" s="254"/>
      <c r="H542" s="254"/>
      <c r="I542" s="106" t="s">
        <v>371</v>
      </c>
      <c r="J542" s="106"/>
      <c r="K542" s="106"/>
      <c r="L542" s="106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05"/>
      <c r="BF542" s="105"/>
      <c r="BG542" s="105"/>
      <c r="BH542" s="105"/>
      <c r="BI542" s="105"/>
      <c r="BJ542" s="105"/>
      <c r="BK542" s="105"/>
      <c r="BL542" s="105"/>
      <c r="BM542" s="105"/>
      <c r="BN542" s="105"/>
      <c r="BO542" s="105"/>
      <c r="BP542" s="105"/>
      <c r="BQ542" s="105"/>
      <c r="BR542" s="105"/>
      <c r="BS542" s="105"/>
      <c r="BT542" s="105"/>
      <c r="BU542" s="105"/>
      <c r="BV542" s="105"/>
      <c r="BW542" s="105"/>
      <c r="BX542" s="105"/>
      <c r="BY542" s="117"/>
      <c r="BZ542" s="117"/>
      <c r="CA542" s="117"/>
      <c r="CC542" s="118"/>
    </row>
    <row r="543" spans="1:81" s="107" customFormat="1" ht="15.75" customHeight="1">
      <c r="A543" s="268"/>
      <c r="B543" s="241"/>
      <c r="C543" s="254"/>
      <c r="D543" s="254"/>
      <c r="E543" s="251"/>
      <c r="F543" s="251"/>
      <c r="G543" s="254"/>
      <c r="H543" s="254"/>
      <c r="I543" s="106" t="s">
        <v>353</v>
      </c>
      <c r="J543" s="106"/>
      <c r="K543" s="106"/>
      <c r="L543" s="106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>
        <v>95.1</v>
      </c>
      <c r="AY543" s="105"/>
      <c r="AZ543" s="105"/>
      <c r="BA543" s="105"/>
      <c r="BB543" s="105"/>
      <c r="BC543" s="105"/>
      <c r="BD543" s="105"/>
      <c r="BE543" s="105"/>
      <c r="BF543" s="105"/>
      <c r="BG543" s="105"/>
      <c r="BH543" s="105"/>
      <c r="BI543" s="105"/>
      <c r="BJ543" s="105"/>
      <c r="BK543" s="105"/>
      <c r="BL543" s="105"/>
      <c r="BM543" s="105"/>
      <c r="BN543" s="105"/>
      <c r="BO543" s="105"/>
      <c r="BP543" s="105"/>
      <c r="BQ543" s="105"/>
      <c r="BR543" s="105"/>
      <c r="BS543" s="105"/>
      <c r="BT543" s="105"/>
      <c r="BU543" s="105"/>
      <c r="BV543" s="105"/>
      <c r="BW543" s="105"/>
      <c r="BX543" s="105"/>
      <c r="BY543" s="117"/>
      <c r="BZ543" s="117"/>
      <c r="CA543" s="117"/>
      <c r="CC543" s="118"/>
    </row>
    <row r="544" spans="1:81" s="107" customFormat="1" ht="15.75" customHeight="1">
      <c r="A544" s="268"/>
      <c r="B544" s="241"/>
      <c r="C544" s="254"/>
      <c r="D544" s="254"/>
      <c r="E544" s="251"/>
      <c r="F544" s="251"/>
      <c r="G544" s="254"/>
      <c r="H544" s="254"/>
      <c r="I544" s="106" t="s">
        <v>354</v>
      </c>
      <c r="J544" s="106"/>
      <c r="K544" s="106"/>
      <c r="L544" s="106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05"/>
      <c r="BF544" s="105"/>
      <c r="BG544" s="105"/>
      <c r="BH544" s="105"/>
      <c r="BI544" s="105"/>
      <c r="BJ544" s="105"/>
      <c r="BK544" s="105"/>
      <c r="BL544" s="105"/>
      <c r="BM544" s="105"/>
      <c r="BN544" s="105"/>
      <c r="BO544" s="105"/>
      <c r="BP544" s="105"/>
      <c r="BQ544" s="105"/>
      <c r="BR544" s="105"/>
      <c r="BS544" s="105"/>
      <c r="BT544" s="105"/>
      <c r="BU544" s="105"/>
      <c r="BV544" s="105"/>
      <c r="BW544" s="105"/>
      <c r="BX544" s="105"/>
      <c r="BY544" s="117"/>
      <c r="BZ544" s="117"/>
      <c r="CA544" s="117"/>
      <c r="CC544" s="118"/>
    </row>
    <row r="545" spans="1:81" s="107" customFormat="1" ht="15.75" customHeight="1">
      <c r="A545" s="268"/>
      <c r="B545" s="241"/>
      <c r="C545" s="254"/>
      <c r="D545" s="254"/>
      <c r="E545" s="251"/>
      <c r="F545" s="251"/>
      <c r="G545" s="254"/>
      <c r="H545" s="254"/>
      <c r="I545" s="106" t="s">
        <v>355</v>
      </c>
      <c r="J545" s="106"/>
      <c r="K545" s="106"/>
      <c r="L545" s="106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  <c r="BA545" s="105"/>
      <c r="BB545" s="105"/>
      <c r="BC545" s="105"/>
      <c r="BD545" s="105"/>
      <c r="BE545" s="105"/>
      <c r="BF545" s="105"/>
      <c r="BG545" s="105"/>
      <c r="BH545" s="105"/>
      <c r="BI545" s="105"/>
      <c r="BJ545" s="105"/>
      <c r="BK545" s="105"/>
      <c r="BL545" s="105"/>
      <c r="BM545" s="105"/>
      <c r="BN545" s="105"/>
      <c r="BO545" s="105"/>
      <c r="BP545" s="105"/>
      <c r="BQ545" s="105"/>
      <c r="BR545" s="105"/>
      <c r="BS545" s="105"/>
      <c r="BT545" s="105"/>
      <c r="BU545" s="105"/>
      <c r="BV545" s="105"/>
      <c r="BW545" s="105"/>
      <c r="BX545" s="105"/>
      <c r="BY545" s="117"/>
      <c r="BZ545" s="117"/>
      <c r="CA545" s="117"/>
      <c r="CC545" s="118"/>
    </row>
    <row r="546" spans="1:81" s="107" customFormat="1" ht="15.75" customHeight="1">
      <c r="A546" s="268"/>
      <c r="B546" s="241"/>
      <c r="C546" s="254"/>
      <c r="D546" s="254"/>
      <c r="E546" s="251"/>
      <c r="F546" s="251"/>
      <c r="G546" s="254"/>
      <c r="H546" s="254"/>
      <c r="I546" s="106" t="s">
        <v>356</v>
      </c>
      <c r="J546" s="106"/>
      <c r="K546" s="106"/>
      <c r="L546" s="106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05"/>
      <c r="BF546" s="105"/>
      <c r="BG546" s="105"/>
      <c r="BH546" s="105"/>
      <c r="BI546" s="105"/>
      <c r="BJ546" s="105"/>
      <c r="BK546" s="105"/>
      <c r="BL546" s="105"/>
      <c r="BM546" s="105"/>
      <c r="BN546" s="105"/>
      <c r="BO546" s="105"/>
      <c r="BP546" s="105"/>
      <c r="BQ546" s="105"/>
      <c r="BR546" s="105"/>
      <c r="BS546" s="105"/>
      <c r="BT546" s="105"/>
      <c r="BU546" s="105"/>
      <c r="BV546" s="105"/>
      <c r="BW546" s="105"/>
      <c r="BX546" s="105"/>
      <c r="BY546" s="117"/>
      <c r="BZ546" s="117"/>
      <c r="CA546" s="117"/>
      <c r="CC546" s="118"/>
    </row>
    <row r="547" spans="1:81" s="107" customFormat="1" ht="15.75" customHeight="1">
      <c r="A547" s="268"/>
      <c r="B547" s="241"/>
      <c r="C547" s="254"/>
      <c r="D547" s="254"/>
      <c r="E547" s="251"/>
      <c r="F547" s="251"/>
      <c r="G547" s="254"/>
      <c r="H547" s="254"/>
      <c r="I547" s="106" t="s">
        <v>357</v>
      </c>
      <c r="J547" s="106"/>
      <c r="K547" s="106"/>
      <c r="L547" s="106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  <c r="AU547" s="105"/>
      <c r="AV547" s="105">
        <v>419.14</v>
      </c>
      <c r="AW547" s="105">
        <v>491.61</v>
      </c>
      <c r="AX547" s="105">
        <v>486.51</v>
      </c>
      <c r="AY547" s="105">
        <v>487.54</v>
      </c>
      <c r="AZ547" s="105">
        <v>497.61</v>
      </c>
      <c r="BA547" s="105">
        <v>499.02</v>
      </c>
      <c r="BB547" s="105">
        <v>485.08</v>
      </c>
      <c r="BC547" s="105">
        <v>508.71</v>
      </c>
      <c r="BD547" s="105">
        <v>509.74</v>
      </c>
      <c r="BE547" s="105">
        <v>475.41</v>
      </c>
      <c r="BF547" s="105">
        <v>497.61</v>
      </c>
      <c r="BG547" s="105">
        <v>475.41</v>
      </c>
      <c r="BH547" s="105"/>
      <c r="BI547" s="105"/>
      <c r="BJ547" s="105"/>
      <c r="BK547" s="105"/>
      <c r="BL547" s="105"/>
      <c r="BM547" s="105"/>
      <c r="BN547" s="105"/>
      <c r="BO547" s="105"/>
      <c r="BP547" s="105"/>
      <c r="BQ547" s="105"/>
      <c r="BR547" s="105"/>
      <c r="BS547" s="105"/>
      <c r="BT547" s="105"/>
      <c r="BU547" s="105"/>
      <c r="BV547" s="105"/>
      <c r="BW547" s="105"/>
      <c r="BX547" s="105"/>
      <c r="BY547" s="117"/>
      <c r="BZ547" s="117"/>
      <c r="CA547" s="117"/>
      <c r="CC547" s="118"/>
    </row>
    <row r="548" spans="1:81" s="107" customFormat="1" ht="15.75" customHeight="1">
      <c r="A548" s="268"/>
      <c r="B548" s="241"/>
      <c r="C548" s="254"/>
      <c r="D548" s="254"/>
      <c r="E548" s="251"/>
      <c r="F548" s="251"/>
      <c r="G548" s="254"/>
      <c r="H548" s="254"/>
      <c r="I548" s="131" t="s">
        <v>362</v>
      </c>
      <c r="J548" s="131"/>
      <c r="K548" s="131"/>
      <c r="L548" s="131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05"/>
      <c r="BF548" s="105"/>
      <c r="BG548" s="105">
        <v>6324.8</v>
      </c>
      <c r="BH548" s="105"/>
      <c r="BI548" s="105"/>
      <c r="BJ548" s="105"/>
      <c r="BK548" s="105"/>
      <c r="BL548" s="105"/>
      <c r="BM548" s="105"/>
      <c r="BN548" s="105"/>
      <c r="BO548" s="105"/>
      <c r="BP548" s="105"/>
      <c r="BQ548" s="105"/>
      <c r="BR548" s="105"/>
      <c r="BS548" s="105"/>
      <c r="BT548" s="105"/>
      <c r="BU548" s="105"/>
      <c r="BV548" s="105"/>
      <c r="BW548" s="105"/>
      <c r="BX548" s="105"/>
      <c r="BY548" s="117"/>
      <c r="BZ548" s="117"/>
      <c r="CA548" s="117"/>
      <c r="CC548" s="118"/>
    </row>
    <row r="549" spans="1:81" s="107" customFormat="1" ht="15.75" customHeight="1">
      <c r="A549" s="268"/>
      <c r="B549" s="241"/>
      <c r="C549" s="254"/>
      <c r="D549" s="254"/>
      <c r="E549" s="251"/>
      <c r="F549" s="251"/>
      <c r="G549" s="254"/>
      <c r="H549" s="254"/>
      <c r="I549" s="132" t="s">
        <v>363</v>
      </c>
      <c r="J549" s="132"/>
      <c r="K549" s="132"/>
      <c r="L549" s="132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  <c r="AU549" s="105"/>
      <c r="AV549" s="105">
        <v>142.59</v>
      </c>
      <c r="AW549" s="105"/>
      <c r="AX549" s="105"/>
      <c r="AY549" s="105"/>
      <c r="AZ549" s="105"/>
      <c r="BA549" s="105"/>
      <c r="BB549" s="105"/>
      <c r="BC549" s="105"/>
      <c r="BD549" s="105"/>
      <c r="BE549" s="105"/>
      <c r="BF549" s="105"/>
      <c r="BG549" s="105"/>
      <c r="BH549" s="105"/>
      <c r="BI549" s="105"/>
      <c r="BJ549" s="105"/>
      <c r="BK549" s="105"/>
      <c r="BL549" s="105"/>
      <c r="BM549" s="105"/>
      <c r="BN549" s="105"/>
      <c r="BO549" s="105"/>
      <c r="BP549" s="105"/>
      <c r="BQ549" s="105"/>
      <c r="BR549" s="105"/>
      <c r="BS549" s="105"/>
      <c r="BT549" s="105"/>
      <c r="BU549" s="105"/>
      <c r="BV549" s="105"/>
      <c r="BW549" s="105"/>
      <c r="BX549" s="105"/>
      <c r="BY549" s="117"/>
      <c r="BZ549" s="117"/>
      <c r="CA549" s="117"/>
      <c r="CC549" s="118"/>
    </row>
    <row r="550" spans="1:81" s="107" customFormat="1" ht="15.75" customHeight="1">
      <c r="A550" s="268"/>
      <c r="B550" s="241"/>
      <c r="C550" s="254"/>
      <c r="D550" s="254"/>
      <c r="E550" s="251"/>
      <c r="F550" s="251"/>
      <c r="G550" s="254"/>
      <c r="H550" s="254"/>
      <c r="I550" s="133" t="s">
        <v>364</v>
      </c>
      <c r="J550" s="133"/>
      <c r="K550" s="133"/>
      <c r="L550" s="133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  <c r="AU550" s="105"/>
      <c r="AV550" s="105">
        <v>130.03</v>
      </c>
      <c r="AW550" s="105">
        <v>173.05</v>
      </c>
      <c r="AX550" s="105">
        <v>153.59</v>
      </c>
      <c r="AY550" s="105">
        <v>173.05</v>
      </c>
      <c r="AZ550" s="105">
        <v>145.30000000000001</v>
      </c>
      <c r="BA550" s="105">
        <v>145.30000000000001</v>
      </c>
      <c r="BB550" s="105">
        <v>145.30000000000001</v>
      </c>
      <c r="BC550" s="105">
        <v>145.30000000000001</v>
      </c>
      <c r="BD550" s="105">
        <v>527.5</v>
      </c>
      <c r="BE550" s="105">
        <v>303.06</v>
      </c>
      <c r="BF550" s="105">
        <v>303.06</v>
      </c>
      <c r="BG550" s="105"/>
      <c r="BH550" s="105"/>
      <c r="BI550" s="105"/>
      <c r="BJ550" s="105"/>
      <c r="BK550" s="105"/>
      <c r="BL550" s="105"/>
      <c r="BM550" s="105"/>
      <c r="BN550" s="105"/>
      <c r="BO550" s="105"/>
      <c r="BP550" s="105"/>
      <c r="BQ550" s="105"/>
      <c r="BR550" s="105"/>
      <c r="BS550" s="105"/>
      <c r="BT550" s="105"/>
      <c r="BU550" s="105"/>
      <c r="BV550" s="105"/>
      <c r="BW550" s="105"/>
      <c r="BX550" s="105"/>
      <c r="BY550" s="117"/>
      <c r="BZ550" s="117"/>
      <c r="CA550" s="117"/>
      <c r="CC550" s="118"/>
    </row>
    <row r="551" spans="1:81" s="107" customFormat="1" ht="15.75" customHeight="1">
      <c r="A551" s="269"/>
      <c r="B551" s="241"/>
      <c r="C551" s="255"/>
      <c r="D551" s="255"/>
      <c r="E551" s="252"/>
      <c r="F551" s="252"/>
      <c r="G551" s="255"/>
      <c r="H551" s="255"/>
      <c r="I551" s="130"/>
      <c r="J551" s="105">
        <f>SUM(J540:J549)-J550</f>
        <v>0</v>
      </c>
      <c r="K551" s="105">
        <f t="shared" ref="K551:AC551" si="282">SUM(K540:K549)-K550</f>
        <v>0</v>
      </c>
      <c r="L551" s="105">
        <f t="shared" si="282"/>
        <v>0</v>
      </c>
      <c r="M551" s="105">
        <f t="shared" si="282"/>
        <v>0</v>
      </c>
      <c r="N551" s="105">
        <f t="shared" si="282"/>
        <v>0</v>
      </c>
      <c r="O551" s="105">
        <f t="shared" si="282"/>
        <v>0</v>
      </c>
      <c r="P551" s="105">
        <f t="shared" si="282"/>
        <v>0</v>
      </c>
      <c r="Q551" s="105">
        <f t="shared" si="282"/>
        <v>0</v>
      </c>
      <c r="R551" s="105">
        <f t="shared" si="282"/>
        <v>0</v>
      </c>
      <c r="S551" s="105">
        <f t="shared" si="282"/>
        <v>0</v>
      </c>
      <c r="T551" s="105">
        <f t="shared" si="282"/>
        <v>0</v>
      </c>
      <c r="U551" s="105">
        <f t="shared" si="282"/>
        <v>0</v>
      </c>
      <c r="V551" s="105">
        <f t="shared" si="282"/>
        <v>0</v>
      </c>
      <c r="W551" s="105">
        <f t="shared" si="282"/>
        <v>0</v>
      </c>
      <c r="X551" s="105">
        <f t="shared" si="282"/>
        <v>0</v>
      </c>
      <c r="Y551" s="105">
        <f t="shared" si="282"/>
        <v>0</v>
      </c>
      <c r="Z551" s="105">
        <f t="shared" si="282"/>
        <v>0</v>
      </c>
      <c r="AA551" s="105">
        <f t="shared" si="282"/>
        <v>0</v>
      </c>
      <c r="AB551" s="105">
        <f t="shared" si="282"/>
        <v>0</v>
      </c>
      <c r="AC551" s="105">
        <f t="shared" si="282"/>
        <v>0</v>
      </c>
      <c r="AD551" s="105">
        <f>SUM(AD540:AD549)-AD550</f>
        <v>0</v>
      </c>
      <c r="AE551" s="105">
        <f>SUM(AE540:AE549)-AE550</f>
        <v>0</v>
      </c>
      <c r="AF551" s="105">
        <f>SUM(AF540:AF549)-AF550</f>
        <v>0</v>
      </c>
      <c r="AG551" s="105">
        <f t="shared" ref="AG551" si="283">SUM(AG540:AG549)-AG550</f>
        <v>0</v>
      </c>
      <c r="AH551" s="105">
        <f>SUM(AH540:AH549)-AH550</f>
        <v>0</v>
      </c>
      <c r="AI551" s="105">
        <f>SUM(AI540:AI549)-AI550</f>
        <v>0</v>
      </c>
      <c r="AJ551" s="105">
        <f t="shared" ref="AJ551:AP551" si="284">SUM(AJ540:AJ549)-AJ550</f>
        <v>0</v>
      </c>
      <c r="AK551" s="105">
        <f t="shared" si="284"/>
        <v>0</v>
      </c>
      <c r="AL551" s="105">
        <f t="shared" si="284"/>
        <v>0</v>
      </c>
      <c r="AM551" s="105">
        <f t="shared" si="284"/>
        <v>0</v>
      </c>
      <c r="AN551" s="105">
        <f t="shared" si="284"/>
        <v>0</v>
      </c>
      <c r="AO551" s="105">
        <f t="shared" si="284"/>
        <v>0</v>
      </c>
      <c r="AP551" s="105">
        <f t="shared" si="284"/>
        <v>0</v>
      </c>
      <c r="AQ551" s="105">
        <f t="shared" ref="AQ551:AT551" si="285">SUM(AQ540:AQ549)-AQ550</f>
        <v>0</v>
      </c>
      <c r="AR551" s="105">
        <f t="shared" si="285"/>
        <v>0</v>
      </c>
      <c r="AS551" s="105">
        <f t="shared" si="285"/>
        <v>0</v>
      </c>
      <c r="AT551" s="105">
        <f t="shared" si="285"/>
        <v>0</v>
      </c>
      <c r="AU551" s="105">
        <f>SUM(AU540:AU549)-AU550</f>
        <v>0</v>
      </c>
      <c r="AV551" s="105">
        <f t="shared" ref="AV551:AY551" si="286">SUM(AV540:AV549)-AV550</f>
        <v>2096.5299999999997</v>
      </c>
      <c r="AW551" s="105">
        <f t="shared" si="286"/>
        <v>2168.37</v>
      </c>
      <c r="AX551" s="105">
        <f t="shared" si="286"/>
        <v>2277.83</v>
      </c>
      <c r="AY551" s="105">
        <f t="shared" si="286"/>
        <v>2164.2999999999997</v>
      </c>
      <c r="AZ551" s="105">
        <f t="shared" ref="AZ551:BA551" si="287">SUM(AZ540:AZ549)-AZ550</f>
        <v>2202.12</v>
      </c>
      <c r="BA551" s="105">
        <f t="shared" si="287"/>
        <v>2203.5299999999997</v>
      </c>
      <c r="BB551" s="105">
        <f t="shared" ref="BB551:BD551" si="288">SUM(BB540:BB549)-BB550</f>
        <v>2189.5899999999997</v>
      </c>
      <c r="BC551" s="105">
        <f t="shared" si="288"/>
        <v>2213.2199999999998</v>
      </c>
      <c r="BD551" s="105">
        <f t="shared" si="288"/>
        <v>1832.0500000000002</v>
      </c>
      <c r="BE551" s="105">
        <f>SUM(BE540:BE549)-BE550</f>
        <v>2022.1599999999999</v>
      </c>
      <c r="BF551" s="105">
        <f>SUM(BF540:BF549)-BF550</f>
        <v>2144.36</v>
      </c>
      <c r="BG551" s="105">
        <f>BG548+BG547</f>
        <v>6800.21</v>
      </c>
      <c r="BH551" s="105"/>
      <c r="BI551" s="105"/>
      <c r="BJ551" s="105"/>
      <c r="BK551" s="105"/>
      <c r="BL551" s="105"/>
      <c r="BM551" s="105"/>
      <c r="BN551" s="105"/>
      <c r="BO551" s="105"/>
      <c r="BP551" s="105"/>
      <c r="BQ551" s="105"/>
      <c r="BR551" s="105"/>
      <c r="BS551" s="105"/>
      <c r="BT551" s="105"/>
      <c r="BU551" s="105"/>
      <c r="BV551" s="105"/>
      <c r="BW551" s="105"/>
      <c r="BX551" s="105">
        <f>SUM(J551:BG551)</f>
        <v>30314.269999999997</v>
      </c>
      <c r="BY551" s="117"/>
      <c r="BZ551" s="117"/>
      <c r="CA551" s="117"/>
      <c r="CC551" s="118"/>
    </row>
    <row r="552" spans="1:81" ht="15.6" customHeight="1">
      <c r="A552" s="148" t="s">
        <v>346</v>
      </c>
      <c r="B552" s="148" t="s">
        <v>347</v>
      </c>
      <c r="C552" s="145" t="s">
        <v>310</v>
      </c>
      <c r="D552" s="145" t="s">
        <v>311</v>
      </c>
      <c r="E552" s="148" t="s">
        <v>312</v>
      </c>
      <c r="F552" s="148" t="s">
        <v>348</v>
      </c>
      <c r="G552" s="145" t="s">
        <v>314</v>
      </c>
      <c r="H552" s="145" t="s">
        <v>315</v>
      </c>
      <c r="I552" s="145" t="s">
        <v>349</v>
      </c>
      <c r="J552" s="146">
        <v>44105</v>
      </c>
      <c r="K552" s="146">
        <v>44136</v>
      </c>
      <c r="L552" s="146">
        <v>44166</v>
      </c>
      <c r="M552" s="146">
        <v>44197</v>
      </c>
      <c r="N552" s="146">
        <v>44228</v>
      </c>
      <c r="O552" s="146">
        <v>44256</v>
      </c>
      <c r="P552" s="146">
        <v>44287</v>
      </c>
      <c r="Q552" s="146">
        <v>44317</v>
      </c>
      <c r="R552" s="146">
        <v>44348</v>
      </c>
      <c r="S552" s="146">
        <v>44378</v>
      </c>
      <c r="T552" s="146">
        <v>44409</v>
      </c>
      <c r="U552" s="146">
        <v>44440</v>
      </c>
      <c r="V552" s="146">
        <v>44470</v>
      </c>
      <c r="W552" s="146">
        <v>44501</v>
      </c>
      <c r="X552" s="146">
        <v>44531</v>
      </c>
      <c r="Y552" s="146">
        <v>44562</v>
      </c>
      <c r="Z552" s="146">
        <v>44593</v>
      </c>
      <c r="AA552" s="146">
        <v>44621</v>
      </c>
      <c r="AB552" s="146">
        <v>44652</v>
      </c>
      <c r="AC552" s="146">
        <v>44682</v>
      </c>
      <c r="AD552" s="146">
        <v>44713</v>
      </c>
      <c r="AE552" s="146">
        <v>44743</v>
      </c>
      <c r="AF552" s="146">
        <v>44774</v>
      </c>
      <c r="AG552" s="146">
        <v>44805</v>
      </c>
      <c r="AH552" s="146">
        <v>44835</v>
      </c>
      <c r="AI552" s="146">
        <v>44866</v>
      </c>
      <c r="AJ552" s="146">
        <v>44896</v>
      </c>
      <c r="AK552" s="146">
        <v>44927</v>
      </c>
      <c r="AL552" s="146">
        <v>44958</v>
      </c>
      <c r="AM552" s="146">
        <v>44986</v>
      </c>
      <c r="AN552" s="146">
        <v>45017</v>
      </c>
      <c r="AO552" s="146">
        <v>45047</v>
      </c>
      <c r="AP552" s="146">
        <v>45078</v>
      </c>
      <c r="AQ552" s="146">
        <v>45108</v>
      </c>
      <c r="AR552" s="146">
        <v>45139</v>
      </c>
      <c r="AS552" s="146">
        <v>45170</v>
      </c>
      <c r="AT552" s="146">
        <v>45200</v>
      </c>
      <c r="AU552" s="146">
        <v>45231</v>
      </c>
      <c r="AV552" s="146">
        <v>45261</v>
      </c>
      <c r="AW552" s="146">
        <v>45292</v>
      </c>
      <c r="AX552" s="146">
        <v>45323</v>
      </c>
      <c r="AY552" s="146">
        <v>45352</v>
      </c>
      <c r="AZ552" s="146">
        <v>45383</v>
      </c>
      <c r="BA552" s="146">
        <v>45413</v>
      </c>
      <c r="BB552" s="146">
        <v>45444</v>
      </c>
      <c r="BC552" s="146">
        <v>45474</v>
      </c>
      <c r="BD552" s="146">
        <v>45505</v>
      </c>
      <c r="BE552" s="146">
        <v>45536</v>
      </c>
      <c r="BF552" s="146">
        <v>45566</v>
      </c>
      <c r="BG552" s="146">
        <v>45597</v>
      </c>
      <c r="BH552" s="146">
        <v>45627</v>
      </c>
      <c r="BI552" s="146">
        <v>45658</v>
      </c>
      <c r="BJ552" s="146">
        <v>45689</v>
      </c>
      <c r="BK552" s="146">
        <v>45717</v>
      </c>
      <c r="BL552" s="146">
        <v>45748</v>
      </c>
      <c r="BM552" s="146">
        <v>45778</v>
      </c>
      <c r="BN552" s="146">
        <v>45809</v>
      </c>
      <c r="BO552" s="146">
        <v>45839</v>
      </c>
      <c r="BP552" s="146">
        <v>45870</v>
      </c>
      <c r="BQ552" s="146">
        <v>45901</v>
      </c>
      <c r="BR552" s="146">
        <v>45931</v>
      </c>
      <c r="BS552" s="146">
        <v>45962</v>
      </c>
      <c r="BT552" s="146">
        <v>45992</v>
      </c>
      <c r="BU552" s="146">
        <v>46023</v>
      </c>
      <c r="BV552" s="146">
        <v>46054</v>
      </c>
      <c r="BW552" s="146">
        <v>46082</v>
      </c>
      <c r="BX552" s="147" t="s">
        <v>13</v>
      </c>
      <c r="BY552" s="5"/>
      <c r="BZ552" s="5"/>
      <c r="CA552" s="5"/>
    </row>
    <row r="553" spans="1:81" s="178" customFormat="1" ht="15.75" customHeight="1">
      <c r="A553" s="234">
        <v>41</v>
      </c>
      <c r="B553" s="227" t="s">
        <v>37</v>
      </c>
      <c r="C553" s="237" t="s">
        <v>23</v>
      </c>
      <c r="D553" s="237" t="s">
        <v>89</v>
      </c>
      <c r="E553" s="237" t="s">
        <v>150</v>
      </c>
      <c r="F553" s="237" t="s">
        <v>150</v>
      </c>
      <c r="G553" s="272">
        <f>'CONSOLIDADO ATIVO INATIVO NOVO'!J52</f>
        <v>45688</v>
      </c>
      <c r="H553" s="237"/>
      <c r="I553" s="175" t="s">
        <v>350</v>
      </c>
      <c r="J553" s="175"/>
      <c r="K553" s="175"/>
      <c r="L553" s="175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  <c r="AA553" s="176"/>
      <c r="AB553" s="176"/>
      <c r="AC553" s="176"/>
      <c r="AD553" s="176"/>
      <c r="AE553" s="176"/>
      <c r="AF553" s="176"/>
      <c r="AG553" s="176"/>
      <c r="AH553" s="176"/>
      <c r="AI553" s="176"/>
      <c r="AJ553" s="176"/>
      <c r="AK553" s="176"/>
      <c r="AL553" s="176"/>
      <c r="AM553" s="176"/>
      <c r="AN553" s="176"/>
      <c r="AO553" s="176"/>
      <c r="AP553" s="176"/>
      <c r="AQ553" s="176"/>
      <c r="AR553" s="176"/>
      <c r="AS553" s="176"/>
      <c r="AT553" s="176"/>
      <c r="AU553" s="176"/>
      <c r="AV553" s="176"/>
      <c r="AW553" s="176"/>
      <c r="AX553" s="176"/>
      <c r="AY553" s="176"/>
      <c r="AZ553" s="176"/>
      <c r="BA553" s="176"/>
      <c r="BB553" s="176"/>
      <c r="BC553" s="176"/>
      <c r="BD553" s="176"/>
      <c r="BE553" s="176"/>
      <c r="BF553" s="176"/>
      <c r="BG553" s="176"/>
      <c r="BH553" s="176"/>
      <c r="BI553" s="176"/>
      <c r="BJ553" s="176"/>
      <c r="BK553" s="176"/>
      <c r="BL553" s="176"/>
      <c r="BM553" s="176"/>
      <c r="BN553" s="176"/>
      <c r="BO553" s="176"/>
      <c r="BP553" s="176"/>
      <c r="BQ553" s="176"/>
      <c r="BR553" s="176"/>
      <c r="BS553" s="176"/>
      <c r="BT553" s="176"/>
      <c r="BU553" s="176"/>
      <c r="BV553" s="176"/>
      <c r="BW553" s="176"/>
      <c r="BX553" s="176"/>
      <c r="BY553" s="191"/>
      <c r="BZ553" s="191"/>
      <c r="CA553" s="191"/>
      <c r="CC553" s="182"/>
    </row>
    <row r="554" spans="1:81" s="178" customFormat="1" ht="15.75" customHeight="1">
      <c r="A554" s="235"/>
      <c r="B554" s="227"/>
      <c r="C554" s="238"/>
      <c r="D554" s="238"/>
      <c r="E554" s="238"/>
      <c r="F554" s="238"/>
      <c r="G554" s="238"/>
      <c r="H554" s="238"/>
      <c r="I554" s="175" t="s">
        <v>351</v>
      </c>
      <c r="J554" s="175"/>
      <c r="K554" s="175"/>
      <c r="L554" s="175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  <c r="AA554" s="176"/>
      <c r="AB554" s="176"/>
      <c r="AC554" s="176"/>
      <c r="AD554" s="176"/>
      <c r="AE554" s="176"/>
      <c r="AF554" s="176"/>
      <c r="AG554" s="176"/>
      <c r="AH554" s="176"/>
      <c r="AI554" s="176"/>
      <c r="AJ554" s="176"/>
      <c r="AK554" s="176"/>
      <c r="AL554" s="176"/>
      <c r="AM554" s="176"/>
      <c r="AN554" s="176"/>
      <c r="AO554" s="176"/>
      <c r="AP554" s="176"/>
      <c r="AQ554" s="176"/>
      <c r="AR554" s="176"/>
      <c r="AS554" s="176"/>
      <c r="AT554" s="176"/>
      <c r="AU554" s="176"/>
      <c r="AV554" s="176">
        <v>1664.83</v>
      </c>
      <c r="AW554" s="176">
        <v>1849.81</v>
      </c>
      <c r="AX554" s="176">
        <v>1849.81</v>
      </c>
      <c r="AY554" s="176">
        <v>1849.81</v>
      </c>
      <c r="AZ554" s="176">
        <v>1849.81</v>
      </c>
      <c r="BA554" s="176">
        <v>1849.81</v>
      </c>
      <c r="BB554" s="176">
        <v>1849.81</v>
      </c>
      <c r="BC554" s="176">
        <v>1849.81</v>
      </c>
      <c r="BD554" s="176">
        <v>1849.81</v>
      </c>
      <c r="BE554" s="176">
        <v>1849.81</v>
      </c>
      <c r="BF554" s="176">
        <v>1849.81</v>
      </c>
      <c r="BG554" s="176">
        <v>1849.81</v>
      </c>
      <c r="BH554" s="176">
        <v>1849.81</v>
      </c>
      <c r="BI554" s="176">
        <v>1849.81</v>
      </c>
      <c r="BJ554" s="176">
        <v>1849.81</v>
      </c>
      <c r="BK554" s="176">
        <v>1849.81</v>
      </c>
      <c r="BL554" s="176">
        <v>1849.81</v>
      </c>
      <c r="BM554" s="176">
        <v>1849.81</v>
      </c>
      <c r="BN554" s="176">
        <v>1849.81</v>
      </c>
      <c r="BO554" s="176">
        <v>1849.81</v>
      </c>
      <c r="BP554" s="176">
        <v>1849.81</v>
      </c>
      <c r="BQ554" s="176">
        <v>1891.6</v>
      </c>
      <c r="BR554" s="176">
        <v>1849.81</v>
      </c>
      <c r="BS554" s="176">
        <v>1849.81</v>
      </c>
      <c r="BT554" s="176">
        <f>1849.81+0.88</f>
        <v>1850.69</v>
      </c>
      <c r="BU554" s="176">
        <v>1849.81</v>
      </c>
      <c r="BV554" s="176">
        <v>1849.81</v>
      </c>
      <c r="BW554" s="176">
        <v>1849.81</v>
      </c>
      <c r="BX554" s="176"/>
      <c r="BY554" s="191"/>
      <c r="BZ554" s="191"/>
      <c r="CA554" s="191"/>
      <c r="CC554" s="182"/>
    </row>
    <row r="555" spans="1:81" s="178" customFormat="1" ht="15.75" customHeight="1">
      <c r="A555" s="235"/>
      <c r="B555" s="227"/>
      <c r="C555" s="238"/>
      <c r="D555" s="238"/>
      <c r="E555" s="238"/>
      <c r="F555" s="238"/>
      <c r="G555" s="238"/>
      <c r="H555" s="238"/>
      <c r="I555" s="175" t="s">
        <v>387</v>
      </c>
      <c r="J555" s="175"/>
      <c r="K555" s="175"/>
      <c r="L555" s="175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  <c r="AA555" s="176"/>
      <c r="AB555" s="176"/>
      <c r="AC555" s="176"/>
      <c r="AD555" s="176"/>
      <c r="AE555" s="176"/>
      <c r="AF555" s="176"/>
      <c r="AG555" s="176"/>
      <c r="AH555" s="176"/>
      <c r="AI555" s="176"/>
      <c r="AJ555" s="176"/>
      <c r="AK555" s="176"/>
      <c r="AL555" s="176"/>
      <c r="AM555" s="176"/>
      <c r="AN555" s="176"/>
      <c r="AO555" s="176"/>
      <c r="AP555" s="176"/>
      <c r="AQ555" s="176"/>
      <c r="AR555" s="176"/>
      <c r="AS555" s="176"/>
      <c r="AT555" s="176"/>
      <c r="AU555" s="176"/>
      <c r="AV555" s="176"/>
      <c r="AW555" s="176"/>
      <c r="AX555" s="176"/>
      <c r="AY555" s="176"/>
      <c r="AZ555" s="176"/>
      <c r="BA555" s="176"/>
      <c r="BB555" s="176"/>
      <c r="BC555" s="176"/>
      <c r="BD555" s="176"/>
      <c r="BE555" s="176"/>
      <c r="BF555" s="176"/>
      <c r="BG555" s="176"/>
      <c r="BH555" s="176"/>
      <c r="BI555" s="176">
        <v>500</v>
      </c>
      <c r="BJ555" s="176"/>
      <c r="BK555" s="176"/>
      <c r="BL555" s="176">
        <v>203.48</v>
      </c>
      <c r="BM555" s="176">
        <v>203.48</v>
      </c>
      <c r="BN555" s="176">
        <v>203.48</v>
      </c>
      <c r="BO555" s="176">
        <v>203.48</v>
      </c>
      <c r="BP555" s="176">
        <v>203.48</v>
      </c>
      <c r="BQ555" s="176">
        <v>203.48</v>
      </c>
      <c r="BR555" s="176">
        <v>203.48</v>
      </c>
      <c r="BS555" s="176">
        <v>203.48</v>
      </c>
      <c r="BT555" s="176">
        <v>203.48</v>
      </c>
      <c r="BU555" s="176">
        <v>203.48</v>
      </c>
      <c r="BV555" s="176">
        <v>203.48</v>
      </c>
      <c r="BW555" s="176">
        <v>203.48</v>
      </c>
      <c r="BX555" s="176"/>
      <c r="BY555" s="191"/>
      <c r="BZ555" s="191"/>
      <c r="CA555" s="191"/>
      <c r="CC555" s="182"/>
    </row>
    <row r="556" spans="1:81" s="178" customFormat="1" ht="15.75" customHeight="1">
      <c r="A556" s="235"/>
      <c r="B556" s="227"/>
      <c r="C556" s="238"/>
      <c r="D556" s="238"/>
      <c r="E556" s="238"/>
      <c r="F556" s="238"/>
      <c r="G556" s="238"/>
      <c r="H556" s="238"/>
      <c r="I556" s="175" t="s">
        <v>353</v>
      </c>
      <c r="J556" s="175"/>
      <c r="K556" s="175"/>
      <c r="L556" s="175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  <c r="AA556" s="176"/>
      <c r="AB556" s="176"/>
      <c r="AC556" s="176"/>
      <c r="AD556" s="176"/>
      <c r="AE556" s="176"/>
      <c r="AF556" s="176"/>
      <c r="AG556" s="176"/>
      <c r="AH556" s="176"/>
      <c r="AI556" s="176"/>
      <c r="AJ556" s="176"/>
      <c r="AK556" s="176"/>
      <c r="AL556" s="176"/>
      <c r="AM556" s="176"/>
      <c r="AN556" s="176"/>
      <c r="AO556" s="176"/>
      <c r="AP556" s="176"/>
      <c r="AQ556" s="176"/>
      <c r="AR556" s="176"/>
      <c r="AS556" s="176"/>
      <c r="AT556" s="176"/>
      <c r="AU556" s="176"/>
      <c r="AV556" s="176"/>
      <c r="AW556" s="176"/>
      <c r="AX556" s="176"/>
      <c r="AY556" s="176"/>
      <c r="AZ556" s="176"/>
      <c r="BA556" s="176"/>
      <c r="BB556" s="176"/>
      <c r="BC556" s="176"/>
      <c r="BD556" s="176"/>
      <c r="BE556" s="176"/>
      <c r="BF556" s="176">
        <f>15.16+75.8</f>
        <v>90.96</v>
      </c>
      <c r="BG556" s="176"/>
      <c r="BH556" s="176"/>
      <c r="BI556" s="176"/>
      <c r="BJ556" s="176"/>
      <c r="BK556" s="176"/>
      <c r="BL556" s="176"/>
      <c r="BM556" s="176"/>
      <c r="BN556" s="176"/>
      <c r="BO556" s="176"/>
      <c r="BP556" s="176"/>
      <c r="BQ556" s="176"/>
      <c r="BR556" s="176"/>
      <c r="BS556" s="176"/>
      <c r="BT556" s="176"/>
      <c r="BU556" s="176"/>
      <c r="BV556" s="176"/>
      <c r="BW556" s="176"/>
      <c r="BX556" s="176"/>
      <c r="BY556" s="191"/>
      <c r="BZ556" s="191"/>
      <c r="CA556" s="191"/>
      <c r="CC556" s="182"/>
    </row>
    <row r="557" spans="1:81" s="178" customFormat="1" ht="15.75" customHeight="1">
      <c r="A557" s="235"/>
      <c r="B557" s="227"/>
      <c r="C557" s="238"/>
      <c r="D557" s="238"/>
      <c r="E557" s="238"/>
      <c r="F557" s="238"/>
      <c r="G557" s="238"/>
      <c r="H557" s="238"/>
      <c r="I557" s="175" t="s">
        <v>354</v>
      </c>
      <c r="J557" s="175"/>
      <c r="K557" s="175"/>
      <c r="L557" s="175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  <c r="AA557" s="176"/>
      <c r="AB557" s="176"/>
      <c r="AC557" s="176"/>
      <c r="AD557" s="176"/>
      <c r="AE557" s="176"/>
      <c r="AF557" s="176"/>
      <c r="AG557" s="176"/>
      <c r="AH557" s="176"/>
      <c r="AI557" s="176"/>
      <c r="AJ557" s="176"/>
      <c r="AK557" s="176"/>
      <c r="AL557" s="176"/>
      <c r="AM557" s="176"/>
      <c r="AN557" s="176"/>
      <c r="AO557" s="176"/>
      <c r="AP557" s="176"/>
      <c r="AQ557" s="176"/>
      <c r="AR557" s="176"/>
      <c r="AS557" s="176"/>
      <c r="AT557" s="176"/>
      <c r="AU557" s="176"/>
      <c r="AV557" s="176"/>
      <c r="AW557" s="176"/>
      <c r="AX557" s="176"/>
      <c r="AY557" s="176"/>
      <c r="AZ557" s="176"/>
      <c r="BA557" s="176"/>
      <c r="BB557" s="176"/>
      <c r="BC557" s="176"/>
      <c r="BD557" s="176"/>
      <c r="BE557" s="176"/>
      <c r="BF557" s="176"/>
      <c r="BG557" s="176"/>
      <c r="BH557" s="176"/>
      <c r="BI557" s="176"/>
      <c r="BJ557" s="176"/>
      <c r="BK557" s="176"/>
      <c r="BL557" s="176"/>
      <c r="BM557" s="176"/>
      <c r="BN557" s="176"/>
      <c r="BO557" s="176"/>
      <c r="BP557" s="176"/>
      <c r="BQ557" s="176"/>
      <c r="BR557" s="176"/>
      <c r="BS557" s="176"/>
      <c r="BT557" s="176"/>
      <c r="BU557" s="176"/>
      <c r="BV557" s="176"/>
      <c r="BW557" s="176"/>
      <c r="BX557" s="176"/>
      <c r="BY557" s="191"/>
      <c r="BZ557" s="191"/>
      <c r="CA557" s="191"/>
      <c r="CC557" s="182"/>
    </row>
    <row r="558" spans="1:81" s="178" customFormat="1" ht="15.75" customHeight="1">
      <c r="A558" s="235"/>
      <c r="B558" s="227"/>
      <c r="C558" s="238"/>
      <c r="D558" s="238"/>
      <c r="E558" s="238"/>
      <c r="F558" s="238"/>
      <c r="G558" s="238"/>
      <c r="H558" s="238"/>
      <c r="I558" s="175" t="s">
        <v>388</v>
      </c>
      <c r="J558" s="175"/>
      <c r="K558" s="175"/>
      <c r="L558" s="175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  <c r="AA558" s="176"/>
      <c r="AB558" s="176"/>
      <c r="AC558" s="176"/>
      <c r="AD558" s="176"/>
      <c r="AE558" s="176"/>
      <c r="AF558" s="176"/>
      <c r="AG558" s="176"/>
      <c r="AH558" s="176"/>
      <c r="AI558" s="176"/>
      <c r="AJ558" s="176"/>
      <c r="AK558" s="176"/>
      <c r="AL558" s="176"/>
      <c r="AM558" s="176"/>
      <c r="AN558" s="176"/>
      <c r="AO558" s="176"/>
      <c r="AP558" s="176"/>
      <c r="AQ558" s="176"/>
      <c r="AR558" s="176"/>
      <c r="AS558" s="176"/>
      <c r="AT558" s="176"/>
      <c r="AU558" s="176"/>
      <c r="AV558" s="176"/>
      <c r="AW558" s="176"/>
      <c r="AX558" s="176"/>
      <c r="AY558" s="176"/>
      <c r="AZ558" s="176"/>
      <c r="BA558" s="176"/>
      <c r="BB558" s="176"/>
      <c r="BC558" s="176"/>
      <c r="BD558" s="176"/>
      <c r="BE558" s="176"/>
      <c r="BF558" s="176"/>
      <c r="BG558" s="176"/>
      <c r="BH558" s="176"/>
      <c r="BI558" s="176"/>
      <c r="BJ558" s="176"/>
      <c r="BK558" s="176"/>
      <c r="BL558" s="176">
        <v>1300</v>
      </c>
      <c r="BM558" s="176"/>
      <c r="BN558" s="176"/>
      <c r="BO558" s="176"/>
      <c r="BP558" s="176"/>
      <c r="BQ558" s="176"/>
      <c r="BR558" s="176"/>
      <c r="BS558" s="176"/>
      <c r="BT558" s="176"/>
      <c r="BU558" s="176"/>
      <c r="BV558" s="176"/>
      <c r="BW558" s="176"/>
      <c r="BX558" s="176"/>
      <c r="BY558" s="191"/>
      <c r="BZ558" s="191"/>
      <c r="CA558" s="191"/>
      <c r="CC558" s="182"/>
    </row>
    <row r="559" spans="1:81" s="178" customFormat="1" ht="15.75" customHeight="1">
      <c r="A559" s="235"/>
      <c r="B559" s="227"/>
      <c r="C559" s="238"/>
      <c r="D559" s="238"/>
      <c r="E559" s="238"/>
      <c r="F559" s="238"/>
      <c r="G559" s="238"/>
      <c r="H559" s="238"/>
      <c r="I559" s="175" t="s">
        <v>356</v>
      </c>
      <c r="J559" s="175"/>
      <c r="K559" s="175"/>
      <c r="L559" s="175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  <c r="AA559" s="176"/>
      <c r="AB559" s="176"/>
      <c r="AC559" s="176"/>
      <c r="AD559" s="176"/>
      <c r="AE559" s="176"/>
      <c r="AF559" s="176"/>
      <c r="AG559" s="176"/>
      <c r="AH559" s="176"/>
      <c r="AI559" s="176"/>
      <c r="AJ559" s="176"/>
      <c r="AK559" s="176"/>
      <c r="AL559" s="176"/>
      <c r="AM559" s="176"/>
      <c r="AN559" s="176"/>
      <c r="AO559" s="176"/>
      <c r="AP559" s="176"/>
      <c r="AQ559" s="176"/>
      <c r="AR559" s="176"/>
      <c r="AS559" s="176"/>
      <c r="AT559" s="176"/>
      <c r="AU559" s="176"/>
      <c r="AV559" s="176"/>
      <c r="AW559" s="176"/>
      <c r="AX559" s="176"/>
      <c r="AY559" s="176"/>
      <c r="AZ559" s="176"/>
      <c r="BA559" s="176"/>
      <c r="BB559" s="176"/>
      <c r="BC559" s="176"/>
      <c r="BD559" s="176"/>
      <c r="BE559" s="176"/>
      <c r="BF559" s="176"/>
      <c r="BG559" s="176"/>
      <c r="BH559" s="176"/>
      <c r="BI559" s="176"/>
      <c r="BJ559" s="176"/>
      <c r="BK559" s="176"/>
      <c r="BL559" s="176"/>
      <c r="BM559" s="176"/>
      <c r="BN559" s="176"/>
      <c r="BO559" s="176"/>
      <c r="BP559" s="176"/>
      <c r="BQ559" s="176"/>
      <c r="BR559" s="176"/>
      <c r="BS559" s="176"/>
      <c r="BT559" s="176"/>
      <c r="BU559" s="176"/>
      <c r="BV559" s="176"/>
      <c r="BW559" s="176"/>
      <c r="BX559" s="176"/>
      <c r="BY559" s="191"/>
      <c r="BZ559" s="191"/>
      <c r="CA559" s="191"/>
      <c r="CC559" s="182"/>
    </row>
    <row r="560" spans="1:81" s="178" customFormat="1" ht="15.75" customHeight="1">
      <c r="A560" s="235"/>
      <c r="B560" s="227"/>
      <c r="C560" s="238"/>
      <c r="D560" s="238"/>
      <c r="E560" s="238"/>
      <c r="F560" s="238"/>
      <c r="G560" s="238"/>
      <c r="H560" s="238"/>
      <c r="I560" s="175" t="s">
        <v>357</v>
      </c>
      <c r="J560" s="175"/>
      <c r="K560" s="175"/>
      <c r="L560" s="175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  <c r="AA560" s="176"/>
      <c r="AB560" s="176"/>
      <c r="AC560" s="176"/>
      <c r="AD560" s="176"/>
      <c r="AE560" s="176"/>
      <c r="AF560" s="176"/>
      <c r="AG560" s="176"/>
      <c r="AH560" s="176"/>
      <c r="AI560" s="176"/>
      <c r="AJ560" s="176"/>
      <c r="AK560" s="176"/>
      <c r="AL560" s="176"/>
      <c r="AM560" s="176"/>
      <c r="AN560" s="176"/>
      <c r="AO560" s="176"/>
      <c r="AP560" s="176"/>
      <c r="AQ560" s="176"/>
      <c r="AR560" s="176"/>
      <c r="AS560" s="176"/>
      <c r="AT560" s="176"/>
      <c r="AU560" s="176"/>
      <c r="AV560" s="176">
        <v>433.24</v>
      </c>
      <c r="AW560" s="176">
        <v>490.01</v>
      </c>
      <c r="AX560" s="176">
        <v>480.51</v>
      </c>
      <c r="AY560" s="176">
        <v>481.76</v>
      </c>
      <c r="AZ560" s="195">
        <v>490.26</v>
      </c>
      <c r="BA560" s="195">
        <v>491.03</v>
      </c>
      <c r="BB560" s="195">
        <v>487.99</v>
      </c>
      <c r="BC560" s="195">
        <v>500.51</v>
      </c>
      <c r="BD560" s="195">
        <v>502.51</v>
      </c>
      <c r="BE560" s="195">
        <v>500.51</v>
      </c>
      <c r="BF560" s="195">
        <v>488.05</v>
      </c>
      <c r="BG560" s="195">
        <v>469.01</v>
      </c>
      <c r="BH560" s="195">
        <v>490.01</v>
      </c>
      <c r="BI560" s="195">
        <v>490.01</v>
      </c>
      <c r="BJ560" s="195">
        <v>604</v>
      </c>
      <c r="BK560" s="195">
        <f>249.6+320</f>
        <v>569.6</v>
      </c>
      <c r="BL560" s="195">
        <f>320+284</f>
        <v>604</v>
      </c>
      <c r="BM560" s="195">
        <v>629</v>
      </c>
      <c r="BN560" s="195">
        <f>320+284</f>
        <v>604</v>
      </c>
      <c r="BO560" s="195">
        <f>320+307</f>
        <v>627</v>
      </c>
      <c r="BP560" s="195">
        <f>331.5+320</f>
        <v>651.5</v>
      </c>
      <c r="BQ560" s="195">
        <v>601.6</v>
      </c>
      <c r="BR560" s="195">
        <f>320.5+320</f>
        <v>640.5</v>
      </c>
      <c r="BS560" s="195">
        <f>320+272.5</f>
        <v>592.5</v>
      </c>
      <c r="BT560" s="195">
        <v>592.5</v>
      </c>
      <c r="BU560" s="195">
        <f>309+320</f>
        <v>629</v>
      </c>
      <c r="BV560" s="195">
        <f>264.4+320</f>
        <v>584.4</v>
      </c>
      <c r="BW560" s="195">
        <f>285.4+320</f>
        <v>605.4</v>
      </c>
      <c r="BX560" s="176"/>
      <c r="BY560" s="191"/>
      <c r="BZ560" s="191"/>
      <c r="CA560" s="191"/>
      <c r="CC560" s="182"/>
    </row>
    <row r="561" spans="1:81" s="178" customFormat="1" ht="15.75" customHeight="1">
      <c r="A561" s="235"/>
      <c r="B561" s="227"/>
      <c r="C561" s="238"/>
      <c r="D561" s="238"/>
      <c r="E561" s="238"/>
      <c r="F561" s="238"/>
      <c r="G561" s="238"/>
      <c r="H561" s="238"/>
      <c r="I561" s="184" t="s">
        <v>362</v>
      </c>
      <c r="J561" s="184"/>
      <c r="K561" s="184"/>
      <c r="L561" s="184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  <c r="AA561" s="176"/>
      <c r="AB561" s="176"/>
      <c r="AC561" s="176"/>
      <c r="AD561" s="176"/>
      <c r="AE561" s="176"/>
      <c r="AF561" s="176"/>
      <c r="AG561" s="176"/>
      <c r="AH561" s="176"/>
      <c r="AI561" s="176"/>
      <c r="AJ561" s="176"/>
      <c r="AK561" s="176"/>
      <c r="AL561" s="176"/>
      <c r="AM561" s="176"/>
      <c r="AN561" s="176"/>
      <c r="AO561" s="176"/>
      <c r="AP561" s="176"/>
      <c r="AQ561" s="176"/>
      <c r="AR561" s="176"/>
      <c r="AS561" s="176"/>
      <c r="AT561" s="176"/>
      <c r="AU561" s="176"/>
      <c r="AV561" s="176"/>
      <c r="AW561" s="176"/>
      <c r="AX561" s="176"/>
      <c r="AY561" s="176"/>
      <c r="AZ561" s="176"/>
      <c r="BA561" s="176"/>
      <c r="BB561" s="176"/>
      <c r="BC561" s="176"/>
      <c r="BD561" s="176"/>
      <c r="BE561" s="176"/>
      <c r="BF561" s="176"/>
      <c r="BG561" s="176"/>
      <c r="BH561" s="176"/>
      <c r="BI561" s="176"/>
      <c r="BJ561" s="176"/>
      <c r="BK561" s="176"/>
      <c r="BL561" s="176"/>
      <c r="BM561" s="176"/>
      <c r="BN561" s="176"/>
      <c r="BO561" s="176"/>
      <c r="BP561" s="176"/>
      <c r="BQ561" s="176"/>
      <c r="BR561" s="176"/>
      <c r="BS561" s="176"/>
      <c r="BT561" s="176"/>
      <c r="BU561" s="176"/>
      <c r="BV561" s="176"/>
      <c r="BW561" s="176"/>
      <c r="BX561" s="176"/>
      <c r="BY561" s="191"/>
      <c r="BZ561" s="191"/>
      <c r="CA561" s="191"/>
      <c r="CC561" s="182"/>
    </row>
    <row r="562" spans="1:81" s="178" customFormat="1" ht="15.75" customHeight="1">
      <c r="A562" s="235"/>
      <c r="B562" s="227"/>
      <c r="C562" s="238"/>
      <c r="D562" s="238"/>
      <c r="E562" s="238"/>
      <c r="F562" s="238"/>
      <c r="G562" s="238"/>
      <c r="H562" s="238"/>
      <c r="I562" s="190" t="s">
        <v>363</v>
      </c>
      <c r="J562" s="190"/>
      <c r="K562" s="190"/>
      <c r="L562" s="190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  <c r="AA562" s="176"/>
      <c r="AB562" s="176"/>
      <c r="AC562" s="176"/>
      <c r="AD562" s="176"/>
      <c r="AE562" s="176"/>
      <c r="AF562" s="176"/>
      <c r="AG562" s="176"/>
      <c r="AH562" s="176"/>
      <c r="AI562" s="176"/>
      <c r="AJ562" s="176"/>
      <c r="AK562" s="176"/>
      <c r="AL562" s="176"/>
      <c r="AM562" s="176"/>
      <c r="AN562" s="176"/>
      <c r="AO562" s="176"/>
      <c r="AP562" s="176"/>
      <c r="AQ562" s="176"/>
      <c r="AR562" s="176"/>
      <c r="AS562" s="176"/>
      <c r="AT562" s="176"/>
      <c r="AU562" s="176"/>
      <c r="AV562" s="176">
        <v>142.59</v>
      </c>
      <c r="AW562" s="176"/>
      <c r="AX562" s="176"/>
      <c r="AY562" s="176"/>
      <c r="AZ562" s="176"/>
      <c r="BA562" s="176"/>
      <c r="BB562" s="176"/>
      <c r="BC562" s="176"/>
      <c r="BD562" s="176"/>
      <c r="BE562" s="176"/>
      <c r="BF562" s="176"/>
      <c r="BG562" s="176"/>
      <c r="BH562" s="176"/>
      <c r="BI562" s="176"/>
      <c r="BJ562" s="176"/>
      <c r="BK562" s="176"/>
      <c r="BL562" s="176"/>
      <c r="BM562" s="176"/>
      <c r="BN562" s="176"/>
      <c r="BO562" s="176"/>
      <c r="BP562" s="176"/>
      <c r="BQ562" s="176"/>
      <c r="BR562" s="176"/>
      <c r="BS562" s="176"/>
      <c r="BT562" s="176"/>
      <c r="BU562" s="176"/>
      <c r="BV562" s="176"/>
      <c r="BW562" s="176"/>
      <c r="BX562" s="176"/>
      <c r="BY562" s="191"/>
      <c r="BZ562" s="191"/>
      <c r="CA562" s="191"/>
      <c r="CC562" s="182"/>
    </row>
    <row r="563" spans="1:81" s="178" customFormat="1" ht="15.75" customHeight="1">
      <c r="A563" s="235"/>
      <c r="B563" s="227"/>
      <c r="C563" s="238"/>
      <c r="D563" s="238"/>
      <c r="E563" s="238"/>
      <c r="F563" s="238"/>
      <c r="G563" s="238"/>
      <c r="H563" s="238"/>
      <c r="I563" s="193" t="s">
        <v>364</v>
      </c>
      <c r="J563" s="193"/>
      <c r="K563" s="193"/>
      <c r="L563" s="193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  <c r="AA563" s="176"/>
      <c r="AB563" s="176"/>
      <c r="AC563" s="176"/>
      <c r="AD563" s="176"/>
      <c r="AE563" s="176"/>
      <c r="AF563" s="176"/>
      <c r="AG563" s="176"/>
      <c r="AH563" s="176"/>
      <c r="AI563" s="176"/>
      <c r="AJ563" s="176"/>
      <c r="AK563" s="176"/>
      <c r="AL563" s="176"/>
      <c r="AM563" s="176"/>
      <c r="AN563" s="176"/>
      <c r="AO563" s="176"/>
      <c r="AP563" s="176"/>
      <c r="AQ563" s="176"/>
      <c r="AR563" s="176"/>
      <c r="AS563" s="176"/>
      <c r="AT563" s="176"/>
      <c r="AU563" s="176"/>
      <c r="AV563" s="176">
        <v>130.03</v>
      </c>
      <c r="AW563" s="176">
        <v>173.05</v>
      </c>
      <c r="AX563" s="176">
        <v>145.30000000000001</v>
      </c>
      <c r="AY563" s="176">
        <v>173.05</v>
      </c>
      <c r="AZ563" s="176">
        <v>145.30000000000001</v>
      </c>
      <c r="BA563" s="176">
        <v>145.30000000000001</v>
      </c>
      <c r="BB563" s="176">
        <v>145.30000000000001</v>
      </c>
      <c r="BC563" s="176">
        <v>145.30000000000001</v>
      </c>
      <c r="BD563" s="176">
        <v>257.92</v>
      </c>
      <c r="BE563" s="176">
        <v>145.30000000000001</v>
      </c>
      <c r="BF563" s="176">
        <v>153.47999999999999</v>
      </c>
      <c r="BG563" s="176">
        <f>645.3-BG560</f>
        <v>176.28999999999996</v>
      </c>
      <c r="BH563" s="176">
        <v>145.30000000000001</v>
      </c>
      <c r="BI563" s="176">
        <v>754.7</v>
      </c>
      <c r="BJ563" s="176">
        <v>254.7</v>
      </c>
      <c r="BK563" s="176">
        <v>254.7</v>
      </c>
      <c r="BL563" s="176">
        <v>254.7</v>
      </c>
      <c r="BM563" s="176">
        <v>254.7</v>
      </c>
      <c r="BN563" s="176">
        <v>254.7</v>
      </c>
      <c r="BO563" s="176">
        <v>254.7</v>
      </c>
      <c r="BP563" s="176">
        <v>254.7</v>
      </c>
      <c r="BQ563" s="176">
        <v>402.82</v>
      </c>
      <c r="BR563" s="176">
        <v>232.37</v>
      </c>
      <c r="BS563" s="176">
        <v>254.7</v>
      </c>
      <c r="BT563" s="176">
        <v>534</v>
      </c>
      <c r="BU563" s="176">
        <v>637.87</v>
      </c>
      <c r="BV563" s="176">
        <v>361.67</v>
      </c>
      <c r="BW563" s="176">
        <v>361.67</v>
      </c>
      <c r="BX563" s="176"/>
      <c r="BY563" s="191"/>
      <c r="BZ563" s="191"/>
      <c r="CA563" s="191"/>
      <c r="CC563" s="182"/>
    </row>
    <row r="564" spans="1:81" s="178" customFormat="1" ht="15.75" customHeight="1">
      <c r="A564" s="236"/>
      <c r="B564" s="227"/>
      <c r="C564" s="239"/>
      <c r="D564" s="239"/>
      <c r="E564" s="239"/>
      <c r="F564" s="239"/>
      <c r="G564" s="239"/>
      <c r="H564" s="239"/>
      <c r="I564" s="194"/>
      <c r="J564" s="176">
        <f>SUM(J553:J562)-J563</f>
        <v>0</v>
      </c>
      <c r="K564" s="176">
        <f t="shared" ref="K564:AC564" si="289">SUM(K553:K562)-K563</f>
        <v>0</v>
      </c>
      <c r="L564" s="176">
        <f t="shared" si="289"/>
        <v>0</v>
      </c>
      <c r="M564" s="176">
        <f t="shared" si="289"/>
        <v>0</v>
      </c>
      <c r="N564" s="176">
        <f t="shared" si="289"/>
        <v>0</v>
      </c>
      <c r="O564" s="176">
        <f t="shared" si="289"/>
        <v>0</v>
      </c>
      <c r="P564" s="176">
        <f t="shared" si="289"/>
        <v>0</v>
      </c>
      <c r="Q564" s="176">
        <f t="shared" si="289"/>
        <v>0</v>
      </c>
      <c r="R564" s="176">
        <f t="shared" si="289"/>
        <v>0</v>
      </c>
      <c r="S564" s="176">
        <f t="shared" si="289"/>
        <v>0</v>
      </c>
      <c r="T564" s="176">
        <f t="shared" si="289"/>
        <v>0</v>
      </c>
      <c r="U564" s="176">
        <f t="shared" si="289"/>
        <v>0</v>
      </c>
      <c r="V564" s="176">
        <f t="shared" si="289"/>
        <v>0</v>
      </c>
      <c r="W564" s="176">
        <f t="shared" si="289"/>
        <v>0</v>
      </c>
      <c r="X564" s="176">
        <f t="shared" si="289"/>
        <v>0</v>
      </c>
      <c r="Y564" s="176">
        <f t="shared" si="289"/>
        <v>0</v>
      </c>
      <c r="Z564" s="176">
        <f t="shared" si="289"/>
        <v>0</v>
      </c>
      <c r="AA564" s="176">
        <f t="shared" si="289"/>
        <v>0</v>
      </c>
      <c r="AB564" s="176">
        <f t="shared" si="289"/>
        <v>0</v>
      </c>
      <c r="AC564" s="176">
        <f t="shared" si="289"/>
        <v>0</v>
      </c>
      <c r="AD564" s="176">
        <f>SUM(AD553:AD562)-AD563</f>
        <v>0</v>
      </c>
      <c r="AE564" s="176">
        <f>SUM(AE553:AE562)-AE563</f>
        <v>0</v>
      </c>
      <c r="AF564" s="176">
        <f>SUM(AF553:AF562)-AF563</f>
        <v>0</v>
      </c>
      <c r="AG564" s="176">
        <f t="shared" ref="AG564" si="290">SUM(AG553:AG562)-AG563</f>
        <v>0</v>
      </c>
      <c r="AH564" s="176">
        <f>SUM(AH553:AH562)-AH563</f>
        <v>0</v>
      </c>
      <c r="AI564" s="176">
        <f>SUM(AI553:AI562)-AI563</f>
        <v>0</v>
      </c>
      <c r="AJ564" s="176">
        <f t="shared" ref="AJ564:AP564" si="291">SUM(AJ553:AJ562)-AJ563</f>
        <v>0</v>
      </c>
      <c r="AK564" s="176">
        <f t="shared" si="291"/>
        <v>0</v>
      </c>
      <c r="AL564" s="176">
        <f t="shared" si="291"/>
        <v>0</v>
      </c>
      <c r="AM564" s="176">
        <f t="shared" si="291"/>
        <v>0</v>
      </c>
      <c r="AN564" s="176">
        <f t="shared" si="291"/>
        <v>0</v>
      </c>
      <c r="AO564" s="176">
        <f t="shared" si="291"/>
        <v>0</v>
      </c>
      <c r="AP564" s="176">
        <f t="shared" si="291"/>
        <v>0</v>
      </c>
      <c r="AQ564" s="176">
        <f t="shared" ref="AQ564:AT564" si="292">SUM(AQ553:AQ562)-AQ563</f>
        <v>0</v>
      </c>
      <c r="AR564" s="176">
        <f t="shared" si="292"/>
        <v>0</v>
      </c>
      <c r="AS564" s="176">
        <f t="shared" si="292"/>
        <v>0</v>
      </c>
      <c r="AT564" s="176">
        <f t="shared" si="292"/>
        <v>0</v>
      </c>
      <c r="AU564" s="176">
        <f>SUM(AU553:AU562)-AU563</f>
        <v>0</v>
      </c>
      <c r="AV564" s="176">
        <f t="shared" ref="AV564:AY564" si="293">SUM(AV553:AV562)-AV563</f>
        <v>2110.6299999999997</v>
      </c>
      <c r="AW564" s="176">
        <f t="shared" si="293"/>
        <v>2166.7699999999995</v>
      </c>
      <c r="AX564" s="176">
        <f t="shared" si="293"/>
        <v>2185.0199999999995</v>
      </c>
      <c r="AY564" s="176">
        <f t="shared" si="293"/>
        <v>2158.5199999999995</v>
      </c>
      <c r="AZ564" s="176">
        <f t="shared" ref="AZ564:BA564" si="294">SUM(AZ553:AZ562)-AZ563</f>
        <v>2194.7699999999995</v>
      </c>
      <c r="BA564" s="176">
        <f t="shared" si="294"/>
        <v>2195.54</v>
      </c>
      <c r="BB564" s="176">
        <f t="shared" ref="BB564:BE564" si="295">SUM(BB553:BB562)-BB563</f>
        <v>2192.5</v>
      </c>
      <c r="BC564" s="176">
        <f t="shared" si="295"/>
        <v>2205.0199999999995</v>
      </c>
      <c r="BD564" s="176">
        <f t="shared" si="295"/>
        <v>2094.3999999999996</v>
      </c>
      <c r="BE564" s="176">
        <f t="shared" si="295"/>
        <v>2205.0199999999995</v>
      </c>
      <c r="BF564" s="176">
        <f>BF554+BF556+BF560-BF563</f>
        <v>2275.34</v>
      </c>
      <c r="BG564" s="176">
        <f>BG554+BG560-BG563</f>
        <v>2142.5299999999997</v>
      </c>
      <c r="BH564" s="176">
        <f>BH554+BH560-BH563</f>
        <v>2194.5199999999995</v>
      </c>
      <c r="BI564" s="176">
        <f>BI554+BI555+BI560-BI563</f>
        <v>2085.12</v>
      </c>
      <c r="BJ564" s="176">
        <f>BJ554+BJ560-BJ563</f>
        <v>2199.11</v>
      </c>
      <c r="BK564" s="176">
        <f>BK554+BK555+BK560-BK563</f>
        <v>2164.71</v>
      </c>
      <c r="BL564" s="176">
        <f>BL554+BL555+BL560-BL563+BL558</f>
        <v>3702.59</v>
      </c>
      <c r="BM564" s="176">
        <f>BM554+BM555+BM560-BM563</f>
        <v>2427.59</v>
      </c>
      <c r="BN564" s="176">
        <f t="shared" ref="BN564" si="296">BN554+BN555+BN560-BN563</f>
        <v>2402.59</v>
      </c>
      <c r="BO564" s="176">
        <f>BO554+BO555+BO560-BO563</f>
        <v>2425.59</v>
      </c>
      <c r="BP564" s="176">
        <f t="shared" ref="BP564:BQ564" si="297">BP554+BP555+BP560-BP563</f>
        <v>2450.09</v>
      </c>
      <c r="BQ564" s="176">
        <f t="shared" si="297"/>
        <v>2293.8599999999997</v>
      </c>
      <c r="BR564" s="176">
        <f>BR554+BR555+BR560-BR563</f>
        <v>2461.42</v>
      </c>
      <c r="BS564" s="176">
        <f t="shared" ref="BS564:BU564" si="298">BS554+BS555+BS560-BS563</f>
        <v>2391.09</v>
      </c>
      <c r="BT564" s="176">
        <f>BT554+BT555+BT560-BT563</f>
        <v>2112.67</v>
      </c>
      <c r="BU564" s="176">
        <f t="shared" si="298"/>
        <v>2044.42</v>
      </c>
      <c r="BV564" s="176">
        <f>BV554+BV555+BV560-BV563</f>
        <v>2276.02</v>
      </c>
      <c r="BW564" s="176">
        <f>BW554+BW555+BW560-BW563</f>
        <v>2297.02</v>
      </c>
      <c r="BX564" s="176">
        <f>SUM(J564:BW564)</f>
        <v>64054.469999999972</v>
      </c>
      <c r="BY564" s="191"/>
      <c r="BZ564" s="191"/>
      <c r="CA564" s="191"/>
      <c r="CC564" s="182"/>
    </row>
    <row r="565" spans="1:81" ht="15.6" customHeight="1">
      <c r="A565" s="148" t="s">
        <v>346</v>
      </c>
      <c r="B565" s="148" t="s">
        <v>347</v>
      </c>
      <c r="C565" s="145" t="s">
        <v>310</v>
      </c>
      <c r="D565" s="145" t="s">
        <v>311</v>
      </c>
      <c r="E565" s="148" t="s">
        <v>312</v>
      </c>
      <c r="F565" s="148" t="s">
        <v>348</v>
      </c>
      <c r="G565" s="145" t="s">
        <v>314</v>
      </c>
      <c r="H565" s="145" t="s">
        <v>315</v>
      </c>
      <c r="I565" s="145" t="s">
        <v>349</v>
      </c>
      <c r="J565" s="146">
        <v>44105</v>
      </c>
      <c r="K565" s="146">
        <v>44136</v>
      </c>
      <c r="L565" s="146">
        <v>44166</v>
      </c>
      <c r="M565" s="146">
        <v>44197</v>
      </c>
      <c r="N565" s="146">
        <v>44228</v>
      </c>
      <c r="O565" s="146">
        <v>44256</v>
      </c>
      <c r="P565" s="146">
        <v>44287</v>
      </c>
      <c r="Q565" s="146">
        <v>44317</v>
      </c>
      <c r="R565" s="146">
        <v>44348</v>
      </c>
      <c r="S565" s="146">
        <v>44378</v>
      </c>
      <c r="T565" s="146">
        <v>44409</v>
      </c>
      <c r="U565" s="146">
        <v>44440</v>
      </c>
      <c r="V565" s="146">
        <v>44470</v>
      </c>
      <c r="W565" s="146">
        <v>44501</v>
      </c>
      <c r="X565" s="146">
        <v>44531</v>
      </c>
      <c r="Y565" s="146">
        <v>44562</v>
      </c>
      <c r="Z565" s="146">
        <v>44593</v>
      </c>
      <c r="AA565" s="146">
        <v>44621</v>
      </c>
      <c r="AB565" s="146">
        <v>44652</v>
      </c>
      <c r="AC565" s="146">
        <v>44682</v>
      </c>
      <c r="AD565" s="146">
        <v>44713</v>
      </c>
      <c r="AE565" s="146">
        <v>44743</v>
      </c>
      <c r="AF565" s="146">
        <v>44774</v>
      </c>
      <c r="AG565" s="146">
        <v>44805</v>
      </c>
      <c r="AH565" s="146">
        <v>44835</v>
      </c>
      <c r="AI565" s="146">
        <v>44866</v>
      </c>
      <c r="AJ565" s="146">
        <v>44896</v>
      </c>
      <c r="AK565" s="146">
        <v>44927</v>
      </c>
      <c r="AL565" s="146">
        <v>44958</v>
      </c>
      <c r="AM565" s="146">
        <v>44986</v>
      </c>
      <c r="AN565" s="146">
        <v>45017</v>
      </c>
      <c r="AO565" s="146">
        <v>45047</v>
      </c>
      <c r="AP565" s="146">
        <v>45078</v>
      </c>
      <c r="AQ565" s="146">
        <v>45108</v>
      </c>
      <c r="AR565" s="146">
        <v>45139</v>
      </c>
      <c r="AS565" s="146">
        <v>45170</v>
      </c>
      <c r="AT565" s="146">
        <v>45200</v>
      </c>
      <c r="AU565" s="146">
        <v>45231</v>
      </c>
      <c r="AV565" s="146">
        <v>45261</v>
      </c>
      <c r="AW565" s="146">
        <v>45292</v>
      </c>
      <c r="AX565" s="146">
        <v>45323</v>
      </c>
      <c r="AY565" s="146">
        <v>45352</v>
      </c>
      <c r="AZ565" s="146">
        <v>45383</v>
      </c>
      <c r="BA565" s="146">
        <v>45413</v>
      </c>
      <c r="BB565" s="146">
        <v>45444</v>
      </c>
      <c r="BC565" s="146">
        <v>45474</v>
      </c>
      <c r="BD565" s="146">
        <v>45505</v>
      </c>
      <c r="BE565" s="146">
        <v>45536</v>
      </c>
      <c r="BF565" s="146">
        <v>45566</v>
      </c>
      <c r="BG565" s="146">
        <v>45597</v>
      </c>
      <c r="BH565" s="146">
        <v>45627</v>
      </c>
      <c r="BI565" s="146">
        <v>45658</v>
      </c>
      <c r="BJ565" s="146">
        <v>45689</v>
      </c>
      <c r="BK565" s="146">
        <v>45717</v>
      </c>
      <c r="BL565" s="146"/>
      <c r="BM565" s="146"/>
      <c r="BN565" s="146"/>
      <c r="BO565" s="146"/>
      <c r="BP565" s="146"/>
      <c r="BQ565" s="146"/>
      <c r="BR565" s="146"/>
      <c r="BS565" s="146"/>
      <c r="BT565" s="146"/>
      <c r="BU565" s="146"/>
      <c r="BV565" s="146"/>
      <c r="BW565" s="146"/>
      <c r="BX565" s="147" t="s">
        <v>13</v>
      </c>
      <c r="BY565" s="5"/>
      <c r="BZ565" s="5"/>
      <c r="CA565" s="5"/>
    </row>
    <row r="566" spans="1:81" ht="15.75" customHeight="1">
      <c r="A566" s="264">
        <v>42</v>
      </c>
      <c r="B566" s="241" t="s">
        <v>201</v>
      </c>
      <c r="C566" s="250" t="s">
        <v>23</v>
      </c>
      <c r="D566" s="250" t="s">
        <v>121</v>
      </c>
      <c r="E566" s="250" t="s">
        <v>367</v>
      </c>
      <c r="F566" s="250" t="s">
        <v>367</v>
      </c>
      <c r="G566" s="271">
        <f>'CONSOLIDADO ATIVO INATIVO NOVO'!J53</f>
        <v>45677</v>
      </c>
      <c r="H566" s="271">
        <v>45677</v>
      </c>
      <c r="I566" s="21" t="s">
        <v>350</v>
      </c>
      <c r="J566" s="21"/>
      <c r="K566" s="21"/>
      <c r="L566" s="21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105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1"/>
      <c r="BZ566" s="1"/>
      <c r="CA566" s="1"/>
      <c r="CC566" s="6"/>
    </row>
    <row r="567" spans="1:81" ht="15.75" customHeight="1">
      <c r="A567" s="265"/>
      <c r="B567" s="241"/>
      <c r="C567" s="251"/>
      <c r="D567" s="251"/>
      <c r="E567" s="251"/>
      <c r="F567" s="251"/>
      <c r="G567" s="251"/>
      <c r="H567" s="251"/>
      <c r="I567" s="21" t="s">
        <v>351</v>
      </c>
      <c r="J567" s="21"/>
      <c r="K567" s="21"/>
      <c r="L567" s="21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105"/>
      <c r="BC567" s="3">
        <v>1619.29</v>
      </c>
      <c r="BD567" s="3">
        <v>1619.29</v>
      </c>
      <c r="BE567" s="3">
        <v>1619.29</v>
      </c>
      <c r="BF567" s="3">
        <v>1619.29</v>
      </c>
      <c r="BG567" s="3">
        <v>1619.29</v>
      </c>
      <c r="BH567" s="3">
        <v>1619.29</v>
      </c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1"/>
      <c r="BZ567" s="1"/>
      <c r="CA567" s="1"/>
      <c r="CC567" s="6"/>
    </row>
    <row r="568" spans="1:81" ht="15.75" customHeight="1">
      <c r="A568" s="265"/>
      <c r="B568" s="241"/>
      <c r="C568" s="251"/>
      <c r="D568" s="251"/>
      <c r="E568" s="251"/>
      <c r="F568" s="251"/>
      <c r="G568" s="251"/>
      <c r="H568" s="251"/>
      <c r="I568" s="21" t="s">
        <v>371</v>
      </c>
      <c r="J568" s="21"/>
      <c r="K568" s="21"/>
      <c r="L568" s="21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105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1"/>
      <c r="BZ568" s="1"/>
      <c r="CA568" s="1"/>
      <c r="CC568" s="6"/>
    </row>
    <row r="569" spans="1:81" ht="15.75" customHeight="1">
      <c r="A569" s="265"/>
      <c r="B569" s="241"/>
      <c r="C569" s="251"/>
      <c r="D569" s="251"/>
      <c r="E569" s="251"/>
      <c r="F569" s="251"/>
      <c r="G569" s="251"/>
      <c r="H569" s="251"/>
      <c r="I569" s="21" t="s">
        <v>353</v>
      </c>
      <c r="J569" s="21"/>
      <c r="K569" s="21"/>
      <c r="L569" s="21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105"/>
      <c r="BC569" s="3"/>
      <c r="BD569" s="3"/>
      <c r="BE569" s="3"/>
      <c r="BF569" s="3">
        <f>49.57+247.86</f>
        <v>297.43</v>
      </c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1"/>
      <c r="BZ569" s="1"/>
      <c r="CA569" s="1"/>
      <c r="CC569" s="6"/>
    </row>
    <row r="570" spans="1:81" ht="15.75" customHeight="1">
      <c r="A570" s="265"/>
      <c r="B570" s="241"/>
      <c r="C570" s="251"/>
      <c r="D570" s="251"/>
      <c r="E570" s="251"/>
      <c r="F570" s="251"/>
      <c r="G570" s="251"/>
      <c r="H570" s="251"/>
      <c r="I570" s="21" t="s">
        <v>354</v>
      </c>
      <c r="J570" s="21"/>
      <c r="K570" s="21"/>
      <c r="L570" s="21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105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1"/>
      <c r="BZ570" s="1"/>
      <c r="CA570" s="1"/>
      <c r="CC570" s="6"/>
    </row>
    <row r="571" spans="1:81" ht="15.75" customHeight="1">
      <c r="A571" s="265"/>
      <c r="B571" s="241"/>
      <c r="C571" s="251"/>
      <c r="D571" s="251"/>
      <c r="E571" s="251"/>
      <c r="F571" s="251"/>
      <c r="G571" s="251"/>
      <c r="H571" s="251"/>
      <c r="I571" s="21" t="s">
        <v>355</v>
      </c>
      <c r="J571" s="21"/>
      <c r="K571" s="21"/>
      <c r="L571" s="21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105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1"/>
      <c r="BZ571" s="1"/>
      <c r="CA571" s="1"/>
      <c r="CC571" s="6"/>
    </row>
    <row r="572" spans="1:81" ht="15.75" customHeight="1">
      <c r="A572" s="265"/>
      <c r="B572" s="241"/>
      <c r="C572" s="251"/>
      <c r="D572" s="251"/>
      <c r="E572" s="251"/>
      <c r="F572" s="251"/>
      <c r="G572" s="251"/>
      <c r="H572" s="251"/>
      <c r="I572" s="21" t="s">
        <v>359</v>
      </c>
      <c r="J572" s="21"/>
      <c r="K572" s="21"/>
      <c r="L572" s="21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105"/>
      <c r="BC572" s="3"/>
      <c r="BD572" s="3"/>
      <c r="BE572" s="3"/>
      <c r="BF572" s="3"/>
      <c r="BG572" s="3">
        <v>500</v>
      </c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1"/>
      <c r="BZ572" s="1"/>
      <c r="CA572" s="1"/>
      <c r="CC572" s="6"/>
    </row>
    <row r="573" spans="1:81" ht="15.75" customHeight="1">
      <c r="A573" s="265"/>
      <c r="B573" s="241"/>
      <c r="C573" s="251"/>
      <c r="D573" s="251"/>
      <c r="E573" s="251"/>
      <c r="F573" s="251"/>
      <c r="G573" s="251"/>
      <c r="H573" s="251"/>
      <c r="I573" s="21" t="s">
        <v>356</v>
      </c>
      <c r="J573" s="21"/>
      <c r="K573" s="21"/>
      <c r="L573" s="21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105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1"/>
      <c r="BZ573" s="1"/>
      <c r="CA573" s="1"/>
      <c r="CC573" s="6"/>
    </row>
    <row r="574" spans="1:81" ht="15.75" customHeight="1">
      <c r="A574" s="265"/>
      <c r="B574" s="241"/>
      <c r="C574" s="251"/>
      <c r="D574" s="251"/>
      <c r="E574" s="251"/>
      <c r="F574" s="251"/>
      <c r="G574" s="251"/>
      <c r="H574" s="251"/>
      <c r="I574" s="21" t="s">
        <v>357</v>
      </c>
      <c r="J574" s="21"/>
      <c r="K574" s="21"/>
      <c r="L574" s="21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104"/>
      <c r="BA574" s="104"/>
      <c r="BB574" s="115"/>
      <c r="BC574" s="104">
        <v>617</v>
      </c>
      <c r="BD574" s="104">
        <v>620.73</v>
      </c>
      <c r="BE574" s="104">
        <v>586.4</v>
      </c>
      <c r="BF574" s="104">
        <v>608.6</v>
      </c>
      <c r="BG574" s="104">
        <v>586.45000000000005</v>
      </c>
      <c r="BH574" s="104">
        <v>608.6</v>
      </c>
      <c r="BI574" s="104"/>
      <c r="BJ574" s="104"/>
      <c r="BK574" s="104"/>
      <c r="BL574" s="104"/>
      <c r="BM574" s="104"/>
      <c r="BN574" s="104"/>
      <c r="BO574" s="104"/>
      <c r="BP574" s="104"/>
      <c r="BQ574" s="104"/>
      <c r="BR574" s="104"/>
      <c r="BS574" s="104"/>
      <c r="BT574" s="104"/>
      <c r="BU574" s="104"/>
      <c r="BV574" s="104"/>
      <c r="BW574" s="104"/>
      <c r="BX574" s="3"/>
      <c r="BY574" s="1"/>
      <c r="BZ574" s="1"/>
      <c r="CA574" s="1"/>
      <c r="CC574" s="6"/>
    </row>
    <row r="575" spans="1:81" ht="15.75" customHeight="1">
      <c r="A575" s="265"/>
      <c r="B575" s="241"/>
      <c r="C575" s="251"/>
      <c r="D575" s="251"/>
      <c r="E575" s="251"/>
      <c r="F575" s="251"/>
      <c r="G575" s="251"/>
      <c r="H575" s="251"/>
      <c r="I575" s="23" t="s">
        <v>362</v>
      </c>
      <c r="J575" s="23"/>
      <c r="K575" s="23"/>
      <c r="L575" s="2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105"/>
      <c r="BC575" s="3"/>
      <c r="BD575" s="3"/>
      <c r="BE575" s="3"/>
      <c r="BF575" s="3"/>
      <c r="BG575" s="3"/>
      <c r="BH575" s="3"/>
      <c r="BI575" s="3">
        <v>4349.43</v>
      </c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1"/>
      <c r="BZ575" s="1"/>
      <c r="CA575" s="1"/>
      <c r="CC575" s="6"/>
    </row>
    <row r="576" spans="1:81" ht="15.75" customHeight="1">
      <c r="A576" s="265"/>
      <c r="B576" s="241"/>
      <c r="C576" s="251"/>
      <c r="D576" s="251"/>
      <c r="E576" s="251"/>
      <c r="F576" s="251"/>
      <c r="G576" s="251"/>
      <c r="H576" s="251"/>
      <c r="I576" s="22" t="s">
        <v>363</v>
      </c>
      <c r="J576" s="22"/>
      <c r="K576" s="22"/>
      <c r="L576" s="2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105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1"/>
      <c r="BZ576" s="1"/>
      <c r="CA576" s="1"/>
      <c r="CC576" s="6"/>
    </row>
    <row r="577" spans="1:81" ht="15.75" customHeight="1">
      <c r="A577" s="265"/>
      <c r="B577" s="241"/>
      <c r="C577" s="251"/>
      <c r="D577" s="251"/>
      <c r="E577" s="251"/>
      <c r="F577" s="251"/>
      <c r="G577" s="251"/>
      <c r="H577" s="251"/>
      <c r="I577" s="44" t="s">
        <v>364</v>
      </c>
      <c r="J577" s="44"/>
      <c r="K577" s="44"/>
      <c r="L577" s="4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105"/>
      <c r="BC577" s="3">
        <v>124.55</v>
      </c>
      <c r="BD577" s="3">
        <v>222.79</v>
      </c>
      <c r="BE577" s="3">
        <v>124.55</v>
      </c>
      <c r="BF577" s="3">
        <v>151.32</v>
      </c>
      <c r="BG577" s="3">
        <v>124.55</v>
      </c>
      <c r="BH577" s="3">
        <v>124.55</v>
      </c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1"/>
      <c r="BZ577" s="1"/>
      <c r="CA577" s="1"/>
      <c r="CC577" s="6"/>
    </row>
    <row r="578" spans="1:81" ht="15.75" customHeight="1">
      <c r="A578" s="266"/>
      <c r="B578" s="241"/>
      <c r="C578" s="252"/>
      <c r="D578" s="252"/>
      <c r="E578" s="252"/>
      <c r="F578" s="252"/>
      <c r="G578" s="252"/>
      <c r="H578" s="252"/>
      <c r="I578" s="52"/>
      <c r="J578" s="3">
        <f>SUM(J566:J576)-J577</f>
        <v>0</v>
      </c>
      <c r="K578" s="3">
        <f t="shared" ref="K578:AC578" si="299">SUM(K566:K576)-K577</f>
        <v>0</v>
      </c>
      <c r="L578" s="3">
        <f t="shared" si="299"/>
        <v>0</v>
      </c>
      <c r="M578" s="3">
        <f t="shared" si="299"/>
        <v>0</v>
      </c>
      <c r="N578" s="3">
        <f t="shared" si="299"/>
        <v>0</v>
      </c>
      <c r="O578" s="3">
        <f t="shared" si="299"/>
        <v>0</v>
      </c>
      <c r="P578" s="3">
        <f t="shared" si="299"/>
        <v>0</v>
      </c>
      <c r="Q578" s="3">
        <f t="shared" si="299"/>
        <v>0</v>
      </c>
      <c r="R578" s="3">
        <f t="shared" si="299"/>
        <v>0</v>
      </c>
      <c r="S578" s="3">
        <f t="shared" si="299"/>
        <v>0</v>
      </c>
      <c r="T578" s="3">
        <f t="shared" si="299"/>
        <v>0</v>
      </c>
      <c r="U578" s="3">
        <f t="shared" si="299"/>
        <v>0</v>
      </c>
      <c r="V578" s="3">
        <f t="shared" si="299"/>
        <v>0</v>
      </c>
      <c r="W578" s="3">
        <f t="shared" si="299"/>
        <v>0</v>
      </c>
      <c r="X578" s="3">
        <f t="shared" si="299"/>
        <v>0</v>
      </c>
      <c r="Y578" s="3">
        <f t="shared" si="299"/>
        <v>0</v>
      </c>
      <c r="Z578" s="3">
        <f t="shared" si="299"/>
        <v>0</v>
      </c>
      <c r="AA578" s="3">
        <f t="shared" si="299"/>
        <v>0</v>
      </c>
      <c r="AB578" s="3">
        <f t="shared" si="299"/>
        <v>0</v>
      </c>
      <c r="AC578" s="3">
        <f t="shared" si="299"/>
        <v>0</v>
      </c>
      <c r="AD578" s="3">
        <f>SUM(AD566:AD576)-AD577</f>
        <v>0</v>
      </c>
      <c r="AE578" s="3">
        <f>SUM(AE566:AE576)-AE577</f>
        <v>0</v>
      </c>
      <c r="AF578" s="3">
        <f>SUM(AF566:AF576)-AF577</f>
        <v>0</v>
      </c>
      <c r="AG578" s="3">
        <f t="shared" ref="AG578" si="300">SUM(AG566:AG576)-AG577</f>
        <v>0</v>
      </c>
      <c r="AH578" s="3">
        <f>SUM(AH566:AH576)-AH577</f>
        <v>0</v>
      </c>
      <c r="AI578" s="3">
        <f>SUM(AI566:AI576)-AI577</f>
        <v>0</v>
      </c>
      <c r="AJ578" s="3">
        <f t="shared" ref="AJ578:AP578" si="301">SUM(AJ566:AJ576)-AJ577</f>
        <v>0</v>
      </c>
      <c r="AK578" s="3">
        <f t="shared" si="301"/>
        <v>0</v>
      </c>
      <c r="AL578" s="3">
        <f t="shared" si="301"/>
        <v>0</v>
      </c>
      <c r="AM578" s="3">
        <f t="shared" si="301"/>
        <v>0</v>
      </c>
      <c r="AN578" s="3">
        <f t="shared" si="301"/>
        <v>0</v>
      </c>
      <c r="AO578" s="3">
        <f t="shared" si="301"/>
        <v>0</v>
      </c>
      <c r="AP578" s="3">
        <f t="shared" si="301"/>
        <v>0</v>
      </c>
      <c r="AQ578" s="3">
        <f t="shared" ref="AQ578:AT578" si="302">SUM(AQ566:AQ576)-AQ577</f>
        <v>0</v>
      </c>
      <c r="AR578" s="3">
        <f t="shared" si="302"/>
        <v>0</v>
      </c>
      <c r="AS578" s="3">
        <f t="shared" si="302"/>
        <v>0</v>
      </c>
      <c r="AT578" s="3">
        <f t="shared" si="302"/>
        <v>0</v>
      </c>
      <c r="AU578" s="3">
        <f>SUM(AU566:AU576)-AU577</f>
        <v>0</v>
      </c>
      <c r="AV578" s="3">
        <f t="shared" ref="AV578:AY578" si="303">SUM(AV566:AV576)-AV577</f>
        <v>0</v>
      </c>
      <c r="AW578" s="3">
        <f t="shared" si="303"/>
        <v>0</v>
      </c>
      <c r="AX578" s="3">
        <f t="shared" si="303"/>
        <v>0</v>
      </c>
      <c r="AY578" s="3">
        <f t="shared" si="303"/>
        <v>0</v>
      </c>
      <c r="AZ578" s="3">
        <f t="shared" ref="AZ578:BA578" si="304">SUM(AZ566:AZ576)-AZ577</f>
        <v>0</v>
      </c>
      <c r="BA578" s="3">
        <f t="shared" si="304"/>
        <v>0</v>
      </c>
      <c r="BB578" s="105">
        <f t="shared" ref="BB578:BD578" si="305">SUM(BB566:BB576)-BB577</f>
        <v>0</v>
      </c>
      <c r="BC578" s="3">
        <f t="shared" si="305"/>
        <v>2111.7399999999998</v>
      </c>
      <c r="BD578" s="3">
        <f t="shared" si="305"/>
        <v>2017.23</v>
      </c>
      <c r="BE578" s="3">
        <f>SUM(BE566:BE576)-BE577</f>
        <v>2081.14</v>
      </c>
      <c r="BF578" s="3">
        <f>BF567+BF569+BF574-BF577</f>
        <v>2374</v>
      </c>
      <c r="BG578" s="3">
        <f>BG567+BG572+BG574-BG577</f>
        <v>2581.1899999999996</v>
      </c>
      <c r="BH578" s="3">
        <f>BH567+BH574-BH577</f>
        <v>2103.3399999999997</v>
      </c>
      <c r="BI578" s="3">
        <f>BI575</f>
        <v>4349.43</v>
      </c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>
        <f>SUM(J578:BJ578)</f>
        <v>17618.07</v>
      </c>
      <c r="BY578" s="1"/>
      <c r="BZ578" s="1"/>
      <c r="CA578" s="1"/>
      <c r="CC578" s="6"/>
    </row>
    <row r="579" spans="1:81" ht="15.6" customHeight="1">
      <c r="A579" s="148" t="s">
        <v>346</v>
      </c>
      <c r="B579" s="148" t="s">
        <v>347</v>
      </c>
      <c r="C579" s="145" t="s">
        <v>310</v>
      </c>
      <c r="D579" s="145" t="s">
        <v>311</v>
      </c>
      <c r="E579" s="148" t="s">
        <v>312</v>
      </c>
      <c r="F579" s="148" t="s">
        <v>348</v>
      </c>
      <c r="G579" s="145" t="s">
        <v>314</v>
      </c>
      <c r="H579" s="145" t="s">
        <v>315</v>
      </c>
      <c r="I579" s="145" t="s">
        <v>349</v>
      </c>
      <c r="J579" s="146">
        <v>44105</v>
      </c>
      <c r="K579" s="146">
        <v>44136</v>
      </c>
      <c r="L579" s="146">
        <v>44166</v>
      </c>
      <c r="M579" s="146">
        <v>44197</v>
      </c>
      <c r="N579" s="146">
        <v>44228</v>
      </c>
      <c r="O579" s="146">
        <v>44256</v>
      </c>
      <c r="P579" s="146">
        <v>44287</v>
      </c>
      <c r="Q579" s="146">
        <v>44317</v>
      </c>
      <c r="R579" s="146">
        <v>44348</v>
      </c>
      <c r="S579" s="146">
        <v>44378</v>
      </c>
      <c r="T579" s="146">
        <v>44409</v>
      </c>
      <c r="U579" s="146">
        <v>44440</v>
      </c>
      <c r="V579" s="146">
        <v>44470</v>
      </c>
      <c r="W579" s="146">
        <v>44501</v>
      </c>
      <c r="X579" s="146">
        <v>44531</v>
      </c>
      <c r="Y579" s="146">
        <v>44562</v>
      </c>
      <c r="Z579" s="146">
        <v>44593</v>
      </c>
      <c r="AA579" s="146">
        <v>44621</v>
      </c>
      <c r="AB579" s="146">
        <v>44652</v>
      </c>
      <c r="AC579" s="146">
        <v>44682</v>
      </c>
      <c r="AD579" s="146">
        <v>44713</v>
      </c>
      <c r="AE579" s="146">
        <v>44743</v>
      </c>
      <c r="AF579" s="146">
        <v>44774</v>
      </c>
      <c r="AG579" s="146">
        <v>44805</v>
      </c>
      <c r="AH579" s="146">
        <v>44835</v>
      </c>
      <c r="AI579" s="146">
        <v>44866</v>
      </c>
      <c r="AJ579" s="146">
        <v>44896</v>
      </c>
      <c r="AK579" s="146">
        <v>44927</v>
      </c>
      <c r="AL579" s="146">
        <v>44958</v>
      </c>
      <c r="AM579" s="146">
        <v>44986</v>
      </c>
      <c r="AN579" s="146">
        <v>45017</v>
      </c>
      <c r="AO579" s="146">
        <v>45047</v>
      </c>
      <c r="AP579" s="146">
        <v>45078</v>
      </c>
      <c r="AQ579" s="146">
        <v>45108</v>
      </c>
      <c r="AR579" s="146">
        <v>45139</v>
      </c>
      <c r="AS579" s="146">
        <v>45170</v>
      </c>
      <c r="AT579" s="146">
        <v>45200</v>
      </c>
      <c r="AU579" s="146">
        <v>45231</v>
      </c>
      <c r="AV579" s="146">
        <v>45261</v>
      </c>
      <c r="AW579" s="146">
        <v>45292</v>
      </c>
      <c r="AX579" s="146">
        <v>45323</v>
      </c>
      <c r="AY579" s="146">
        <v>45352</v>
      </c>
      <c r="AZ579" s="146">
        <v>45383</v>
      </c>
      <c r="BA579" s="146">
        <v>45413</v>
      </c>
      <c r="BB579" s="146">
        <v>45444</v>
      </c>
      <c r="BC579" s="146">
        <v>45474</v>
      </c>
      <c r="BD579" s="146">
        <v>45505</v>
      </c>
      <c r="BE579" s="146">
        <v>45536</v>
      </c>
      <c r="BF579" s="146">
        <v>45566</v>
      </c>
      <c r="BG579" s="146">
        <v>45597</v>
      </c>
      <c r="BH579" s="146">
        <v>45627</v>
      </c>
      <c r="BI579" s="146">
        <v>45658</v>
      </c>
      <c r="BJ579" s="146">
        <v>45689</v>
      </c>
      <c r="BK579" s="146">
        <v>45717</v>
      </c>
      <c r="BL579" s="146">
        <v>45748</v>
      </c>
      <c r="BM579" s="146">
        <v>45778</v>
      </c>
      <c r="BN579" s="146">
        <v>45809</v>
      </c>
      <c r="BO579" s="146">
        <v>45839</v>
      </c>
      <c r="BP579" s="146">
        <v>45870</v>
      </c>
      <c r="BQ579" s="146">
        <v>45901</v>
      </c>
      <c r="BR579" s="146">
        <v>45931</v>
      </c>
      <c r="BS579" s="146">
        <v>45962</v>
      </c>
      <c r="BT579" s="146">
        <v>45992</v>
      </c>
      <c r="BU579" s="146">
        <v>46023</v>
      </c>
      <c r="BV579" s="146">
        <v>46054</v>
      </c>
      <c r="BW579" s="146"/>
      <c r="BX579" s="147" t="s">
        <v>13</v>
      </c>
      <c r="BY579" s="5"/>
      <c r="BZ579" s="5"/>
      <c r="CA579" s="5"/>
    </row>
    <row r="580" spans="1:81" s="107" customFormat="1" ht="15.75" customHeight="1">
      <c r="A580" s="267">
        <v>43</v>
      </c>
      <c r="B580" s="241" t="s">
        <v>38</v>
      </c>
      <c r="C580" s="250" t="s">
        <v>23</v>
      </c>
      <c r="D580" s="250" t="s">
        <v>89</v>
      </c>
      <c r="E580" s="250" t="s">
        <v>150</v>
      </c>
      <c r="F580" s="250" t="s">
        <v>150</v>
      </c>
      <c r="G580" s="271">
        <f>'CONSOLIDADO ATIVO INATIVO NOVO'!J54</f>
        <v>45691</v>
      </c>
      <c r="H580" s="250"/>
      <c r="I580" s="106" t="s">
        <v>350</v>
      </c>
      <c r="J580" s="106"/>
      <c r="K580" s="106"/>
      <c r="L580" s="106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05"/>
      <c r="BF580" s="105"/>
      <c r="BG580" s="105"/>
      <c r="BH580" s="105"/>
      <c r="BI580" s="105"/>
      <c r="BJ580" s="105"/>
      <c r="BK580" s="105"/>
      <c r="BL580" s="105"/>
      <c r="BM580" s="105"/>
      <c r="BN580" s="105"/>
      <c r="BO580" s="105"/>
      <c r="BP580" s="105"/>
      <c r="BQ580" s="105"/>
      <c r="BR580" s="105"/>
      <c r="BS580" s="105"/>
      <c r="BT580" s="105"/>
      <c r="BU580" s="105"/>
      <c r="BV580" s="105"/>
      <c r="BW580" s="105"/>
      <c r="BX580" s="105"/>
      <c r="BY580" s="117"/>
      <c r="BZ580" s="117"/>
      <c r="CA580" s="117"/>
      <c r="CC580" s="118"/>
    </row>
    <row r="581" spans="1:81" s="107" customFormat="1" ht="15.75" customHeight="1">
      <c r="A581" s="268"/>
      <c r="B581" s="241"/>
      <c r="C581" s="251"/>
      <c r="D581" s="251"/>
      <c r="E581" s="251"/>
      <c r="F581" s="251"/>
      <c r="G581" s="251"/>
      <c r="H581" s="251"/>
      <c r="I581" s="106" t="s">
        <v>351</v>
      </c>
      <c r="J581" s="106"/>
      <c r="K581" s="106"/>
      <c r="L581" s="106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  <c r="AU581" s="105"/>
      <c r="AV581" s="105"/>
      <c r="AW581" s="105">
        <v>554.94000000000005</v>
      </c>
      <c r="AX581" s="105">
        <v>1849.81</v>
      </c>
      <c r="AY581" s="105">
        <v>1849.81</v>
      </c>
      <c r="AZ581" s="105">
        <v>1849.81</v>
      </c>
      <c r="BA581" s="105">
        <v>1849.81</v>
      </c>
      <c r="BB581" s="105">
        <v>1849.81</v>
      </c>
      <c r="BC581" s="105">
        <v>1849.81</v>
      </c>
      <c r="BD581" s="105">
        <v>1849.81</v>
      </c>
      <c r="BE581" s="105">
        <v>1849.81</v>
      </c>
      <c r="BF581" s="105">
        <v>1849.81</v>
      </c>
      <c r="BG581" s="105">
        <v>1849.81</v>
      </c>
      <c r="BH581" s="105">
        <v>1849.81</v>
      </c>
      <c r="BI581" s="105">
        <v>1849.81</v>
      </c>
      <c r="BJ581" s="105">
        <v>1849.81</v>
      </c>
      <c r="BK581" s="105">
        <v>1849.81</v>
      </c>
      <c r="BL581" s="105">
        <v>1849.81</v>
      </c>
      <c r="BM581" s="105">
        <v>1849.81</v>
      </c>
      <c r="BN581" s="105">
        <v>1849.81</v>
      </c>
      <c r="BO581" s="105">
        <v>1849.81</v>
      </c>
      <c r="BP581" s="105">
        <v>1849.81</v>
      </c>
      <c r="BQ581" s="105">
        <v>2298.5300000000002</v>
      </c>
      <c r="BR581" s="105">
        <v>1849.81</v>
      </c>
      <c r="BS581" s="105">
        <v>1849.81</v>
      </c>
      <c r="BT581" s="105">
        <f>1849.81+0.75</f>
        <v>1850.56</v>
      </c>
      <c r="BU581" s="105">
        <f>1849.81+0.75</f>
        <v>1850.56</v>
      </c>
      <c r="BV581" s="105"/>
      <c r="BW581" s="105"/>
      <c r="BX581" s="105"/>
      <c r="BY581" s="117"/>
      <c r="BZ581" s="117"/>
      <c r="CA581" s="117"/>
      <c r="CC581" s="118"/>
    </row>
    <row r="582" spans="1:81" s="107" customFormat="1" ht="15.75" customHeight="1">
      <c r="A582" s="268"/>
      <c r="B582" s="241"/>
      <c r="C582" s="251"/>
      <c r="D582" s="251"/>
      <c r="E582" s="251"/>
      <c r="F582" s="251"/>
      <c r="G582" s="251"/>
      <c r="H582" s="251"/>
      <c r="I582" s="106" t="s">
        <v>371</v>
      </c>
      <c r="J582" s="106"/>
      <c r="K582" s="106"/>
      <c r="L582" s="106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05" t="s">
        <v>389</v>
      </c>
      <c r="BF582" s="105"/>
      <c r="BG582" s="105"/>
      <c r="BH582" s="105"/>
      <c r="BI582" s="105"/>
      <c r="BJ582" s="105"/>
      <c r="BK582" s="105"/>
      <c r="BL582" s="105"/>
      <c r="BM582" s="105"/>
      <c r="BN582" s="105"/>
      <c r="BO582" s="105"/>
      <c r="BP582" s="105"/>
      <c r="BQ582" s="105"/>
      <c r="BR582" s="105"/>
      <c r="BS582" s="105"/>
      <c r="BT582" s="105"/>
      <c r="BU582" s="105"/>
      <c r="BV582" s="105"/>
      <c r="BW582" s="105"/>
      <c r="BX582" s="105"/>
      <c r="BY582" s="117"/>
      <c r="BZ582" s="117"/>
      <c r="CA582" s="117"/>
      <c r="CC582" s="118"/>
    </row>
    <row r="583" spans="1:81" s="107" customFormat="1" ht="15.75" customHeight="1">
      <c r="A583" s="268"/>
      <c r="B583" s="241"/>
      <c r="C583" s="251"/>
      <c r="D583" s="251"/>
      <c r="E583" s="251"/>
      <c r="F583" s="251"/>
      <c r="G583" s="251"/>
      <c r="H583" s="251"/>
      <c r="I583" s="106" t="s">
        <v>353</v>
      </c>
      <c r="J583" s="106"/>
      <c r="K583" s="106"/>
      <c r="L583" s="106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  <c r="BA583" s="105"/>
      <c r="BB583" s="105">
        <f>30.62+153.11</f>
        <v>183.73000000000002</v>
      </c>
      <c r="BC583" s="105"/>
      <c r="BD583" s="105"/>
      <c r="BE583" s="105"/>
      <c r="BF583" s="105">
        <f>20.99+104.93</f>
        <v>125.92</v>
      </c>
      <c r="BG583" s="105"/>
      <c r="BH583" s="105"/>
      <c r="BI583" s="105"/>
      <c r="BJ583" s="105"/>
      <c r="BK583" s="105">
        <f>70.12+14.02</f>
        <v>84.14</v>
      </c>
      <c r="BL583" s="105"/>
      <c r="BM583" s="105"/>
      <c r="BN583" s="105"/>
      <c r="BO583" s="105"/>
      <c r="BP583" s="105"/>
      <c r="BQ583" s="105"/>
      <c r="BR583" s="105"/>
      <c r="BS583" s="105"/>
      <c r="BT583" s="105"/>
      <c r="BU583" s="105"/>
      <c r="BV583" s="105"/>
      <c r="BW583" s="105"/>
      <c r="BX583" s="105"/>
      <c r="BY583" s="117"/>
      <c r="BZ583" s="117"/>
      <c r="CA583" s="117"/>
      <c r="CC583" s="118"/>
    </row>
    <row r="584" spans="1:81" s="107" customFormat="1" ht="15.75" customHeight="1">
      <c r="A584" s="268"/>
      <c r="B584" s="241"/>
      <c r="C584" s="251"/>
      <c r="D584" s="251"/>
      <c r="E584" s="251"/>
      <c r="F584" s="251"/>
      <c r="G584" s="251"/>
      <c r="H584" s="251"/>
      <c r="I584" s="106" t="s">
        <v>354</v>
      </c>
      <c r="J584" s="106"/>
      <c r="K584" s="106"/>
      <c r="L584" s="106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05"/>
      <c r="BF584" s="105"/>
      <c r="BG584" s="105"/>
      <c r="BH584" s="105"/>
      <c r="BI584" s="105"/>
      <c r="BJ584" s="105"/>
      <c r="BK584" s="105"/>
      <c r="BL584" s="105"/>
      <c r="BM584" s="105"/>
      <c r="BN584" s="105"/>
      <c r="BO584" s="105"/>
      <c r="BP584" s="105"/>
      <c r="BQ584" s="105"/>
      <c r="BR584" s="105"/>
      <c r="BS584" s="105"/>
      <c r="BT584" s="105"/>
      <c r="BU584" s="105"/>
      <c r="BV584" s="105"/>
      <c r="BW584" s="105"/>
      <c r="BX584" s="105"/>
      <c r="BY584" s="117"/>
      <c r="BZ584" s="117"/>
      <c r="CA584" s="117"/>
      <c r="CC584" s="118"/>
    </row>
    <row r="585" spans="1:81" s="107" customFormat="1" ht="15.75" customHeight="1">
      <c r="A585" s="268"/>
      <c r="B585" s="241"/>
      <c r="C585" s="251"/>
      <c r="D585" s="251"/>
      <c r="E585" s="251"/>
      <c r="F585" s="251"/>
      <c r="G585" s="251"/>
      <c r="H585" s="251"/>
      <c r="I585" s="106" t="s">
        <v>355</v>
      </c>
      <c r="J585" s="106"/>
      <c r="K585" s="106"/>
      <c r="L585" s="106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5"/>
      <c r="BE585" s="105"/>
      <c r="BF585" s="105"/>
      <c r="BG585" s="105"/>
      <c r="BH585" s="105"/>
      <c r="BI585" s="105"/>
      <c r="BJ585" s="105"/>
      <c r="BK585" s="105"/>
      <c r="BL585" s="105">
        <v>1000</v>
      </c>
      <c r="BM585" s="105"/>
      <c r="BN585" s="105"/>
      <c r="BO585" s="105"/>
      <c r="BP585" s="105"/>
      <c r="BQ585" s="105"/>
      <c r="BR585" s="105"/>
      <c r="BS585" s="105"/>
      <c r="BT585" s="105"/>
      <c r="BU585" s="105"/>
      <c r="BV585" s="105"/>
      <c r="BW585" s="105"/>
      <c r="BX585" s="105"/>
      <c r="BY585" s="117"/>
      <c r="BZ585" s="117"/>
      <c r="CA585" s="117"/>
      <c r="CC585" s="118"/>
    </row>
    <row r="586" spans="1:81" s="107" customFormat="1" ht="15.75" customHeight="1">
      <c r="A586" s="268"/>
      <c r="B586" s="241"/>
      <c r="C586" s="251"/>
      <c r="D586" s="251"/>
      <c r="E586" s="251"/>
      <c r="F586" s="251"/>
      <c r="G586" s="251"/>
      <c r="H586" s="251"/>
      <c r="I586" s="106" t="s">
        <v>356</v>
      </c>
      <c r="J586" s="106"/>
      <c r="K586" s="106"/>
      <c r="L586" s="106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05"/>
      <c r="BF586" s="105"/>
      <c r="BG586" s="105"/>
      <c r="BH586" s="105"/>
      <c r="BI586" s="105"/>
      <c r="BJ586" s="105"/>
      <c r="BK586" s="105"/>
      <c r="BL586" s="105"/>
      <c r="BM586" s="105"/>
      <c r="BN586" s="105"/>
      <c r="BO586" s="105"/>
      <c r="BP586" s="105"/>
      <c r="BQ586" s="105"/>
      <c r="BR586" s="105"/>
      <c r="BS586" s="105"/>
      <c r="BT586" s="105"/>
      <c r="BU586" s="105"/>
      <c r="BV586" s="105"/>
      <c r="BW586" s="105"/>
      <c r="BX586" s="105"/>
      <c r="BY586" s="117"/>
      <c r="BZ586" s="117"/>
      <c r="CA586" s="117"/>
      <c r="CC586" s="118"/>
    </row>
    <row r="587" spans="1:81" s="107" customFormat="1" ht="15.75" customHeight="1">
      <c r="A587" s="268"/>
      <c r="B587" s="241"/>
      <c r="C587" s="251"/>
      <c r="D587" s="251"/>
      <c r="E587" s="251"/>
      <c r="F587" s="251"/>
      <c r="G587" s="251"/>
      <c r="H587" s="251"/>
      <c r="I587" s="106" t="s">
        <v>357</v>
      </c>
      <c r="J587" s="106"/>
      <c r="K587" s="106"/>
      <c r="L587" s="106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  <c r="AU587" s="105"/>
      <c r="AV587" s="105"/>
      <c r="AW587" s="105">
        <v>164.52</v>
      </c>
      <c r="AX587" s="105">
        <v>479.51</v>
      </c>
      <c r="AY587" s="105">
        <v>481.54</v>
      </c>
      <c r="AZ587" s="105">
        <v>490.04</v>
      </c>
      <c r="BA587" s="105">
        <v>491.46</v>
      </c>
      <c r="BB587" s="105">
        <v>480</v>
      </c>
      <c r="BC587" s="105">
        <v>499</v>
      </c>
      <c r="BD587" s="105">
        <v>501</v>
      </c>
      <c r="BE587" s="105">
        <v>499</v>
      </c>
      <c r="BF587" s="105">
        <v>488.1</v>
      </c>
      <c r="BG587" s="105">
        <v>488.01</v>
      </c>
      <c r="BH587" s="105">
        <v>490.01</v>
      </c>
      <c r="BI587" s="105">
        <v>490.01</v>
      </c>
      <c r="BJ587" s="105">
        <v>602</v>
      </c>
      <c r="BK587" s="105">
        <f>320+306.5</f>
        <v>626.5</v>
      </c>
      <c r="BL587" s="105">
        <f>320+282</f>
        <v>602</v>
      </c>
      <c r="BM587" s="105">
        <f>375.5+320</f>
        <v>695.5</v>
      </c>
      <c r="BN587" s="105">
        <f>320+282</f>
        <v>602</v>
      </c>
      <c r="BO587" s="105">
        <f>491.4+320</f>
        <v>811.4</v>
      </c>
      <c r="BP587" s="105">
        <f>320+347.5</f>
        <v>667.5</v>
      </c>
      <c r="BQ587" s="105">
        <v>0</v>
      </c>
      <c r="BR587" s="105">
        <f>370.5+320</f>
        <v>690.5</v>
      </c>
      <c r="BS587" s="105">
        <f>312.5+320</f>
        <v>632.5</v>
      </c>
      <c r="BT587" s="105">
        <v>632.5</v>
      </c>
      <c r="BU587" s="105">
        <f>359.2+320</f>
        <v>679.2</v>
      </c>
      <c r="BV587" s="105">
        <f>288.2+320</f>
        <v>608.20000000000005</v>
      </c>
      <c r="BW587" s="105"/>
      <c r="BX587" s="105"/>
      <c r="BY587" s="117"/>
      <c r="BZ587" s="117"/>
      <c r="CA587" s="117"/>
      <c r="CC587" s="118"/>
    </row>
    <row r="588" spans="1:81" s="107" customFormat="1" ht="15.75" customHeight="1">
      <c r="A588" s="268"/>
      <c r="B588" s="241"/>
      <c r="C588" s="251"/>
      <c r="D588" s="251"/>
      <c r="E588" s="251"/>
      <c r="F588" s="251"/>
      <c r="G588" s="251"/>
      <c r="H588" s="251"/>
      <c r="I588" s="131" t="s">
        <v>362</v>
      </c>
      <c r="J588" s="131"/>
      <c r="K588" s="131"/>
      <c r="L588" s="131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05"/>
      <c r="BF588" s="105"/>
      <c r="BG588" s="105"/>
      <c r="BH588" s="105"/>
      <c r="BI588" s="105"/>
      <c r="BJ588" s="105"/>
      <c r="BK588" s="105"/>
      <c r="BL588" s="105"/>
      <c r="BM588" s="105"/>
      <c r="BN588" s="105"/>
      <c r="BO588" s="105"/>
      <c r="BP588" s="105"/>
      <c r="BQ588" s="105"/>
      <c r="BR588" s="105"/>
      <c r="BS588" s="105"/>
      <c r="BT588" s="105"/>
      <c r="BU588" s="105"/>
      <c r="BV588" s="105">
        <v>2723.99</v>
      </c>
      <c r="BW588" s="105"/>
      <c r="BX588" s="105"/>
      <c r="BY588" s="117"/>
      <c r="BZ588" s="117"/>
      <c r="CA588" s="117"/>
      <c r="CC588" s="118"/>
    </row>
    <row r="589" spans="1:81" s="107" customFormat="1" ht="15.75" customHeight="1">
      <c r="A589" s="268"/>
      <c r="B589" s="241"/>
      <c r="C589" s="251"/>
      <c r="D589" s="251"/>
      <c r="E589" s="251"/>
      <c r="F589" s="251"/>
      <c r="G589" s="251"/>
      <c r="H589" s="251"/>
      <c r="I589" s="132" t="s">
        <v>363</v>
      </c>
      <c r="J589" s="132"/>
      <c r="K589" s="132"/>
      <c r="L589" s="132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  <c r="AU589" s="105"/>
      <c r="AV589" s="105"/>
      <c r="AW589" s="105"/>
      <c r="AX589" s="105"/>
      <c r="AY589" s="105"/>
      <c r="AZ589" s="105"/>
      <c r="BA589" s="105"/>
      <c r="BB589" s="105"/>
      <c r="BC589" s="105"/>
      <c r="BD589" s="105"/>
      <c r="BE589" s="105"/>
      <c r="BF589" s="105"/>
      <c r="BG589" s="105"/>
      <c r="BH589" s="105"/>
      <c r="BI589" s="105"/>
      <c r="BJ589" s="105"/>
      <c r="BK589" s="105"/>
      <c r="BL589" s="105"/>
      <c r="BM589" s="105"/>
      <c r="BN589" s="105"/>
      <c r="BO589" s="105"/>
      <c r="BP589" s="105"/>
      <c r="BQ589" s="105"/>
      <c r="BR589" s="105"/>
      <c r="BS589" s="105"/>
      <c r="BT589" s="105"/>
      <c r="BU589" s="105"/>
      <c r="BV589" s="105"/>
      <c r="BW589" s="105"/>
      <c r="BX589" s="105"/>
      <c r="BY589" s="117"/>
      <c r="BZ589" s="117"/>
      <c r="CA589" s="117"/>
      <c r="CC589" s="118"/>
    </row>
    <row r="590" spans="1:81" s="107" customFormat="1" ht="15.75" customHeight="1">
      <c r="A590" s="268"/>
      <c r="B590" s="241"/>
      <c r="C590" s="251"/>
      <c r="D590" s="251"/>
      <c r="E590" s="251"/>
      <c r="F590" s="251"/>
      <c r="G590" s="251"/>
      <c r="H590" s="251"/>
      <c r="I590" s="133" t="s">
        <v>364</v>
      </c>
      <c r="J590" s="133"/>
      <c r="K590" s="133"/>
      <c r="L590" s="133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  <c r="AU590" s="105"/>
      <c r="AV590" s="105"/>
      <c r="AW590" s="105">
        <v>69.37</v>
      </c>
      <c r="AX590" s="105">
        <v>145.30000000000001</v>
      </c>
      <c r="AY590" s="105">
        <v>173.05</v>
      </c>
      <c r="AZ590" s="105">
        <v>145.30000000000001</v>
      </c>
      <c r="BA590" s="105">
        <v>145.30000000000001</v>
      </c>
      <c r="BB590" s="105">
        <v>161.83000000000001</v>
      </c>
      <c r="BC590" s="105">
        <v>145.30000000000001</v>
      </c>
      <c r="BD590" s="105">
        <v>257.52</v>
      </c>
      <c r="BE590" s="105">
        <v>145.30000000000001</v>
      </c>
      <c r="BF590" s="105">
        <v>156.63</v>
      </c>
      <c r="BG590" s="105">
        <v>257.52</v>
      </c>
      <c r="BH590" s="105">
        <v>145.30000000000001</v>
      </c>
      <c r="BI590" s="105">
        <v>254.7</v>
      </c>
      <c r="BJ590" s="105">
        <v>254.7</v>
      </c>
      <c r="BK590" s="105">
        <v>262.67</v>
      </c>
      <c r="BL590" s="105">
        <v>262.67</v>
      </c>
      <c r="BM590" s="105">
        <v>262.67</v>
      </c>
      <c r="BN590" s="105">
        <v>262.67</v>
      </c>
      <c r="BO590" s="105">
        <v>262.67</v>
      </c>
      <c r="BP590" s="105">
        <v>262.67</v>
      </c>
      <c r="BQ590" s="105">
        <v>0</v>
      </c>
      <c r="BR590" s="105">
        <v>634.16999999999996</v>
      </c>
      <c r="BS590" s="105">
        <v>419.33</v>
      </c>
      <c r="BT590" s="105">
        <f>1406.13-600</f>
        <v>806.13000000000011</v>
      </c>
      <c r="BU590" s="105">
        <f>1406.13-600</f>
        <v>806.13000000000011</v>
      </c>
      <c r="BV590" s="105">
        <v>2004.13</v>
      </c>
      <c r="BW590" s="105"/>
      <c r="BX590" s="105"/>
      <c r="BY590" s="117"/>
      <c r="BZ590" s="117"/>
      <c r="CA590" s="117"/>
      <c r="CC590" s="118"/>
    </row>
    <row r="591" spans="1:81" s="107" customFormat="1" ht="15.75" customHeight="1">
      <c r="A591" s="269"/>
      <c r="B591" s="241"/>
      <c r="C591" s="252"/>
      <c r="D591" s="252"/>
      <c r="E591" s="252"/>
      <c r="F591" s="252"/>
      <c r="G591" s="252"/>
      <c r="H591" s="252"/>
      <c r="I591" s="130"/>
      <c r="J591" s="105">
        <f t="shared" ref="J591:AU591" si="306">SUM(J580:J589)-J590</f>
        <v>0</v>
      </c>
      <c r="K591" s="105">
        <f t="shared" si="306"/>
        <v>0</v>
      </c>
      <c r="L591" s="105">
        <f t="shared" si="306"/>
        <v>0</v>
      </c>
      <c r="M591" s="105">
        <f t="shared" si="306"/>
        <v>0</v>
      </c>
      <c r="N591" s="105">
        <f t="shared" si="306"/>
        <v>0</v>
      </c>
      <c r="O591" s="105">
        <f t="shared" si="306"/>
        <v>0</v>
      </c>
      <c r="P591" s="105">
        <f t="shared" si="306"/>
        <v>0</v>
      </c>
      <c r="Q591" s="105">
        <f t="shared" si="306"/>
        <v>0</v>
      </c>
      <c r="R591" s="105">
        <f t="shared" si="306"/>
        <v>0</v>
      </c>
      <c r="S591" s="105">
        <f t="shared" si="306"/>
        <v>0</v>
      </c>
      <c r="T591" s="105">
        <f t="shared" si="306"/>
        <v>0</v>
      </c>
      <c r="U591" s="105">
        <f t="shared" si="306"/>
        <v>0</v>
      </c>
      <c r="V591" s="105">
        <f t="shared" si="306"/>
        <v>0</v>
      </c>
      <c r="W591" s="105">
        <f t="shared" si="306"/>
        <v>0</v>
      </c>
      <c r="X591" s="105">
        <f t="shared" si="306"/>
        <v>0</v>
      </c>
      <c r="Y591" s="105">
        <f t="shared" si="306"/>
        <v>0</v>
      </c>
      <c r="Z591" s="105">
        <f t="shared" si="306"/>
        <v>0</v>
      </c>
      <c r="AA591" s="105">
        <f t="shared" si="306"/>
        <v>0</v>
      </c>
      <c r="AB591" s="105">
        <f t="shared" si="306"/>
        <v>0</v>
      </c>
      <c r="AC591" s="105">
        <f t="shared" si="306"/>
        <v>0</v>
      </c>
      <c r="AD591" s="105">
        <f t="shared" si="306"/>
        <v>0</v>
      </c>
      <c r="AE591" s="105">
        <f t="shared" si="306"/>
        <v>0</v>
      </c>
      <c r="AF591" s="105">
        <f t="shared" si="306"/>
        <v>0</v>
      </c>
      <c r="AG591" s="105">
        <f t="shared" si="306"/>
        <v>0</v>
      </c>
      <c r="AH591" s="105">
        <f t="shared" si="306"/>
        <v>0</v>
      </c>
      <c r="AI591" s="105">
        <f t="shared" si="306"/>
        <v>0</v>
      </c>
      <c r="AJ591" s="105">
        <f t="shared" si="306"/>
        <v>0</v>
      </c>
      <c r="AK591" s="105">
        <f t="shared" si="306"/>
        <v>0</v>
      </c>
      <c r="AL591" s="105">
        <f t="shared" si="306"/>
        <v>0</v>
      </c>
      <c r="AM591" s="105">
        <f t="shared" si="306"/>
        <v>0</v>
      </c>
      <c r="AN591" s="105">
        <f t="shared" si="306"/>
        <v>0</v>
      </c>
      <c r="AO591" s="105">
        <f t="shared" si="306"/>
        <v>0</v>
      </c>
      <c r="AP591" s="105">
        <f t="shared" si="306"/>
        <v>0</v>
      </c>
      <c r="AQ591" s="105">
        <f t="shared" si="306"/>
        <v>0</v>
      </c>
      <c r="AR591" s="105">
        <f t="shared" si="306"/>
        <v>0</v>
      </c>
      <c r="AS591" s="105">
        <f t="shared" si="306"/>
        <v>0</v>
      </c>
      <c r="AT591" s="105">
        <f t="shared" si="306"/>
        <v>0</v>
      </c>
      <c r="AU591" s="105">
        <f t="shared" si="306"/>
        <v>0</v>
      </c>
      <c r="AV591" s="105">
        <f t="shared" ref="AV591:AY591" si="307">SUM(AV580:AV589)-AV590</f>
        <v>0</v>
      </c>
      <c r="AW591" s="105">
        <f t="shared" si="307"/>
        <v>650.09</v>
      </c>
      <c r="AX591" s="105">
        <f t="shared" si="307"/>
        <v>2184.0199999999995</v>
      </c>
      <c r="AY591" s="105">
        <f t="shared" si="307"/>
        <v>2158.2999999999997</v>
      </c>
      <c r="AZ591" s="105">
        <f t="shared" ref="AZ591:BE591" si="308">SUM(AZ580:AZ589)-AZ590</f>
        <v>2194.5499999999997</v>
      </c>
      <c r="BA591" s="105">
        <f t="shared" si="308"/>
        <v>2195.9699999999998</v>
      </c>
      <c r="BB591" s="105">
        <f t="shared" si="308"/>
        <v>2351.71</v>
      </c>
      <c r="BC591" s="105">
        <f t="shared" si="308"/>
        <v>2203.5099999999998</v>
      </c>
      <c r="BD591" s="105">
        <f t="shared" si="308"/>
        <v>2093.29</v>
      </c>
      <c r="BE591" s="105">
        <f t="shared" si="308"/>
        <v>2203.5099999999998</v>
      </c>
      <c r="BF591" s="105">
        <f>BF581+BF583+BF587-BF590</f>
        <v>2307.1999999999998</v>
      </c>
      <c r="BG591" s="105">
        <f>BG581+BG583+BG587-BG590</f>
        <v>2080.2999999999997</v>
      </c>
      <c r="BH591" s="105">
        <f>BH581+BH587-BH590</f>
        <v>2194.5199999999995</v>
      </c>
      <c r="BI591" s="105">
        <f>BI581+BI587-BI590</f>
        <v>2085.12</v>
      </c>
      <c r="BJ591" s="105">
        <f>BJ581+BJ587-BJ590</f>
        <v>2197.11</v>
      </c>
      <c r="BK591" s="105">
        <f>BK581+BK583+BK587-BK590</f>
        <v>2297.7799999999997</v>
      </c>
      <c r="BL591" s="105">
        <f t="shared" ref="BL591:BT591" si="309">BL581+BL583+BL587-BL590+BL585</f>
        <v>3189.14</v>
      </c>
      <c r="BM591" s="105">
        <f t="shared" si="309"/>
        <v>2282.64</v>
      </c>
      <c r="BN591" s="105">
        <f t="shared" si="309"/>
        <v>2189.14</v>
      </c>
      <c r="BO591" s="105">
        <f t="shared" si="309"/>
        <v>2398.54</v>
      </c>
      <c r="BP591" s="105">
        <f t="shared" si="309"/>
        <v>2254.64</v>
      </c>
      <c r="BQ591" s="105">
        <f t="shared" si="309"/>
        <v>2298.5300000000002</v>
      </c>
      <c r="BR591" s="105">
        <f t="shared" si="309"/>
        <v>1906.1399999999999</v>
      </c>
      <c r="BS591" s="105">
        <f t="shared" si="309"/>
        <v>2062.98</v>
      </c>
      <c r="BT591" s="105">
        <f t="shared" si="309"/>
        <v>1676.9299999999998</v>
      </c>
      <c r="BU591" s="105">
        <f t="shared" ref="BU591" si="310">BU581+BU583+BU587-BU590+BU585</f>
        <v>1723.63</v>
      </c>
      <c r="BV591" s="105">
        <f>BV588+BV587-BV590</f>
        <v>1328.0599999999995</v>
      </c>
      <c r="BW591" s="105"/>
      <c r="BX591" s="105">
        <f>SUM(K591:BV591)</f>
        <v>54707.349999999991</v>
      </c>
      <c r="BY591" s="117"/>
      <c r="BZ591" s="117"/>
      <c r="CA591" s="117"/>
      <c r="CC591" s="118"/>
    </row>
    <row r="592" spans="1:81" ht="15.6" customHeight="1">
      <c r="A592" s="148" t="s">
        <v>346</v>
      </c>
      <c r="B592" s="148" t="s">
        <v>347</v>
      </c>
      <c r="C592" s="145" t="s">
        <v>310</v>
      </c>
      <c r="D592" s="145" t="s">
        <v>311</v>
      </c>
      <c r="E592" s="148" t="s">
        <v>312</v>
      </c>
      <c r="F592" s="148" t="s">
        <v>348</v>
      </c>
      <c r="G592" s="145" t="s">
        <v>314</v>
      </c>
      <c r="H592" s="145" t="s">
        <v>315</v>
      </c>
      <c r="I592" s="145" t="s">
        <v>349</v>
      </c>
      <c r="J592" s="146">
        <v>44105</v>
      </c>
      <c r="K592" s="146">
        <v>44136</v>
      </c>
      <c r="L592" s="146">
        <v>44166</v>
      </c>
      <c r="M592" s="146">
        <v>44197</v>
      </c>
      <c r="N592" s="146">
        <v>44228</v>
      </c>
      <c r="O592" s="146">
        <v>44256</v>
      </c>
      <c r="P592" s="146">
        <v>44287</v>
      </c>
      <c r="Q592" s="146">
        <v>44317</v>
      </c>
      <c r="R592" s="146">
        <v>44348</v>
      </c>
      <c r="S592" s="146">
        <v>44378</v>
      </c>
      <c r="T592" s="146">
        <v>44409</v>
      </c>
      <c r="U592" s="146">
        <v>44440</v>
      </c>
      <c r="V592" s="146">
        <v>44470</v>
      </c>
      <c r="W592" s="146">
        <v>44501</v>
      </c>
      <c r="X592" s="146">
        <v>44531</v>
      </c>
      <c r="Y592" s="146">
        <v>44562</v>
      </c>
      <c r="Z592" s="146">
        <v>44593</v>
      </c>
      <c r="AA592" s="146">
        <v>44621</v>
      </c>
      <c r="AB592" s="146">
        <v>44652</v>
      </c>
      <c r="AC592" s="146">
        <v>44682</v>
      </c>
      <c r="AD592" s="146">
        <v>44713</v>
      </c>
      <c r="AE592" s="146">
        <v>44743</v>
      </c>
      <c r="AF592" s="146">
        <v>44774</v>
      </c>
      <c r="AG592" s="146">
        <v>44805</v>
      </c>
      <c r="AH592" s="146">
        <v>44835</v>
      </c>
      <c r="AI592" s="146">
        <v>44866</v>
      </c>
      <c r="AJ592" s="146">
        <v>44896</v>
      </c>
      <c r="AK592" s="146">
        <v>44927</v>
      </c>
      <c r="AL592" s="146">
        <v>44958</v>
      </c>
      <c r="AM592" s="146">
        <v>44986</v>
      </c>
      <c r="AN592" s="146">
        <v>45017</v>
      </c>
      <c r="AO592" s="146">
        <v>45047</v>
      </c>
      <c r="AP592" s="146">
        <v>45078</v>
      </c>
      <c r="AQ592" s="146">
        <v>45108</v>
      </c>
      <c r="AR592" s="146">
        <v>45139</v>
      </c>
      <c r="AS592" s="146">
        <v>45170</v>
      </c>
      <c r="AT592" s="146">
        <v>45200</v>
      </c>
      <c r="AU592" s="146">
        <v>45231</v>
      </c>
      <c r="AV592" s="146">
        <v>45261</v>
      </c>
      <c r="AW592" s="146">
        <v>45292</v>
      </c>
      <c r="AX592" s="146">
        <v>45323</v>
      </c>
      <c r="AY592" s="146">
        <v>45352</v>
      </c>
      <c r="AZ592" s="146">
        <v>45383</v>
      </c>
      <c r="BA592" s="146">
        <v>45413</v>
      </c>
      <c r="BB592" s="146">
        <v>45444</v>
      </c>
      <c r="BC592" s="146">
        <v>45474</v>
      </c>
      <c r="BD592" s="146">
        <v>45505</v>
      </c>
      <c r="BE592" s="146">
        <v>45536</v>
      </c>
      <c r="BF592" s="146">
        <v>45566</v>
      </c>
      <c r="BG592" s="146">
        <v>45597</v>
      </c>
      <c r="BH592" s="146">
        <v>45627</v>
      </c>
      <c r="BI592" s="146">
        <v>45658</v>
      </c>
      <c r="BJ592" s="146">
        <v>45689</v>
      </c>
      <c r="BK592" s="146">
        <v>45717</v>
      </c>
      <c r="BL592" s="146"/>
      <c r="BM592" s="146"/>
      <c r="BN592" s="146"/>
      <c r="BO592" s="146"/>
      <c r="BP592" s="146"/>
      <c r="BQ592" s="146"/>
      <c r="BR592" s="146"/>
      <c r="BS592" s="146"/>
      <c r="BT592" s="146"/>
      <c r="BU592" s="146"/>
      <c r="BV592" s="146"/>
      <c r="BW592" s="146"/>
      <c r="BX592" s="147" t="s">
        <v>13</v>
      </c>
      <c r="BY592" s="5"/>
      <c r="BZ592" s="5"/>
      <c r="CA592" s="5"/>
    </row>
    <row r="593" spans="1:81" ht="15.75" customHeight="1">
      <c r="A593" s="264">
        <v>44</v>
      </c>
      <c r="B593" s="241" t="s">
        <v>241</v>
      </c>
      <c r="C593" s="253" t="s">
        <v>92</v>
      </c>
      <c r="D593" s="253" t="s">
        <v>89</v>
      </c>
      <c r="E593" s="250" t="s">
        <v>150</v>
      </c>
      <c r="F593" s="250" t="s">
        <v>150</v>
      </c>
      <c r="G593" s="256">
        <f>'CONSOLIDADO ATIVO INATIVO NOVO'!J54</f>
        <v>45691</v>
      </c>
      <c r="H593" s="256">
        <f>'CONSOLIDADO ATIVO INATIVO NOVO'!K55</f>
        <v>45813</v>
      </c>
      <c r="I593" s="21" t="s">
        <v>350</v>
      </c>
      <c r="J593" s="21"/>
      <c r="K593" s="21"/>
      <c r="L593" s="21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105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1"/>
      <c r="BZ593" s="1"/>
      <c r="CA593" s="1"/>
      <c r="CC593" s="6"/>
    </row>
    <row r="594" spans="1:81" ht="15.75" customHeight="1">
      <c r="A594" s="265"/>
      <c r="B594" s="241"/>
      <c r="C594" s="254"/>
      <c r="D594" s="254"/>
      <c r="E594" s="251"/>
      <c r="F594" s="251"/>
      <c r="G594" s="254"/>
      <c r="H594" s="254"/>
      <c r="I594" s="21" t="s">
        <v>351</v>
      </c>
      <c r="J594" s="21"/>
      <c r="K594" s="21"/>
      <c r="L594" s="21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105">
        <v>1603.17</v>
      </c>
      <c r="BC594" s="3">
        <v>1849.91</v>
      </c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1"/>
      <c r="BZ594" s="1"/>
      <c r="CA594" s="1"/>
      <c r="CC594" s="6"/>
    </row>
    <row r="595" spans="1:81" ht="15.75" customHeight="1">
      <c r="A595" s="265"/>
      <c r="B595" s="241"/>
      <c r="C595" s="254"/>
      <c r="D595" s="254"/>
      <c r="E595" s="251"/>
      <c r="F595" s="251"/>
      <c r="G595" s="254"/>
      <c r="H595" s="254"/>
      <c r="I595" s="21" t="s">
        <v>371</v>
      </c>
      <c r="J595" s="21"/>
      <c r="K595" s="21"/>
      <c r="L595" s="21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105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1"/>
      <c r="BZ595" s="1"/>
      <c r="CA595" s="1"/>
      <c r="CC595" s="6"/>
    </row>
    <row r="596" spans="1:81" ht="15.75" customHeight="1">
      <c r="A596" s="265"/>
      <c r="B596" s="241"/>
      <c r="C596" s="254"/>
      <c r="D596" s="254"/>
      <c r="E596" s="251"/>
      <c r="F596" s="251"/>
      <c r="G596" s="254"/>
      <c r="H596" s="254"/>
      <c r="I596" s="21" t="s">
        <v>353</v>
      </c>
      <c r="J596" s="21"/>
      <c r="K596" s="21"/>
      <c r="L596" s="21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105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1"/>
      <c r="BZ596" s="1"/>
      <c r="CA596" s="1"/>
      <c r="CC596" s="6"/>
    </row>
    <row r="597" spans="1:81" ht="15.75" customHeight="1">
      <c r="A597" s="265"/>
      <c r="B597" s="241"/>
      <c r="C597" s="254"/>
      <c r="D597" s="254"/>
      <c r="E597" s="251"/>
      <c r="F597" s="251"/>
      <c r="G597" s="254"/>
      <c r="H597" s="254"/>
      <c r="I597" s="21" t="s">
        <v>354</v>
      </c>
      <c r="J597" s="21"/>
      <c r="K597" s="21"/>
      <c r="L597" s="21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105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1"/>
      <c r="BZ597" s="1"/>
      <c r="CA597" s="1"/>
      <c r="CC597" s="6"/>
    </row>
    <row r="598" spans="1:81" s="107" customFormat="1" ht="15.75" customHeight="1">
      <c r="A598" s="265"/>
      <c r="B598" s="241"/>
      <c r="C598" s="254"/>
      <c r="D598" s="254"/>
      <c r="E598" s="251"/>
      <c r="F598" s="251"/>
      <c r="G598" s="254"/>
      <c r="H598" s="254"/>
      <c r="I598" s="106" t="s">
        <v>355</v>
      </c>
      <c r="J598" s="106"/>
      <c r="K598" s="106"/>
      <c r="L598" s="106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3"/>
      <c r="BC598" s="3"/>
      <c r="BD598" s="3"/>
      <c r="BE598" s="105"/>
      <c r="BF598" s="105"/>
      <c r="BG598" s="105"/>
      <c r="BH598" s="105"/>
      <c r="BI598" s="105"/>
      <c r="BJ598" s="105"/>
      <c r="BK598" s="105"/>
      <c r="BL598" s="105"/>
      <c r="BM598" s="105"/>
      <c r="BN598" s="105"/>
      <c r="BO598" s="105"/>
      <c r="BP598" s="105"/>
      <c r="BQ598" s="105"/>
      <c r="BR598" s="105"/>
      <c r="BS598" s="105"/>
      <c r="BT598" s="105"/>
      <c r="BU598" s="105"/>
      <c r="BV598" s="105"/>
      <c r="BW598" s="105"/>
      <c r="BX598" s="105"/>
      <c r="BY598" s="117"/>
      <c r="BZ598" s="117"/>
      <c r="CA598" s="117"/>
      <c r="CC598" s="118"/>
    </row>
    <row r="599" spans="1:81" ht="15.75" customHeight="1">
      <c r="A599" s="265"/>
      <c r="B599" s="241"/>
      <c r="C599" s="254"/>
      <c r="D599" s="254"/>
      <c r="E599" s="251"/>
      <c r="F599" s="251"/>
      <c r="G599" s="254"/>
      <c r="H599" s="254"/>
      <c r="I599" s="21" t="s">
        <v>356</v>
      </c>
      <c r="J599" s="21"/>
      <c r="K599" s="21"/>
      <c r="L599" s="21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105">
        <v>574.20000000000005</v>
      </c>
      <c r="BC599" s="3">
        <v>469.22</v>
      </c>
      <c r="BD599" s="3">
        <v>468.21</v>
      </c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1"/>
      <c r="BZ599" s="1"/>
      <c r="CA599" s="1"/>
      <c r="CC599" s="6"/>
    </row>
    <row r="600" spans="1:81" ht="15.75" customHeight="1">
      <c r="A600" s="265"/>
      <c r="B600" s="241"/>
      <c r="C600" s="254"/>
      <c r="D600" s="254"/>
      <c r="E600" s="251"/>
      <c r="F600" s="251"/>
      <c r="G600" s="254"/>
      <c r="H600" s="254"/>
      <c r="I600" s="21" t="s">
        <v>357</v>
      </c>
      <c r="J600" s="21"/>
      <c r="K600" s="21"/>
      <c r="L600" s="21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105"/>
      <c r="BC600" s="3"/>
      <c r="BD600" s="3">
        <f>2996.09+377.11</f>
        <v>3373.2000000000003</v>
      </c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1"/>
      <c r="BZ600" s="1"/>
      <c r="CA600" s="1"/>
      <c r="CC600" s="6"/>
    </row>
    <row r="601" spans="1:81" ht="15.75" customHeight="1">
      <c r="A601" s="265"/>
      <c r="B601" s="241"/>
      <c r="C601" s="254"/>
      <c r="D601" s="254"/>
      <c r="E601" s="251"/>
      <c r="F601" s="251"/>
      <c r="G601" s="254"/>
      <c r="H601" s="254"/>
      <c r="I601" s="23" t="s">
        <v>362</v>
      </c>
      <c r="J601" s="23"/>
      <c r="K601" s="23"/>
      <c r="L601" s="2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105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1"/>
      <c r="BZ601" s="1"/>
      <c r="CA601" s="1"/>
      <c r="CC601" s="6"/>
    </row>
    <row r="602" spans="1:81" ht="15.75" customHeight="1">
      <c r="A602" s="265"/>
      <c r="B602" s="241"/>
      <c r="C602" s="254"/>
      <c r="D602" s="254"/>
      <c r="E602" s="251"/>
      <c r="F602" s="251"/>
      <c r="G602" s="254"/>
      <c r="H602" s="254"/>
      <c r="I602" s="22" t="s">
        <v>363</v>
      </c>
      <c r="J602" s="22"/>
      <c r="K602" s="22"/>
      <c r="L602" s="2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105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1"/>
      <c r="BZ602" s="1"/>
      <c r="CA602" s="1"/>
      <c r="CC602" s="6"/>
    </row>
    <row r="603" spans="1:81" ht="15.75" customHeight="1">
      <c r="A603" s="265"/>
      <c r="B603" s="241"/>
      <c r="C603" s="254"/>
      <c r="D603" s="254"/>
      <c r="E603" s="251"/>
      <c r="F603" s="251"/>
      <c r="G603" s="254"/>
      <c r="H603" s="254"/>
      <c r="I603" s="44" t="s">
        <v>364</v>
      </c>
      <c r="J603" s="44"/>
      <c r="K603" s="44"/>
      <c r="L603" s="4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105">
        <v>123.1</v>
      </c>
      <c r="BC603" s="3">
        <v>257.52</v>
      </c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1"/>
      <c r="BZ603" s="1"/>
      <c r="CA603" s="1"/>
      <c r="CC603" s="6"/>
    </row>
    <row r="604" spans="1:81" ht="15.75" customHeight="1">
      <c r="A604" s="266"/>
      <c r="B604" s="241"/>
      <c r="C604" s="255"/>
      <c r="D604" s="255"/>
      <c r="E604" s="252"/>
      <c r="F604" s="252"/>
      <c r="G604" s="255"/>
      <c r="H604" s="255"/>
      <c r="I604" s="52"/>
      <c r="J604" s="3">
        <f t="shared" ref="J604:BA604" si="311">SUM(J593:J602)-J603</f>
        <v>0</v>
      </c>
      <c r="K604" s="3">
        <f t="shared" si="311"/>
        <v>0</v>
      </c>
      <c r="L604" s="3">
        <f t="shared" si="311"/>
        <v>0</v>
      </c>
      <c r="M604" s="3">
        <f t="shared" si="311"/>
        <v>0</v>
      </c>
      <c r="N604" s="3">
        <f t="shared" si="311"/>
        <v>0</v>
      </c>
      <c r="O604" s="3">
        <f t="shared" si="311"/>
        <v>0</v>
      </c>
      <c r="P604" s="3">
        <f t="shared" si="311"/>
        <v>0</v>
      </c>
      <c r="Q604" s="3">
        <f t="shared" si="311"/>
        <v>0</v>
      </c>
      <c r="R604" s="3">
        <f t="shared" si="311"/>
        <v>0</v>
      </c>
      <c r="S604" s="3">
        <f t="shared" si="311"/>
        <v>0</v>
      </c>
      <c r="T604" s="3">
        <f t="shared" si="311"/>
        <v>0</v>
      </c>
      <c r="U604" s="3">
        <f t="shared" si="311"/>
        <v>0</v>
      </c>
      <c r="V604" s="3">
        <f t="shared" si="311"/>
        <v>0</v>
      </c>
      <c r="W604" s="3">
        <f t="shared" si="311"/>
        <v>0</v>
      </c>
      <c r="X604" s="3">
        <f t="shared" si="311"/>
        <v>0</v>
      </c>
      <c r="Y604" s="3">
        <f t="shared" si="311"/>
        <v>0</v>
      </c>
      <c r="Z604" s="3">
        <f t="shared" si="311"/>
        <v>0</v>
      </c>
      <c r="AA604" s="3">
        <f t="shared" si="311"/>
        <v>0</v>
      </c>
      <c r="AB604" s="3">
        <f t="shared" si="311"/>
        <v>0</v>
      </c>
      <c r="AC604" s="3">
        <f t="shared" si="311"/>
        <v>0</v>
      </c>
      <c r="AD604" s="3">
        <f t="shared" si="311"/>
        <v>0</v>
      </c>
      <c r="AE604" s="3">
        <f t="shared" si="311"/>
        <v>0</v>
      </c>
      <c r="AF604" s="3">
        <f t="shared" si="311"/>
        <v>0</v>
      </c>
      <c r="AG604" s="3">
        <f t="shared" si="311"/>
        <v>0</v>
      </c>
      <c r="AH604" s="3">
        <f t="shared" si="311"/>
        <v>0</v>
      </c>
      <c r="AI604" s="3">
        <f t="shared" si="311"/>
        <v>0</v>
      </c>
      <c r="AJ604" s="3">
        <f t="shared" si="311"/>
        <v>0</v>
      </c>
      <c r="AK604" s="3">
        <f t="shared" si="311"/>
        <v>0</v>
      </c>
      <c r="AL604" s="3">
        <f t="shared" si="311"/>
        <v>0</v>
      </c>
      <c r="AM604" s="3">
        <f t="shared" si="311"/>
        <v>0</v>
      </c>
      <c r="AN604" s="3">
        <f t="shared" si="311"/>
        <v>0</v>
      </c>
      <c r="AO604" s="3">
        <f t="shared" si="311"/>
        <v>0</v>
      </c>
      <c r="AP604" s="3">
        <f t="shared" si="311"/>
        <v>0</v>
      </c>
      <c r="AQ604" s="3">
        <f t="shared" si="311"/>
        <v>0</v>
      </c>
      <c r="AR604" s="3">
        <f t="shared" si="311"/>
        <v>0</v>
      </c>
      <c r="AS604" s="3">
        <f t="shared" si="311"/>
        <v>0</v>
      </c>
      <c r="AT604" s="3">
        <f t="shared" si="311"/>
        <v>0</v>
      </c>
      <c r="AU604" s="3">
        <f t="shared" si="311"/>
        <v>0</v>
      </c>
      <c r="AV604" s="3">
        <f t="shared" si="311"/>
        <v>0</v>
      </c>
      <c r="AW604" s="3">
        <f t="shared" si="311"/>
        <v>0</v>
      </c>
      <c r="AX604" s="3">
        <f t="shared" si="311"/>
        <v>0</v>
      </c>
      <c r="AY604" s="3">
        <f t="shared" si="311"/>
        <v>0</v>
      </c>
      <c r="AZ604" s="3">
        <f t="shared" si="311"/>
        <v>0</v>
      </c>
      <c r="BA604" s="3">
        <f t="shared" si="311"/>
        <v>0</v>
      </c>
      <c r="BB604" s="105">
        <f t="shared" ref="BB604:BC604" si="312">SUM(BB593:BB602)-BB603</f>
        <v>2054.27</v>
      </c>
      <c r="BC604" s="3">
        <f t="shared" si="312"/>
        <v>2061.61</v>
      </c>
      <c r="BD604" s="3">
        <f t="shared" ref="BD604" si="313">SUM(BD593:BD602)-BD603</f>
        <v>3841.4100000000003</v>
      </c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>
        <f>SUM(J604:BD604)</f>
        <v>7957.2900000000009</v>
      </c>
      <c r="BY604" s="1"/>
      <c r="BZ604" s="1"/>
      <c r="CA604" s="1"/>
      <c r="CC604" s="6"/>
    </row>
    <row r="605" spans="1:81" ht="15.6" customHeight="1">
      <c r="A605" s="148" t="s">
        <v>346</v>
      </c>
      <c r="B605" s="148" t="s">
        <v>347</v>
      </c>
      <c r="C605" s="145" t="s">
        <v>310</v>
      </c>
      <c r="D605" s="145" t="s">
        <v>311</v>
      </c>
      <c r="E605" s="148" t="s">
        <v>312</v>
      </c>
      <c r="F605" s="148" t="s">
        <v>348</v>
      </c>
      <c r="G605" s="145" t="s">
        <v>314</v>
      </c>
      <c r="H605" s="145" t="s">
        <v>315</v>
      </c>
      <c r="I605" s="145" t="s">
        <v>349</v>
      </c>
      <c r="J605" s="146">
        <v>44105</v>
      </c>
      <c r="K605" s="146">
        <v>44136</v>
      </c>
      <c r="L605" s="146">
        <v>44166</v>
      </c>
      <c r="M605" s="146">
        <v>44197</v>
      </c>
      <c r="N605" s="146">
        <v>44228</v>
      </c>
      <c r="O605" s="146">
        <v>44256</v>
      </c>
      <c r="P605" s="146">
        <v>44287</v>
      </c>
      <c r="Q605" s="146">
        <v>44317</v>
      </c>
      <c r="R605" s="146">
        <v>44348</v>
      </c>
      <c r="S605" s="146">
        <v>44378</v>
      </c>
      <c r="T605" s="146">
        <v>44409</v>
      </c>
      <c r="U605" s="146">
        <v>44440</v>
      </c>
      <c r="V605" s="146">
        <v>44470</v>
      </c>
      <c r="W605" s="146">
        <v>44501</v>
      </c>
      <c r="X605" s="146">
        <v>44531</v>
      </c>
      <c r="Y605" s="146">
        <v>44562</v>
      </c>
      <c r="Z605" s="146">
        <v>44593</v>
      </c>
      <c r="AA605" s="146">
        <v>44621</v>
      </c>
      <c r="AB605" s="146">
        <v>44652</v>
      </c>
      <c r="AC605" s="146">
        <v>44682</v>
      </c>
      <c r="AD605" s="146">
        <v>44713</v>
      </c>
      <c r="AE605" s="146">
        <v>44743</v>
      </c>
      <c r="AF605" s="146">
        <v>44774</v>
      </c>
      <c r="AG605" s="146">
        <v>44805</v>
      </c>
      <c r="AH605" s="146">
        <v>44835</v>
      </c>
      <c r="AI605" s="146">
        <v>44866</v>
      </c>
      <c r="AJ605" s="146">
        <v>44896</v>
      </c>
      <c r="AK605" s="146">
        <v>44927</v>
      </c>
      <c r="AL605" s="146">
        <v>44958</v>
      </c>
      <c r="AM605" s="146">
        <v>44986</v>
      </c>
      <c r="AN605" s="146">
        <v>45017</v>
      </c>
      <c r="AO605" s="146">
        <v>45047</v>
      </c>
      <c r="AP605" s="146">
        <v>45078</v>
      </c>
      <c r="AQ605" s="146">
        <v>45108</v>
      </c>
      <c r="AR605" s="146">
        <v>45139</v>
      </c>
      <c r="AS605" s="146">
        <v>45170</v>
      </c>
      <c r="AT605" s="146">
        <v>45200</v>
      </c>
      <c r="AU605" s="146">
        <v>45231</v>
      </c>
      <c r="AV605" s="146">
        <v>45261</v>
      </c>
      <c r="AW605" s="146">
        <v>45292</v>
      </c>
      <c r="AX605" s="146">
        <v>45323</v>
      </c>
      <c r="AY605" s="146">
        <v>45352</v>
      </c>
      <c r="AZ605" s="146">
        <v>45383</v>
      </c>
      <c r="BA605" s="146">
        <v>45413</v>
      </c>
      <c r="BB605" s="146">
        <v>45444</v>
      </c>
      <c r="BC605" s="146">
        <v>45474</v>
      </c>
      <c r="BD605" s="146">
        <v>45505</v>
      </c>
      <c r="BE605" s="146">
        <v>45536</v>
      </c>
      <c r="BF605" s="146">
        <v>45566</v>
      </c>
      <c r="BG605" s="146">
        <v>45597</v>
      </c>
      <c r="BH605" s="146">
        <v>45627</v>
      </c>
      <c r="BI605" s="146">
        <v>45658</v>
      </c>
      <c r="BJ605" s="146">
        <v>45689</v>
      </c>
      <c r="BK605" s="146">
        <v>45717</v>
      </c>
      <c r="BL605" s="146"/>
      <c r="BM605" s="146"/>
      <c r="BN605" s="146"/>
      <c r="BO605" s="146"/>
      <c r="BP605" s="146"/>
      <c r="BQ605" s="146"/>
      <c r="BR605" s="146"/>
      <c r="BS605" s="146"/>
      <c r="BT605" s="146"/>
      <c r="BU605" s="146"/>
      <c r="BV605" s="146"/>
      <c r="BW605" s="146"/>
      <c r="BX605" s="147" t="s">
        <v>13</v>
      </c>
      <c r="BY605" s="5"/>
      <c r="BZ605" s="5"/>
      <c r="CA605" s="5"/>
    </row>
    <row r="606" spans="1:81" ht="15.75" customHeight="1">
      <c r="A606" s="264">
        <v>45</v>
      </c>
      <c r="B606" s="241" t="s">
        <v>254</v>
      </c>
      <c r="C606" s="253" t="s">
        <v>92</v>
      </c>
      <c r="D606" s="253" t="s">
        <v>89</v>
      </c>
      <c r="E606" s="250" t="s">
        <v>150</v>
      </c>
      <c r="F606" s="250" t="s">
        <v>150</v>
      </c>
      <c r="G606" s="256">
        <f>'CONSOLIDADO ATIVO INATIVO NOVO'!J58</f>
        <v>45376</v>
      </c>
      <c r="H606" s="256">
        <f>'CONSOLIDADO ATIVO INATIVO NOVO'!K58</f>
        <v>45624</v>
      </c>
      <c r="I606" s="21" t="s">
        <v>350</v>
      </c>
      <c r="J606" s="21"/>
      <c r="K606" s="21"/>
      <c r="L606" s="21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105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1"/>
      <c r="BZ606" s="1"/>
      <c r="CA606" s="1"/>
      <c r="CC606" s="6"/>
    </row>
    <row r="607" spans="1:81" ht="15.75" customHeight="1">
      <c r="A607" s="265"/>
      <c r="B607" s="241"/>
      <c r="C607" s="254"/>
      <c r="D607" s="254"/>
      <c r="E607" s="251"/>
      <c r="F607" s="251"/>
      <c r="G607" s="254"/>
      <c r="H607" s="254"/>
      <c r="I607" s="21" t="s">
        <v>351</v>
      </c>
      <c r="J607" s="21"/>
      <c r="K607" s="21"/>
      <c r="L607" s="21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>
        <v>554.94000000000005</v>
      </c>
      <c r="AX607" s="3">
        <v>1849.81</v>
      </c>
      <c r="AY607" s="3"/>
      <c r="AZ607" s="3"/>
      <c r="BA607" s="3"/>
      <c r="BB607" s="105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1"/>
      <c r="BZ607" s="1"/>
      <c r="CA607" s="1"/>
      <c r="CC607" s="6"/>
    </row>
    <row r="608" spans="1:81" ht="15.75" customHeight="1">
      <c r="A608" s="265"/>
      <c r="B608" s="241"/>
      <c r="C608" s="254"/>
      <c r="D608" s="254"/>
      <c r="E608" s="251"/>
      <c r="F608" s="251"/>
      <c r="G608" s="254"/>
      <c r="H608" s="254"/>
      <c r="I608" s="21" t="s">
        <v>371</v>
      </c>
      <c r="J608" s="21"/>
      <c r="K608" s="21"/>
      <c r="L608" s="21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105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1"/>
      <c r="BZ608" s="1"/>
      <c r="CA608" s="1"/>
      <c r="CC608" s="6"/>
    </row>
    <row r="609" spans="1:81" ht="15.75" customHeight="1">
      <c r="A609" s="265"/>
      <c r="B609" s="241"/>
      <c r="C609" s="254"/>
      <c r="D609" s="254"/>
      <c r="E609" s="251"/>
      <c r="F609" s="251"/>
      <c r="G609" s="254"/>
      <c r="H609" s="254"/>
      <c r="I609" s="21" t="s">
        <v>353</v>
      </c>
      <c r="J609" s="21"/>
      <c r="K609" s="21"/>
      <c r="L609" s="21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105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1"/>
      <c r="BZ609" s="1"/>
      <c r="CA609" s="1"/>
      <c r="CC609" s="6"/>
    </row>
    <row r="610" spans="1:81" ht="15.75" customHeight="1">
      <c r="A610" s="265"/>
      <c r="B610" s="241"/>
      <c r="C610" s="254"/>
      <c r="D610" s="254"/>
      <c r="E610" s="251"/>
      <c r="F610" s="251"/>
      <c r="G610" s="254"/>
      <c r="H610" s="254"/>
      <c r="I610" s="21" t="s">
        <v>354</v>
      </c>
      <c r="J610" s="21"/>
      <c r="K610" s="21"/>
      <c r="L610" s="21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105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1"/>
      <c r="BZ610" s="1"/>
      <c r="CA610" s="1"/>
      <c r="CC610" s="6"/>
    </row>
    <row r="611" spans="1:81" ht="15.75" customHeight="1">
      <c r="A611" s="265"/>
      <c r="B611" s="241"/>
      <c r="C611" s="254"/>
      <c r="D611" s="254"/>
      <c r="E611" s="251"/>
      <c r="F611" s="251"/>
      <c r="G611" s="254"/>
      <c r="H611" s="254"/>
      <c r="I611" s="21" t="s">
        <v>355</v>
      </c>
      <c r="J611" s="21"/>
      <c r="K611" s="21"/>
      <c r="L611" s="21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105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1"/>
      <c r="BZ611" s="1"/>
      <c r="CA611" s="1"/>
      <c r="CC611" s="6"/>
    </row>
    <row r="612" spans="1:81" ht="15.75" customHeight="1">
      <c r="A612" s="265"/>
      <c r="B612" s="241"/>
      <c r="C612" s="254"/>
      <c r="D612" s="254"/>
      <c r="E612" s="251"/>
      <c r="F612" s="251"/>
      <c r="G612" s="254"/>
      <c r="H612" s="254"/>
      <c r="I612" s="21" t="s">
        <v>356</v>
      </c>
      <c r="J612" s="21"/>
      <c r="K612" s="21"/>
      <c r="L612" s="21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105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1"/>
      <c r="BZ612" s="1"/>
      <c r="CA612" s="1"/>
      <c r="CC612" s="6"/>
    </row>
    <row r="613" spans="1:81" ht="15.75" customHeight="1">
      <c r="A613" s="265"/>
      <c r="B613" s="241"/>
      <c r="C613" s="254"/>
      <c r="D613" s="254"/>
      <c r="E613" s="251"/>
      <c r="F613" s="251"/>
      <c r="G613" s="254"/>
      <c r="H613" s="254"/>
      <c r="I613" s="21" t="s">
        <v>357</v>
      </c>
      <c r="J613" s="21"/>
      <c r="K613" s="21"/>
      <c r="L613" s="21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>
        <v>179.92</v>
      </c>
      <c r="AX613" s="3">
        <v>521.51</v>
      </c>
      <c r="AY613" s="3">
        <v>522.54</v>
      </c>
      <c r="AZ613" s="3"/>
      <c r="BA613" s="3"/>
      <c r="BB613" s="105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1"/>
      <c r="BZ613" s="1"/>
      <c r="CA613" s="1"/>
      <c r="CC613" s="6"/>
    </row>
    <row r="614" spans="1:81" ht="15.75" customHeight="1">
      <c r="A614" s="265"/>
      <c r="B614" s="241"/>
      <c r="C614" s="254"/>
      <c r="D614" s="254"/>
      <c r="E614" s="251"/>
      <c r="F614" s="251"/>
      <c r="G614" s="254"/>
      <c r="H614" s="254"/>
      <c r="I614" s="23" t="s">
        <v>362</v>
      </c>
      <c r="J614" s="23"/>
      <c r="K614" s="23"/>
      <c r="L614" s="2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f>240.67+39.23</f>
        <v>279.89999999999998</v>
      </c>
      <c r="AZ614" s="3"/>
      <c r="BA614" s="3"/>
      <c r="BB614" s="105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1"/>
      <c r="BZ614" s="1"/>
      <c r="CA614" s="1"/>
      <c r="CC614" s="6"/>
    </row>
    <row r="615" spans="1:81" ht="15.75" customHeight="1">
      <c r="A615" s="265"/>
      <c r="B615" s="241"/>
      <c r="C615" s="254"/>
      <c r="D615" s="254"/>
      <c r="E615" s="251"/>
      <c r="F615" s="251"/>
      <c r="G615" s="254"/>
      <c r="H615" s="254"/>
      <c r="I615" s="22" t="s">
        <v>363</v>
      </c>
      <c r="J615" s="22"/>
      <c r="K615" s="22"/>
      <c r="L615" s="2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105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1"/>
      <c r="BZ615" s="1"/>
      <c r="CA615" s="1"/>
      <c r="CC615" s="6"/>
    </row>
    <row r="616" spans="1:81" ht="15.75" customHeight="1">
      <c r="A616" s="265"/>
      <c r="B616" s="241"/>
      <c r="C616" s="254"/>
      <c r="D616" s="254"/>
      <c r="E616" s="251"/>
      <c r="F616" s="251"/>
      <c r="G616" s="254"/>
      <c r="H616" s="254"/>
      <c r="I616" s="44" t="s">
        <v>364</v>
      </c>
      <c r="J616" s="44"/>
      <c r="K616" s="44"/>
      <c r="L616" s="4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>
        <f>69.37</f>
        <v>69.37</v>
      </c>
      <c r="AX616" s="3">
        <v>145.30000000000001</v>
      </c>
      <c r="AY616" s="3"/>
      <c r="AZ616" s="3"/>
      <c r="BA616" s="3"/>
      <c r="BB616" s="105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1"/>
      <c r="BZ616" s="1"/>
      <c r="CA616" s="1"/>
      <c r="CC616" s="6"/>
    </row>
    <row r="617" spans="1:81" ht="15.75" customHeight="1">
      <c r="A617" s="266"/>
      <c r="B617" s="241"/>
      <c r="C617" s="255"/>
      <c r="D617" s="255"/>
      <c r="E617" s="252"/>
      <c r="F617" s="252"/>
      <c r="G617" s="255"/>
      <c r="H617" s="255"/>
      <c r="I617" s="52"/>
      <c r="J617" s="3">
        <f t="shared" ref="J617:AV617" si="314">SUM(J606:J615)-J616</f>
        <v>0</v>
      </c>
      <c r="K617" s="3">
        <f t="shared" si="314"/>
        <v>0</v>
      </c>
      <c r="L617" s="3">
        <f t="shared" si="314"/>
        <v>0</v>
      </c>
      <c r="M617" s="3">
        <f t="shared" si="314"/>
        <v>0</v>
      </c>
      <c r="N617" s="3">
        <f t="shared" si="314"/>
        <v>0</v>
      </c>
      <c r="O617" s="3">
        <f t="shared" si="314"/>
        <v>0</v>
      </c>
      <c r="P617" s="3">
        <f t="shared" si="314"/>
        <v>0</v>
      </c>
      <c r="Q617" s="3">
        <f t="shared" si="314"/>
        <v>0</v>
      </c>
      <c r="R617" s="3">
        <f t="shared" si="314"/>
        <v>0</v>
      </c>
      <c r="S617" s="3">
        <f t="shared" si="314"/>
        <v>0</v>
      </c>
      <c r="T617" s="3">
        <f t="shared" si="314"/>
        <v>0</v>
      </c>
      <c r="U617" s="3">
        <f t="shared" si="314"/>
        <v>0</v>
      </c>
      <c r="V617" s="3">
        <f t="shared" si="314"/>
        <v>0</v>
      </c>
      <c r="W617" s="3">
        <f t="shared" si="314"/>
        <v>0</v>
      </c>
      <c r="X617" s="3">
        <f t="shared" si="314"/>
        <v>0</v>
      </c>
      <c r="Y617" s="3">
        <f t="shared" si="314"/>
        <v>0</v>
      </c>
      <c r="Z617" s="3">
        <f t="shared" si="314"/>
        <v>0</v>
      </c>
      <c r="AA617" s="3">
        <f t="shared" si="314"/>
        <v>0</v>
      </c>
      <c r="AB617" s="3">
        <f t="shared" si="314"/>
        <v>0</v>
      </c>
      <c r="AC617" s="3">
        <f t="shared" si="314"/>
        <v>0</v>
      </c>
      <c r="AD617" s="3">
        <f t="shared" si="314"/>
        <v>0</v>
      </c>
      <c r="AE617" s="3">
        <f t="shared" si="314"/>
        <v>0</v>
      </c>
      <c r="AF617" s="3">
        <f t="shared" si="314"/>
        <v>0</v>
      </c>
      <c r="AG617" s="3">
        <f t="shared" si="314"/>
        <v>0</v>
      </c>
      <c r="AH617" s="3">
        <f t="shared" si="314"/>
        <v>0</v>
      </c>
      <c r="AI617" s="3">
        <f t="shared" si="314"/>
        <v>0</v>
      </c>
      <c r="AJ617" s="3">
        <f t="shared" si="314"/>
        <v>0</v>
      </c>
      <c r="AK617" s="3">
        <f t="shared" si="314"/>
        <v>0</v>
      </c>
      <c r="AL617" s="3">
        <f t="shared" si="314"/>
        <v>0</v>
      </c>
      <c r="AM617" s="3">
        <f t="shared" si="314"/>
        <v>0</v>
      </c>
      <c r="AN617" s="3">
        <f t="shared" si="314"/>
        <v>0</v>
      </c>
      <c r="AO617" s="3">
        <f t="shared" si="314"/>
        <v>0</v>
      </c>
      <c r="AP617" s="3">
        <f t="shared" si="314"/>
        <v>0</v>
      </c>
      <c r="AQ617" s="3">
        <f t="shared" si="314"/>
        <v>0</v>
      </c>
      <c r="AR617" s="3">
        <f t="shared" si="314"/>
        <v>0</v>
      </c>
      <c r="AS617" s="3">
        <f t="shared" si="314"/>
        <v>0</v>
      </c>
      <c r="AT617" s="3">
        <f t="shared" si="314"/>
        <v>0</v>
      </c>
      <c r="AU617" s="3">
        <f t="shared" si="314"/>
        <v>0</v>
      </c>
      <c r="AV617" s="3">
        <f t="shared" si="314"/>
        <v>0</v>
      </c>
      <c r="AW617" s="3">
        <f t="shared" ref="AW617:AY617" si="315">SUM(AW606:AW615)-AW616</f>
        <v>665.49</v>
      </c>
      <c r="AX617" s="3">
        <f t="shared" si="315"/>
        <v>2226.0199999999995</v>
      </c>
      <c r="AY617" s="3">
        <f t="shared" si="315"/>
        <v>802.43999999999994</v>
      </c>
      <c r="AZ617" s="3">
        <f t="shared" ref="AZ617:BD617" si="316">SUM(AZ606:AZ615)-AZ616</f>
        <v>0</v>
      </c>
      <c r="BA617" s="3">
        <f t="shared" si="316"/>
        <v>0</v>
      </c>
      <c r="BB617" s="105">
        <f t="shared" si="316"/>
        <v>0</v>
      </c>
      <c r="BC617" s="3">
        <f t="shared" si="316"/>
        <v>0</v>
      </c>
      <c r="BD617" s="3">
        <f t="shared" si="316"/>
        <v>0</v>
      </c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>
        <f>SUM(J617:BA617)</f>
        <v>3693.9499999999994</v>
      </c>
      <c r="BY617" s="1"/>
      <c r="BZ617" s="1"/>
      <c r="CA617" s="1"/>
      <c r="CC617" s="6"/>
    </row>
    <row r="618" spans="1:81" ht="15.6" customHeight="1">
      <c r="A618" s="148" t="s">
        <v>346</v>
      </c>
      <c r="B618" s="148" t="s">
        <v>347</v>
      </c>
      <c r="C618" s="145" t="s">
        <v>310</v>
      </c>
      <c r="D618" s="145" t="s">
        <v>311</v>
      </c>
      <c r="E618" s="148" t="s">
        <v>312</v>
      </c>
      <c r="F618" s="148" t="s">
        <v>348</v>
      </c>
      <c r="G618" s="145" t="s">
        <v>314</v>
      </c>
      <c r="H618" s="145" t="s">
        <v>315</v>
      </c>
      <c r="I618" s="145" t="s">
        <v>349</v>
      </c>
      <c r="J618" s="146">
        <v>44105</v>
      </c>
      <c r="K618" s="146">
        <v>44136</v>
      </c>
      <c r="L618" s="146">
        <v>44166</v>
      </c>
      <c r="M618" s="146">
        <v>44197</v>
      </c>
      <c r="N618" s="146">
        <v>44228</v>
      </c>
      <c r="O618" s="146">
        <v>44256</v>
      </c>
      <c r="P618" s="146">
        <v>44287</v>
      </c>
      <c r="Q618" s="146">
        <v>44317</v>
      </c>
      <c r="R618" s="146">
        <v>44348</v>
      </c>
      <c r="S618" s="146">
        <v>44378</v>
      </c>
      <c r="T618" s="146">
        <v>44409</v>
      </c>
      <c r="U618" s="146">
        <v>44440</v>
      </c>
      <c r="V618" s="146">
        <v>44470</v>
      </c>
      <c r="W618" s="146">
        <v>44501</v>
      </c>
      <c r="X618" s="146">
        <v>44531</v>
      </c>
      <c r="Y618" s="146">
        <v>44562</v>
      </c>
      <c r="Z618" s="146">
        <v>44593</v>
      </c>
      <c r="AA618" s="146">
        <v>44621</v>
      </c>
      <c r="AB618" s="146">
        <v>44652</v>
      </c>
      <c r="AC618" s="146">
        <v>44682</v>
      </c>
      <c r="AD618" s="146">
        <v>44713</v>
      </c>
      <c r="AE618" s="146">
        <v>44743</v>
      </c>
      <c r="AF618" s="146">
        <v>44774</v>
      </c>
      <c r="AG618" s="146">
        <v>44805</v>
      </c>
      <c r="AH618" s="146">
        <v>44835</v>
      </c>
      <c r="AI618" s="146">
        <v>44866</v>
      </c>
      <c r="AJ618" s="146">
        <v>44896</v>
      </c>
      <c r="AK618" s="146">
        <v>44927</v>
      </c>
      <c r="AL618" s="146">
        <v>44958</v>
      </c>
      <c r="AM618" s="146">
        <v>44986</v>
      </c>
      <c r="AN618" s="146">
        <v>45017</v>
      </c>
      <c r="AO618" s="146">
        <v>45047</v>
      </c>
      <c r="AP618" s="146">
        <v>45078</v>
      </c>
      <c r="AQ618" s="146">
        <v>45108</v>
      </c>
      <c r="AR618" s="146">
        <v>45139</v>
      </c>
      <c r="AS618" s="146">
        <v>45170</v>
      </c>
      <c r="AT618" s="146">
        <v>45200</v>
      </c>
      <c r="AU618" s="146">
        <v>45231</v>
      </c>
      <c r="AV618" s="146">
        <v>45261</v>
      </c>
      <c r="AW618" s="146">
        <v>45292</v>
      </c>
      <c r="AX618" s="146">
        <v>45323</v>
      </c>
      <c r="AY618" s="146">
        <v>45352</v>
      </c>
      <c r="AZ618" s="146">
        <v>45383</v>
      </c>
      <c r="BA618" s="146">
        <v>45413</v>
      </c>
      <c r="BB618" s="146">
        <v>45444</v>
      </c>
      <c r="BC618" s="146">
        <v>45474</v>
      </c>
      <c r="BD618" s="146">
        <v>45505</v>
      </c>
      <c r="BE618" s="146">
        <v>45536</v>
      </c>
      <c r="BF618" s="146">
        <v>45566</v>
      </c>
      <c r="BG618" s="146">
        <v>45597</v>
      </c>
      <c r="BH618" s="146">
        <v>45627</v>
      </c>
      <c r="BI618" s="146">
        <v>45658</v>
      </c>
      <c r="BJ618" s="146">
        <v>45689</v>
      </c>
      <c r="BK618" s="146">
        <v>45717</v>
      </c>
      <c r="BL618" s="146"/>
      <c r="BM618" s="146"/>
      <c r="BN618" s="146"/>
      <c r="BO618" s="146"/>
      <c r="BP618" s="146"/>
      <c r="BQ618" s="146"/>
      <c r="BR618" s="146"/>
      <c r="BS618" s="146"/>
      <c r="BT618" s="146"/>
      <c r="BU618" s="146"/>
      <c r="BV618" s="146"/>
      <c r="BW618" s="146"/>
      <c r="BX618" s="147" t="s">
        <v>13</v>
      </c>
      <c r="BY618" s="5"/>
      <c r="BZ618" s="5"/>
      <c r="CA618" s="5"/>
    </row>
    <row r="619" spans="1:81" ht="15.75" customHeight="1">
      <c r="A619" s="264">
        <v>46</v>
      </c>
      <c r="B619" s="241" t="s">
        <v>255</v>
      </c>
      <c r="C619" s="253" t="s">
        <v>92</v>
      </c>
      <c r="D619" s="253" t="s">
        <v>89</v>
      </c>
      <c r="E619" s="250" t="s">
        <v>150</v>
      </c>
      <c r="F619" s="250" t="s">
        <v>150</v>
      </c>
      <c r="G619" s="256">
        <f>'CONSOLIDADO ATIVO INATIVO NOVO'!J60</f>
        <v>45281</v>
      </c>
      <c r="H619" s="256">
        <f>'CONSOLIDADO ATIVO INATIVO NOVO'!K60</f>
        <v>45536</v>
      </c>
      <c r="I619" s="21" t="s">
        <v>350</v>
      </c>
      <c r="J619" s="21"/>
      <c r="K619" s="21"/>
      <c r="L619" s="21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105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1"/>
      <c r="BZ619" s="1"/>
      <c r="CA619" s="1"/>
      <c r="CC619" s="6"/>
    </row>
    <row r="620" spans="1:81" ht="15.75" customHeight="1">
      <c r="A620" s="265"/>
      <c r="B620" s="241"/>
      <c r="C620" s="254"/>
      <c r="D620" s="254"/>
      <c r="E620" s="251"/>
      <c r="F620" s="251"/>
      <c r="G620" s="254"/>
      <c r="H620" s="254"/>
      <c r="I620" s="21" t="s">
        <v>351</v>
      </c>
      <c r="J620" s="21"/>
      <c r="K620" s="21"/>
      <c r="L620" s="21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>
        <v>123.32</v>
      </c>
      <c r="AX620" s="3">
        <v>1849.81</v>
      </c>
      <c r="AY620" s="3"/>
      <c r="AZ620" s="3"/>
      <c r="BA620" s="3"/>
      <c r="BB620" s="105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1"/>
      <c r="BZ620" s="1"/>
      <c r="CA620" s="1"/>
      <c r="CC620" s="6"/>
    </row>
    <row r="621" spans="1:81" ht="15.75" customHeight="1">
      <c r="A621" s="265"/>
      <c r="B621" s="241"/>
      <c r="C621" s="254"/>
      <c r="D621" s="254"/>
      <c r="E621" s="251"/>
      <c r="F621" s="251"/>
      <c r="G621" s="254"/>
      <c r="H621" s="254"/>
      <c r="I621" s="21" t="s">
        <v>371</v>
      </c>
      <c r="J621" s="21"/>
      <c r="K621" s="21"/>
      <c r="L621" s="21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105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1"/>
      <c r="BZ621" s="1"/>
      <c r="CA621" s="1"/>
      <c r="CC621" s="6"/>
    </row>
    <row r="622" spans="1:81" ht="15.75" customHeight="1">
      <c r="A622" s="265"/>
      <c r="B622" s="241"/>
      <c r="C622" s="254"/>
      <c r="D622" s="254"/>
      <c r="E622" s="251"/>
      <c r="F622" s="251"/>
      <c r="G622" s="254"/>
      <c r="H622" s="254"/>
      <c r="I622" s="21" t="s">
        <v>353</v>
      </c>
      <c r="J622" s="21"/>
      <c r="K622" s="21"/>
      <c r="L622" s="21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105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1"/>
      <c r="BZ622" s="1"/>
      <c r="CA622" s="1"/>
      <c r="CC622" s="6"/>
    </row>
    <row r="623" spans="1:81" ht="15.75" customHeight="1">
      <c r="A623" s="265"/>
      <c r="B623" s="241"/>
      <c r="C623" s="254"/>
      <c r="D623" s="254"/>
      <c r="E623" s="251"/>
      <c r="F623" s="251"/>
      <c r="G623" s="254"/>
      <c r="H623" s="254"/>
      <c r="I623" s="21" t="s">
        <v>354</v>
      </c>
      <c r="J623" s="21"/>
      <c r="K623" s="21"/>
      <c r="L623" s="21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105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1"/>
      <c r="BZ623" s="1"/>
      <c r="CA623" s="1"/>
      <c r="CC623" s="6"/>
    </row>
    <row r="624" spans="1:81" ht="15.75" customHeight="1">
      <c r="A624" s="265"/>
      <c r="B624" s="241"/>
      <c r="C624" s="254"/>
      <c r="D624" s="254"/>
      <c r="E624" s="251"/>
      <c r="F624" s="251"/>
      <c r="G624" s="254"/>
      <c r="H624" s="254"/>
      <c r="I624" s="21" t="s">
        <v>355</v>
      </c>
      <c r="J624" s="21"/>
      <c r="K624" s="21"/>
      <c r="L624" s="21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105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1"/>
      <c r="BZ624" s="1"/>
      <c r="CA624" s="1"/>
      <c r="CC624" s="6"/>
    </row>
    <row r="625" spans="1:81" ht="15.75" customHeight="1">
      <c r="A625" s="265"/>
      <c r="B625" s="241"/>
      <c r="C625" s="254"/>
      <c r="D625" s="254"/>
      <c r="E625" s="251"/>
      <c r="F625" s="251"/>
      <c r="G625" s="254"/>
      <c r="H625" s="254"/>
      <c r="I625" s="21" t="s">
        <v>356</v>
      </c>
      <c r="J625" s="21"/>
      <c r="K625" s="21"/>
      <c r="L625" s="21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105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1"/>
      <c r="BZ625" s="1"/>
      <c r="CA625" s="1"/>
      <c r="CC625" s="6"/>
    </row>
    <row r="626" spans="1:81" ht="15.75" customHeight="1">
      <c r="A626" s="265"/>
      <c r="B626" s="241"/>
      <c r="C626" s="254"/>
      <c r="D626" s="254"/>
      <c r="E626" s="251"/>
      <c r="F626" s="251"/>
      <c r="G626" s="254"/>
      <c r="H626" s="254"/>
      <c r="I626" s="21" t="s">
        <v>357</v>
      </c>
      <c r="J626" s="21"/>
      <c r="K626" s="21"/>
      <c r="L626" s="21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>
        <v>76.73</v>
      </c>
      <c r="AX626" s="3">
        <v>522.01</v>
      </c>
      <c r="AY626" s="3"/>
      <c r="AZ626" s="3"/>
      <c r="BA626" s="3"/>
      <c r="BB626" s="105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1"/>
      <c r="BZ626" s="1"/>
      <c r="CA626" s="1"/>
      <c r="CC626" s="6"/>
    </row>
    <row r="627" spans="1:81" ht="15.75" customHeight="1">
      <c r="A627" s="265"/>
      <c r="B627" s="241"/>
      <c r="C627" s="254"/>
      <c r="D627" s="254"/>
      <c r="E627" s="251"/>
      <c r="F627" s="251"/>
      <c r="G627" s="254"/>
      <c r="H627" s="254"/>
      <c r="I627" s="23" t="s">
        <v>362</v>
      </c>
      <c r="J627" s="23"/>
      <c r="K627" s="23"/>
      <c r="L627" s="2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0</v>
      </c>
      <c r="AZ627" s="3"/>
      <c r="BA627" s="3"/>
      <c r="BB627" s="105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1"/>
      <c r="BZ627" s="1"/>
      <c r="CA627" s="1"/>
      <c r="CC627" s="6"/>
    </row>
    <row r="628" spans="1:81" ht="15.75" customHeight="1">
      <c r="A628" s="265"/>
      <c r="B628" s="241"/>
      <c r="C628" s="254"/>
      <c r="D628" s="254"/>
      <c r="E628" s="251"/>
      <c r="F628" s="251"/>
      <c r="G628" s="254"/>
      <c r="H628" s="254"/>
      <c r="I628" s="22" t="s">
        <v>363</v>
      </c>
      <c r="J628" s="22"/>
      <c r="K628" s="22"/>
      <c r="L628" s="2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105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1"/>
      <c r="BZ628" s="1"/>
      <c r="CA628" s="1"/>
      <c r="CC628" s="6"/>
    </row>
    <row r="629" spans="1:81" ht="15.75" customHeight="1">
      <c r="A629" s="265"/>
      <c r="B629" s="241"/>
      <c r="C629" s="254"/>
      <c r="D629" s="254"/>
      <c r="E629" s="251"/>
      <c r="F629" s="251"/>
      <c r="G629" s="254"/>
      <c r="H629" s="254"/>
      <c r="I629" s="44" t="s">
        <v>364</v>
      </c>
      <c r="J629" s="44"/>
      <c r="K629" s="44"/>
      <c r="L629" s="4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>
        <f>69.37</f>
        <v>69.37</v>
      </c>
      <c r="AX629" s="3">
        <v>1336.49</v>
      </c>
      <c r="AY629" s="3"/>
      <c r="AZ629" s="3"/>
      <c r="BA629" s="3"/>
      <c r="BB629" s="105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1"/>
      <c r="BZ629" s="1"/>
      <c r="CA629" s="1"/>
      <c r="CC629" s="6"/>
    </row>
    <row r="630" spans="1:81" ht="15.75" customHeight="1">
      <c r="A630" s="266"/>
      <c r="B630" s="241"/>
      <c r="C630" s="255"/>
      <c r="D630" s="255"/>
      <c r="E630" s="252"/>
      <c r="F630" s="252"/>
      <c r="G630" s="255"/>
      <c r="H630" s="255"/>
      <c r="I630" s="52"/>
      <c r="J630" s="3">
        <f t="shared" ref="J630:BD630" si="317">SUM(J619:J628)-J629</f>
        <v>0</v>
      </c>
      <c r="K630" s="3">
        <f t="shared" si="317"/>
        <v>0</v>
      </c>
      <c r="L630" s="3">
        <f t="shared" si="317"/>
        <v>0</v>
      </c>
      <c r="M630" s="3">
        <f t="shared" si="317"/>
        <v>0</v>
      </c>
      <c r="N630" s="3">
        <f t="shared" si="317"/>
        <v>0</v>
      </c>
      <c r="O630" s="3">
        <f t="shared" si="317"/>
        <v>0</v>
      </c>
      <c r="P630" s="3">
        <f t="shared" si="317"/>
        <v>0</v>
      </c>
      <c r="Q630" s="3">
        <f t="shared" si="317"/>
        <v>0</v>
      </c>
      <c r="R630" s="3">
        <f t="shared" si="317"/>
        <v>0</v>
      </c>
      <c r="S630" s="3">
        <f t="shared" si="317"/>
        <v>0</v>
      </c>
      <c r="T630" s="3">
        <f t="shared" si="317"/>
        <v>0</v>
      </c>
      <c r="U630" s="3">
        <f t="shared" si="317"/>
        <v>0</v>
      </c>
      <c r="V630" s="3">
        <f t="shared" si="317"/>
        <v>0</v>
      </c>
      <c r="W630" s="3">
        <f t="shared" si="317"/>
        <v>0</v>
      </c>
      <c r="X630" s="3">
        <f t="shared" si="317"/>
        <v>0</v>
      </c>
      <c r="Y630" s="3">
        <f t="shared" si="317"/>
        <v>0</v>
      </c>
      <c r="Z630" s="3">
        <f t="shared" si="317"/>
        <v>0</v>
      </c>
      <c r="AA630" s="3">
        <f t="shared" si="317"/>
        <v>0</v>
      </c>
      <c r="AB630" s="3">
        <f t="shared" si="317"/>
        <v>0</v>
      </c>
      <c r="AC630" s="3">
        <f t="shared" si="317"/>
        <v>0</v>
      </c>
      <c r="AD630" s="3">
        <f t="shared" si="317"/>
        <v>0</v>
      </c>
      <c r="AE630" s="3">
        <f t="shared" si="317"/>
        <v>0</v>
      </c>
      <c r="AF630" s="3">
        <f t="shared" si="317"/>
        <v>0</v>
      </c>
      <c r="AG630" s="3">
        <f t="shared" si="317"/>
        <v>0</v>
      </c>
      <c r="AH630" s="3">
        <f t="shared" si="317"/>
        <v>0</v>
      </c>
      <c r="AI630" s="3">
        <f t="shared" si="317"/>
        <v>0</v>
      </c>
      <c r="AJ630" s="3">
        <f t="shared" si="317"/>
        <v>0</v>
      </c>
      <c r="AK630" s="3">
        <f t="shared" si="317"/>
        <v>0</v>
      </c>
      <c r="AL630" s="3">
        <f t="shared" si="317"/>
        <v>0</v>
      </c>
      <c r="AM630" s="3">
        <f t="shared" si="317"/>
        <v>0</v>
      </c>
      <c r="AN630" s="3">
        <f t="shared" si="317"/>
        <v>0</v>
      </c>
      <c r="AO630" s="3">
        <f t="shared" si="317"/>
        <v>0</v>
      </c>
      <c r="AP630" s="3">
        <f t="shared" si="317"/>
        <v>0</v>
      </c>
      <c r="AQ630" s="3">
        <f t="shared" si="317"/>
        <v>0</v>
      </c>
      <c r="AR630" s="3">
        <f t="shared" si="317"/>
        <v>0</v>
      </c>
      <c r="AS630" s="3">
        <f t="shared" si="317"/>
        <v>0</v>
      </c>
      <c r="AT630" s="3">
        <f t="shared" si="317"/>
        <v>0</v>
      </c>
      <c r="AU630" s="3">
        <f t="shared" si="317"/>
        <v>0</v>
      </c>
      <c r="AV630" s="3">
        <f t="shared" si="317"/>
        <v>0</v>
      </c>
      <c r="AW630" s="3">
        <v>36.99</v>
      </c>
      <c r="AX630" s="3">
        <f t="shared" si="317"/>
        <v>1035.3299999999997</v>
      </c>
      <c r="AY630" s="3">
        <f t="shared" si="317"/>
        <v>0</v>
      </c>
      <c r="AZ630" s="3">
        <f t="shared" si="317"/>
        <v>0</v>
      </c>
      <c r="BA630" s="3">
        <f t="shared" si="317"/>
        <v>0</v>
      </c>
      <c r="BB630" s="105">
        <f t="shared" si="317"/>
        <v>0</v>
      </c>
      <c r="BC630" s="3">
        <f t="shared" si="317"/>
        <v>0</v>
      </c>
      <c r="BD630" s="3">
        <f t="shared" si="317"/>
        <v>0</v>
      </c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>
        <f>SUM(J630:BA630)</f>
        <v>1072.3199999999997</v>
      </c>
      <c r="BY630" s="1"/>
      <c r="BZ630" s="1"/>
      <c r="CA630" s="1"/>
      <c r="CC630" s="6"/>
    </row>
    <row r="631" spans="1:81" ht="15.6" customHeight="1">
      <c r="A631" s="148" t="s">
        <v>346</v>
      </c>
      <c r="B631" s="148" t="s">
        <v>347</v>
      </c>
      <c r="C631" s="145" t="s">
        <v>310</v>
      </c>
      <c r="D631" s="145" t="s">
        <v>311</v>
      </c>
      <c r="E631" s="148" t="s">
        <v>312</v>
      </c>
      <c r="F631" s="148" t="s">
        <v>348</v>
      </c>
      <c r="G631" s="145" t="s">
        <v>314</v>
      </c>
      <c r="H631" s="145" t="s">
        <v>315</v>
      </c>
      <c r="I631" s="145" t="s">
        <v>349</v>
      </c>
      <c r="J631" s="146">
        <v>44105</v>
      </c>
      <c r="K631" s="146">
        <v>44136</v>
      </c>
      <c r="L631" s="146">
        <v>44166</v>
      </c>
      <c r="M631" s="146">
        <v>44197</v>
      </c>
      <c r="N631" s="146">
        <v>44228</v>
      </c>
      <c r="O631" s="146">
        <v>44256</v>
      </c>
      <c r="P631" s="146">
        <v>44287</v>
      </c>
      <c r="Q631" s="146">
        <v>44317</v>
      </c>
      <c r="R631" s="146">
        <v>44348</v>
      </c>
      <c r="S631" s="146">
        <v>44378</v>
      </c>
      <c r="T631" s="146">
        <v>44409</v>
      </c>
      <c r="U631" s="146">
        <v>44440</v>
      </c>
      <c r="V631" s="146">
        <v>44470</v>
      </c>
      <c r="W631" s="146">
        <v>44501</v>
      </c>
      <c r="X631" s="146">
        <v>44531</v>
      </c>
      <c r="Y631" s="146">
        <v>44562</v>
      </c>
      <c r="Z631" s="146">
        <v>44593</v>
      </c>
      <c r="AA631" s="146">
        <v>44621</v>
      </c>
      <c r="AB631" s="146">
        <v>44652</v>
      </c>
      <c r="AC631" s="146">
        <v>44682</v>
      </c>
      <c r="AD631" s="146">
        <v>44713</v>
      </c>
      <c r="AE631" s="146">
        <v>44743</v>
      </c>
      <c r="AF631" s="146">
        <v>44774</v>
      </c>
      <c r="AG631" s="146">
        <v>44805</v>
      </c>
      <c r="AH631" s="146">
        <v>44835</v>
      </c>
      <c r="AI631" s="146">
        <v>44866</v>
      </c>
      <c r="AJ631" s="146">
        <v>44896</v>
      </c>
      <c r="AK631" s="146">
        <v>44927</v>
      </c>
      <c r="AL631" s="146">
        <v>44958</v>
      </c>
      <c r="AM631" s="146">
        <v>44986</v>
      </c>
      <c r="AN631" s="146">
        <v>45017</v>
      </c>
      <c r="AO631" s="146">
        <v>45047</v>
      </c>
      <c r="AP631" s="146">
        <v>45078</v>
      </c>
      <c r="AQ631" s="146">
        <v>45108</v>
      </c>
      <c r="AR631" s="146">
        <v>45139</v>
      </c>
      <c r="AS631" s="146">
        <v>45170</v>
      </c>
      <c r="AT631" s="146">
        <v>45200</v>
      </c>
      <c r="AU631" s="146">
        <v>45231</v>
      </c>
      <c r="AV631" s="146">
        <v>45261</v>
      </c>
      <c r="AW631" s="146">
        <v>45292</v>
      </c>
      <c r="AX631" s="146">
        <v>45323</v>
      </c>
      <c r="AY631" s="146">
        <v>45352</v>
      </c>
      <c r="AZ631" s="146">
        <v>45383</v>
      </c>
      <c r="BA631" s="146">
        <v>45413</v>
      </c>
      <c r="BB631" s="146">
        <v>45444</v>
      </c>
      <c r="BC631" s="146">
        <v>45474</v>
      </c>
      <c r="BD631" s="146">
        <v>45505</v>
      </c>
      <c r="BE631" s="146">
        <v>45536</v>
      </c>
      <c r="BF631" s="146">
        <v>45566</v>
      </c>
      <c r="BG631" s="146">
        <v>45597</v>
      </c>
      <c r="BH631" s="146">
        <v>45627</v>
      </c>
      <c r="BI631" s="146">
        <v>45658</v>
      </c>
      <c r="BJ631" s="146">
        <v>45689</v>
      </c>
      <c r="BK631" s="146">
        <v>45717</v>
      </c>
      <c r="BL631" s="146"/>
      <c r="BM631" s="146"/>
      <c r="BN631" s="146"/>
      <c r="BO631" s="146"/>
      <c r="BP631" s="146"/>
      <c r="BQ631" s="146"/>
      <c r="BR631" s="146"/>
      <c r="BS631" s="146"/>
      <c r="BT631" s="146"/>
      <c r="BU631" s="146"/>
      <c r="BV631" s="146"/>
      <c r="BW631" s="146"/>
      <c r="BX631" s="147" t="s">
        <v>13</v>
      </c>
      <c r="BY631" s="5"/>
      <c r="BZ631" s="5"/>
      <c r="CA631" s="5"/>
    </row>
    <row r="632" spans="1:81" ht="15.75" customHeight="1">
      <c r="A632" s="240">
        <v>47</v>
      </c>
      <c r="B632" s="241" t="s">
        <v>156</v>
      </c>
      <c r="C632" s="249" t="s">
        <v>92</v>
      </c>
      <c r="D632" s="249" t="s">
        <v>89</v>
      </c>
      <c r="E632" s="241" t="s">
        <v>150</v>
      </c>
      <c r="F632" s="241" t="s">
        <v>150</v>
      </c>
      <c r="G632" s="263">
        <f>'CONSOLIDADO ATIVO INATIVO NOVO'!J57</f>
        <v>45726</v>
      </c>
      <c r="H632" s="263">
        <f>'CONSOLIDADO ATIVO INATIVO NOVO'!K57</f>
        <v>0</v>
      </c>
      <c r="I632" s="21" t="s">
        <v>390</v>
      </c>
      <c r="J632" s="21"/>
      <c r="K632" s="21"/>
      <c r="L632" s="21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105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1"/>
      <c r="BZ632" s="1"/>
      <c r="CA632" s="1"/>
      <c r="CC632" s="6"/>
    </row>
    <row r="633" spans="1:81" ht="15.75" customHeight="1">
      <c r="A633" s="240"/>
      <c r="B633" s="241"/>
      <c r="C633" s="249"/>
      <c r="D633" s="249"/>
      <c r="E633" s="241"/>
      <c r="F633" s="241"/>
      <c r="G633" s="249"/>
      <c r="H633" s="249"/>
      <c r="I633" s="21" t="s">
        <v>391</v>
      </c>
      <c r="J633" s="21"/>
      <c r="K633" s="21"/>
      <c r="L633" s="21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12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105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1"/>
      <c r="BZ633" s="1"/>
      <c r="CA633" s="1"/>
      <c r="CC633" s="6"/>
    </row>
    <row r="634" spans="1:81" ht="15.75" customHeight="1">
      <c r="A634" s="240"/>
      <c r="B634" s="241"/>
      <c r="C634" s="249"/>
      <c r="D634" s="249"/>
      <c r="E634" s="241"/>
      <c r="F634" s="241"/>
      <c r="G634" s="249"/>
      <c r="H634" s="249"/>
      <c r="I634" s="21" t="s">
        <v>351</v>
      </c>
      <c r="J634" s="21"/>
      <c r="K634" s="21"/>
      <c r="L634" s="21"/>
      <c r="M634" s="3"/>
      <c r="N634" s="3">
        <v>1461.67</v>
      </c>
      <c r="O634" s="3">
        <v>1461.67</v>
      </c>
      <c r="P634" s="3">
        <v>1461.67</v>
      </c>
      <c r="Q634" s="3">
        <v>1461.67</v>
      </c>
      <c r="R634" s="3">
        <v>1461.67</v>
      </c>
      <c r="S634" s="3">
        <v>1461.67</v>
      </c>
      <c r="T634" s="3">
        <v>1461.67</v>
      </c>
      <c r="U634" s="3">
        <v>1461.67</v>
      </c>
      <c r="V634" s="3">
        <v>1461.67</v>
      </c>
      <c r="W634" s="3">
        <v>1461.67</v>
      </c>
      <c r="X634" s="3">
        <v>1461.67</v>
      </c>
      <c r="Y634" s="12">
        <v>1578.6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105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1"/>
      <c r="BZ634" s="1"/>
      <c r="CA634" s="1"/>
      <c r="CC634" s="6"/>
    </row>
    <row r="635" spans="1:81" ht="15.75" customHeight="1">
      <c r="A635" s="240"/>
      <c r="B635" s="241"/>
      <c r="C635" s="249"/>
      <c r="D635" s="249"/>
      <c r="E635" s="241"/>
      <c r="F635" s="241"/>
      <c r="G635" s="249"/>
      <c r="H635" s="249"/>
      <c r="I635" s="21" t="s">
        <v>353</v>
      </c>
      <c r="J635" s="21"/>
      <c r="K635" s="21"/>
      <c r="L635" s="21"/>
      <c r="M635" s="3"/>
      <c r="N635" s="3"/>
      <c r="O635" s="3"/>
      <c r="P635" s="3"/>
      <c r="Q635" s="3">
        <v>2500</v>
      </c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105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1"/>
      <c r="BZ635" s="1"/>
      <c r="CA635" s="1"/>
      <c r="CC635" s="6"/>
    </row>
    <row r="636" spans="1:81" ht="15.75" customHeight="1">
      <c r="A636" s="240"/>
      <c r="B636" s="241"/>
      <c r="C636" s="249"/>
      <c r="D636" s="249"/>
      <c r="E636" s="241"/>
      <c r="F636" s="241"/>
      <c r="G636" s="249"/>
      <c r="H636" s="249"/>
      <c r="I636" s="21" t="s">
        <v>354</v>
      </c>
      <c r="J636" s="21"/>
      <c r="K636" s="21"/>
      <c r="L636" s="21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105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1"/>
      <c r="BZ636" s="1"/>
      <c r="CA636" s="1"/>
      <c r="CC636" s="6"/>
    </row>
    <row r="637" spans="1:81" ht="15.75" customHeight="1">
      <c r="A637" s="240"/>
      <c r="B637" s="241"/>
      <c r="C637" s="249"/>
      <c r="D637" s="249"/>
      <c r="E637" s="241"/>
      <c r="F637" s="241"/>
      <c r="G637" s="249"/>
      <c r="H637" s="249"/>
      <c r="I637" s="21" t="s">
        <v>355</v>
      </c>
      <c r="J637" s="21"/>
      <c r="K637" s="21"/>
      <c r="L637" s="21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105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1"/>
      <c r="BZ637" s="1"/>
      <c r="CA637" s="1"/>
      <c r="CC637" s="6"/>
    </row>
    <row r="638" spans="1:81" ht="15.75" customHeight="1">
      <c r="A638" s="240"/>
      <c r="B638" s="241"/>
      <c r="C638" s="249"/>
      <c r="D638" s="249"/>
      <c r="E638" s="241"/>
      <c r="F638" s="241"/>
      <c r="G638" s="249"/>
      <c r="H638" s="249"/>
      <c r="I638" s="21" t="s">
        <v>356</v>
      </c>
      <c r="J638" s="21"/>
      <c r="K638" s="21"/>
      <c r="L638" s="21"/>
      <c r="M638" s="3"/>
      <c r="N638" s="3">
        <v>196</v>
      </c>
      <c r="O638" s="3">
        <v>225.4</v>
      </c>
      <c r="P638" s="3">
        <v>205.8</v>
      </c>
      <c r="Q638" s="3">
        <v>205.8</v>
      </c>
      <c r="R638" s="3">
        <v>196</v>
      </c>
      <c r="S638" s="3">
        <v>205.8</v>
      </c>
      <c r="T638" s="3">
        <v>215.6</v>
      </c>
      <c r="U638" s="3">
        <v>231</v>
      </c>
      <c r="V638" s="3">
        <v>220</v>
      </c>
      <c r="W638" s="3">
        <v>231</v>
      </c>
      <c r="X638" s="3">
        <v>231</v>
      </c>
      <c r="Y638" s="3">
        <v>231</v>
      </c>
      <c r="Z638" s="3">
        <v>220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105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1"/>
      <c r="BZ638" s="1"/>
      <c r="CA638" s="1"/>
      <c r="CC638" s="6"/>
    </row>
    <row r="639" spans="1:81" ht="15.75" customHeight="1">
      <c r="A639" s="240"/>
      <c r="B639" s="241"/>
      <c r="C639" s="249"/>
      <c r="D639" s="249"/>
      <c r="E639" s="241"/>
      <c r="F639" s="241"/>
      <c r="G639" s="249"/>
      <c r="H639" s="249"/>
      <c r="I639" s="23" t="s">
        <v>362</v>
      </c>
      <c r="J639" s="21"/>
      <c r="K639" s="21"/>
      <c r="L639" s="21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2727.17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105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1"/>
      <c r="BZ639" s="1"/>
      <c r="CA639" s="1"/>
      <c r="CC639" s="6"/>
    </row>
    <row r="640" spans="1:81">
      <c r="A640" s="240"/>
      <c r="B640" s="241"/>
      <c r="C640" s="249"/>
      <c r="D640" s="249"/>
      <c r="E640" s="241"/>
      <c r="F640" s="241"/>
      <c r="G640" s="249"/>
      <c r="H640" s="249"/>
      <c r="I640" s="22" t="s">
        <v>363</v>
      </c>
      <c r="J640" s="22"/>
      <c r="K640" s="22"/>
      <c r="L640" s="2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>
        <v>669.93</v>
      </c>
      <c r="X640" s="3">
        <v>669.93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105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1"/>
      <c r="BZ640" s="1"/>
    </row>
    <row r="641" spans="1:81">
      <c r="A641" s="240"/>
      <c r="B641" s="241"/>
      <c r="C641" s="249"/>
      <c r="D641" s="249"/>
      <c r="E641" s="241"/>
      <c r="F641" s="241"/>
      <c r="G641" s="249"/>
      <c r="H641" s="249"/>
      <c r="I641" s="44" t="s">
        <v>373</v>
      </c>
      <c r="J641" s="44"/>
      <c r="K641" s="44"/>
      <c r="L641" s="44"/>
      <c r="M641" s="3"/>
      <c r="N641" s="3">
        <v>115.05</v>
      </c>
      <c r="O641" s="3">
        <v>115.05</v>
      </c>
      <c r="P641" s="3">
        <v>115.05</v>
      </c>
      <c r="Q641" s="3">
        <v>115.05</v>
      </c>
      <c r="R641" s="3">
        <f>294.2+115.05</f>
        <v>409.25</v>
      </c>
      <c r="S641" s="3">
        <f>500+115.05</f>
        <v>615.04999999999995</v>
      </c>
      <c r="T641" s="3">
        <f t="shared" ref="T641:W641" si="318">500+115.05</f>
        <v>615.04999999999995</v>
      </c>
      <c r="U641" s="3">
        <f t="shared" si="318"/>
        <v>615.04999999999995</v>
      </c>
      <c r="V641" s="3">
        <f t="shared" si="318"/>
        <v>615.04999999999995</v>
      </c>
      <c r="W641" s="3">
        <f t="shared" si="318"/>
        <v>615.04999999999995</v>
      </c>
      <c r="X641" s="3">
        <f>88.21+69.81+104.08</f>
        <v>262.09999999999997</v>
      </c>
      <c r="Y641" s="3">
        <f>123.89+94.72</f>
        <v>218.61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105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1"/>
      <c r="BZ641" s="1"/>
    </row>
    <row r="642" spans="1:81">
      <c r="A642" s="240"/>
      <c r="B642" s="241"/>
      <c r="C642" s="249"/>
      <c r="D642" s="249"/>
      <c r="E642" s="241"/>
      <c r="F642" s="241"/>
      <c r="G642" s="249"/>
      <c r="H642" s="249"/>
      <c r="I642" s="22"/>
      <c r="J642" s="3">
        <f>SUM(J632:J640)-J641</f>
        <v>0</v>
      </c>
      <c r="K642" s="3">
        <f t="shared" ref="K642:AD642" si="319">SUM(K632:K640)-K641</f>
        <v>0</v>
      </c>
      <c r="L642" s="3">
        <f t="shared" si="319"/>
        <v>0</v>
      </c>
      <c r="M642" s="3">
        <f t="shared" si="319"/>
        <v>0</v>
      </c>
      <c r="N642" s="3">
        <f t="shared" si="319"/>
        <v>1542.6200000000001</v>
      </c>
      <c r="O642" s="3">
        <f t="shared" si="319"/>
        <v>1572.0200000000002</v>
      </c>
      <c r="P642" s="3">
        <f t="shared" si="319"/>
        <v>1552.42</v>
      </c>
      <c r="Q642" s="3">
        <f t="shared" si="319"/>
        <v>4052.42</v>
      </c>
      <c r="R642" s="3">
        <f t="shared" si="319"/>
        <v>1248.42</v>
      </c>
      <c r="S642" s="3">
        <f t="shared" si="319"/>
        <v>1052.42</v>
      </c>
      <c r="T642" s="3">
        <f t="shared" si="319"/>
        <v>1062.22</v>
      </c>
      <c r="U642" s="3">
        <f t="shared" si="319"/>
        <v>1077.6200000000001</v>
      </c>
      <c r="V642" s="3">
        <f t="shared" si="319"/>
        <v>1066.6200000000001</v>
      </c>
      <c r="W642" s="3">
        <f t="shared" si="319"/>
        <v>1747.55</v>
      </c>
      <c r="X642" s="3">
        <f t="shared" si="319"/>
        <v>2100.5</v>
      </c>
      <c r="Y642" s="3">
        <f t="shared" si="319"/>
        <v>1590.9899999999998</v>
      </c>
      <c r="Z642" s="3">
        <f>SUM(Z632:Z640)-Z641</f>
        <v>2947.17</v>
      </c>
      <c r="AA642" s="3">
        <f t="shared" si="319"/>
        <v>0</v>
      </c>
      <c r="AB642" s="3">
        <f t="shared" si="319"/>
        <v>0</v>
      </c>
      <c r="AC642" s="3">
        <f t="shared" si="319"/>
        <v>0</v>
      </c>
      <c r="AD642" s="3">
        <f t="shared" si="319"/>
        <v>0</v>
      </c>
      <c r="AE642" s="3">
        <f>SUM(AE632:AE640)-AE641</f>
        <v>0</v>
      </c>
      <c r="AF642" s="3">
        <f>SUM(AF632:AF640)-AF641</f>
        <v>0</v>
      </c>
      <c r="AG642" s="3">
        <f t="shared" ref="AG642:AP642" si="320">SUM(AG632:AG640)-AG641</f>
        <v>0</v>
      </c>
      <c r="AH642" s="3">
        <f t="shared" si="320"/>
        <v>0</v>
      </c>
      <c r="AI642" s="3">
        <f t="shared" si="320"/>
        <v>0</v>
      </c>
      <c r="AJ642" s="3">
        <f t="shared" si="320"/>
        <v>0</v>
      </c>
      <c r="AK642" s="3">
        <f t="shared" si="320"/>
        <v>0</v>
      </c>
      <c r="AL642" s="3">
        <f t="shared" si="320"/>
        <v>0</v>
      </c>
      <c r="AM642" s="3">
        <f t="shared" si="320"/>
        <v>0</v>
      </c>
      <c r="AN642" s="3">
        <f t="shared" si="320"/>
        <v>0</v>
      </c>
      <c r="AO642" s="3">
        <f t="shared" si="320"/>
        <v>0</v>
      </c>
      <c r="AP642" s="3">
        <f t="shared" si="320"/>
        <v>0</v>
      </c>
      <c r="AQ642" s="3">
        <f t="shared" ref="AQ642:AU642" si="321">SUM(AQ632:AQ640)-AQ641</f>
        <v>0</v>
      </c>
      <c r="AR642" s="3">
        <f t="shared" si="321"/>
        <v>0</v>
      </c>
      <c r="AS642" s="3">
        <f t="shared" si="321"/>
        <v>0</v>
      </c>
      <c r="AT642" s="3">
        <f t="shared" si="321"/>
        <v>0</v>
      </c>
      <c r="AU642" s="3">
        <f t="shared" si="321"/>
        <v>0</v>
      </c>
      <c r="AV642" s="3">
        <f>SUM(AV632:AV640)-AV641</f>
        <v>0</v>
      </c>
      <c r="AW642" s="3">
        <f t="shared" ref="AW642:BA642" si="322">SUM(AW632:AW640)-AW641</f>
        <v>0</v>
      </c>
      <c r="AX642" s="3">
        <f t="shared" si="322"/>
        <v>0</v>
      </c>
      <c r="AY642" s="3">
        <f t="shared" si="322"/>
        <v>0</v>
      </c>
      <c r="AZ642" s="3">
        <f t="shared" si="322"/>
        <v>0</v>
      </c>
      <c r="BA642" s="3">
        <f t="shared" si="322"/>
        <v>0</v>
      </c>
      <c r="BB642" s="105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>
        <f>SUM(J642:AY642)</f>
        <v>22612.989999999998</v>
      </c>
      <c r="BY642" s="1"/>
      <c r="BZ642" s="1"/>
    </row>
    <row r="643" spans="1:81" ht="15.6" customHeight="1">
      <c r="A643" s="148" t="s">
        <v>346</v>
      </c>
      <c r="B643" s="148" t="s">
        <v>347</v>
      </c>
      <c r="C643" s="145" t="s">
        <v>310</v>
      </c>
      <c r="D643" s="145" t="s">
        <v>311</v>
      </c>
      <c r="E643" s="148" t="s">
        <v>312</v>
      </c>
      <c r="F643" s="148" t="s">
        <v>348</v>
      </c>
      <c r="G643" s="145" t="s">
        <v>314</v>
      </c>
      <c r="H643" s="145" t="s">
        <v>315</v>
      </c>
      <c r="I643" s="145" t="s">
        <v>349</v>
      </c>
      <c r="J643" s="146">
        <v>44105</v>
      </c>
      <c r="K643" s="146">
        <v>44136</v>
      </c>
      <c r="L643" s="146">
        <v>44166</v>
      </c>
      <c r="M643" s="146">
        <v>44197</v>
      </c>
      <c r="N643" s="146">
        <v>44228</v>
      </c>
      <c r="O643" s="146">
        <v>44256</v>
      </c>
      <c r="P643" s="146">
        <v>44287</v>
      </c>
      <c r="Q643" s="146">
        <v>44317</v>
      </c>
      <c r="R643" s="146">
        <v>44348</v>
      </c>
      <c r="S643" s="146">
        <v>44378</v>
      </c>
      <c r="T643" s="146">
        <v>44409</v>
      </c>
      <c r="U643" s="146">
        <v>44440</v>
      </c>
      <c r="V643" s="146">
        <v>44470</v>
      </c>
      <c r="W643" s="146">
        <v>44501</v>
      </c>
      <c r="X643" s="146">
        <v>44531</v>
      </c>
      <c r="Y643" s="146">
        <v>44562</v>
      </c>
      <c r="Z643" s="146">
        <v>44593</v>
      </c>
      <c r="AA643" s="146">
        <v>44621</v>
      </c>
      <c r="AB643" s="146">
        <v>44652</v>
      </c>
      <c r="AC643" s="146">
        <v>44682</v>
      </c>
      <c r="AD643" s="146">
        <v>44713</v>
      </c>
      <c r="AE643" s="146">
        <v>44743</v>
      </c>
      <c r="AF643" s="146">
        <v>44774</v>
      </c>
      <c r="AG643" s="146">
        <v>44805</v>
      </c>
      <c r="AH643" s="146">
        <v>44835</v>
      </c>
      <c r="AI643" s="146">
        <v>44866</v>
      </c>
      <c r="AJ643" s="146">
        <v>44896</v>
      </c>
      <c r="AK643" s="146">
        <v>44927</v>
      </c>
      <c r="AL643" s="146">
        <v>44958</v>
      </c>
      <c r="AM643" s="146">
        <v>44986</v>
      </c>
      <c r="AN643" s="146">
        <v>45017</v>
      </c>
      <c r="AO643" s="146">
        <v>45047</v>
      </c>
      <c r="AP643" s="146">
        <v>45078</v>
      </c>
      <c r="AQ643" s="146">
        <v>45108</v>
      </c>
      <c r="AR643" s="146">
        <v>45139</v>
      </c>
      <c r="AS643" s="146">
        <v>45170</v>
      </c>
      <c r="AT643" s="146">
        <v>45200</v>
      </c>
      <c r="AU643" s="146">
        <v>45231</v>
      </c>
      <c r="AV643" s="146">
        <v>45261</v>
      </c>
      <c r="AW643" s="146">
        <v>45292</v>
      </c>
      <c r="AX643" s="146">
        <v>45323</v>
      </c>
      <c r="AY643" s="146">
        <v>45352</v>
      </c>
      <c r="AZ643" s="146">
        <v>45383</v>
      </c>
      <c r="BA643" s="146">
        <v>45413</v>
      </c>
      <c r="BB643" s="146">
        <v>45444</v>
      </c>
      <c r="BC643" s="146">
        <v>45474</v>
      </c>
      <c r="BD643" s="146">
        <v>45505</v>
      </c>
      <c r="BE643" s="146">
        <v>45536</v>
      </c>
      <c r="BF643" s="146">
        <v>45566</v>
      </c>
      <c r="BG643" s="146">
        <v>45597</v>
      </c>
      <c r="BH643" s="146">
        <v>45627</v>
      </c>
      <c r="BI643" s="146">
        <v>45658</v>
      </c>
      <c r="BJ643" s="146">
        <v>45689</v>
      </c>
      <c r="BK643" s="146">
        <v>45717</v>
      </c>
      <c r="BL643" s="146">
        <v>45748</v>
      </c>
      <c r="BM643" s="146">
        <v>45778</v>
      </c>
      <c r="BN643" s="146">
        <v>45809</v>
      </c>
      <c r="BO643" s="146">
        <v>45839</v>
      </c>
      <c r="BP643" s="146">
        <v>45870</v>
      </c>
      <c r="BQ643" s="146">
        <v>45901</v>
      </c>
      <c r="BR643" s="146">
        <v>45931</v>
      </c>
      <c r="BS643" s="146">
        <v>45962</v>
      </c>
      <c r="BT643" s="146">
        <v>45992</v>
      </c>
      <c r="BU643" s="146">
        <v>46023</v>
      </c>
      <c r="BV643" s="146">
        <v>46054</v>
      </c>
      <c r="BW643" s="146">
        <v>46082</v>
      </c>
      <c r="BX643" s="147" t="s">
        <v>13</v>
      </c>
      <c r="BY643" s="5"/>
      <c r="BZ643" s="5"/>
      <c r="CA643" s="5"/>
    </row>
    <row r="644" spans="1:81" s="178" customFormat="1" ht="15.75" customHeight="1">
      <c r="A644" s="226">
        <v>48</v>
      </c>
      <c r="B644" s="227" t="s">
        <v>148</v>
      </c>
      <c r="C644" s="227" t="s">
        <v>23</v>
      </c>
      <c r="D644" s="227" t="s">
        <v>89</v>
      </c>
      <c r="E644" s="227" t="s">
        <v>150</v>
      </c>
      <c r="F644" s="227" t="s">
        <v>150</v>
      </c>
      <c r="G644" s="233">
        <f>'CONSOLIDADO ATIVO INATIVO NOVO'!J59</f>
        <v>45376</v>
      </c>
      <c r="H644" s="227"/>
      <c r="I644" s="175" t="s">
        <v>390</v>
      </c>
      <c r="J644" s="175"/>
      <c r="K644" s="175"/>
      <c r="L644" s="175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  <c r="AA644" s="176"/>
      <c r="AB644" s="176"/>
      <c r="AC644" s="176"/>
      <c r="AD644" s="176"/>
      <c r="AE644" s="176"/>
      <c r="AF644" s="176"/>
      <c r="AG644" s="176"/>
      <c r="AH644" s="176"/>
      <c r="AI644" s="176"/>
      <c r="AJ644" s="176"/>
      <c r="AK644" s="176"/>
      <c r="AL644" s="176"/>
      <c r="AM644" s="176"/>
      <c r="AN644" s="176"/>
      <c r="AO644" s="176"/>
      <c r="AP644" s="176"/>
      <c r="AQ644" s="176"/>
      <c r="AR644" s="176"/>
      <c r="AS644" s="176"/>
      <c r="AT644" s="176"/>
      <c r="AU644" s="176"/>
      <c r="AV644" s="176"/>
      <c r="AW644" s="176"/>
      <c r="AX644" s="176"/>
      <c r="AY644" s="176"/>
      <c r="AZ644" s="176"/>
      <c r="BA644" s="176"/>
      <c r="BB644" s="176"/>
      <c r="BC644" s="176"/>
      <c r="BD644" s="176"/>
      <c r="BE644" s="176"/>
      <c r="BF644" s="176"/>
      <c r="BG644" s="176"/>
      <c r="BH644" s="176"/>
      <c r="BI644" s="176"/>
      <c r="BJ644" s="176"/>
      <c r="BK644" s="176"/>
      <c r="BL644" s="176"/>
      <c r="BM644" s="176"/>
      <c r="BN644" s="176"/>
      <c r="BO644" s="176"/>
      <c r="BP644" s="176"/>
      <c r="BQ644" s="176"/>
      <c r="BR644" s="176"/>
      <c r="BS644" s="176"/>
      <c r="BT644" s="176"/>
      <c r="BU644" s="176"/>
      <c r="BV644" s="176"/>
      <c r="BW644" s="176"/>
      <c r="BX644" s="176"/>
      <c r="BY644" s="191"/>
      <c r="BZ644" s="191"/>
      <c r="CA644" s="191"/>
      <c r="CC644" s="182"/>
    </row>
    <row r="645" spans="1:81" s="178" customFormat="1" ht="15.75" customHeight="1">
      <c r="A645" s="226"/>
      <c r="B645" s="227"/>
      <c r="C645" s="227"/>
      <c r="D645" s="227"/>
      <c r="E645" s="227"/>
      <c r="F645" s="227"/>
      <c r="G645" s="227"/>
      <c r="H645" s="227"/>
      <c r="I645" s="175" t="s">
        <v>351</v>
      </c>
      <c r="J645" s="175"/>
      <c r="K645" s="175"/>
      <c r="L645" s="175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  <c r="AA645" s="176"/>
      <c r="AB645" s="176"/>
      <c r="AC645" s="176"/>
      <c r="AD645" s="176"/>
      <c r="AE645" s="176"/>
      <c r="AF645" s="176"/>
      <c r="AG645" s="176"/>
      <c r="AH645" s="176"/>
      <c r="AI645" s="176"/>
      <c r="AJ645" s="176"/>
      <c r="AK645" s="176"/>
      <c r="AL645" s="176"/>
      <c r="AM645" s="176"/>
      <c r="AN645" s="176"/>
      <c r="AO645" s="176"/>
      <c r="AP645" s="176"/>
      <c r="AQ645" s="176"/>
      <c r="AR645" s="176"/>
      <c r="AS645" s="176"/>
      <c r="AT645" s="176"/>
      <c r="AU645" s="176"/>
      <c r="AV645" s="176"/>
      <c r="AW645" s="176"/>
      <c r="AX645" s="176"/>
      <c r="AY645" s="176"/>
      <c r="AZ645" s="176"/>
      <c r="BA645" s="176"/>
      <c r="BB645" s="176"/>
      <c r="BC645" s="176"/>
      <c r="BD645" s="176">
        <v>1849.81</v>
      </c>
      <c r="BE645" s="176">
        <v>1849.81</v>
      </c>
      <c r="BF645" s="176">
        <v>1849.81</v>
      </c>
      <c r="BG645" s="176">
        <v>1849.81</v>
      </c>
      <c r="BH645" s="176">
        <v>1849.81</v>
      </c>
      <c r="BI645" s="176">
        <v>1849.81</v>
      </c>
      <c r="BJ645" s="176">
        <v>1849.81</v>
      </c>
      <c r="BK645" s="176">
        <f t="shared" ref="BK645:BR645" si="323">1849.61+65</f>
        <v>1914.61</v>
      </c>
      <c r="BL645" s="176">
        <f t="shared" si="323"/>
        <v>1914.61</v>
      </c>
      <c r="BM645" s="176">
        <f t="shared" si="323"/>
        <v>1914.61</v>
      </c>
      <c r="BN645" s="176">
        <f t="shared" si="323"/>
        <v>1914.61</v>
      </c>
      <c r="BO645" s="176">
        <f t="shared" si="323"/>
        <v>1914.61</v>
      </c>
      <c r="BP645" s="176">
        <f t="shared" si="323"/>
        <v>1914.61</v>
      </c>
      <c r="BQ645" s="176">
        <f t="shared" si="323"/>
        <v>1914.61</v>
      </c>
      <c r="BR645" s="176">
        <f t="shared" si="323"/>
        <v>1914.61</v>
      </c>
      <c r="BS645" s="176">
        <v>1914.61</v>
      </c>
      <c r="BT645" s="176">
        <f>2638.09+65</f>
        <v>2703.09</v>
      </c>
      <c r="BU645" s="176">
        <v>1849.81</v>
      </c>
      <c r="BV645" s="176">
        <f>1849.81+67.54</f>
        <v>1917.35</v>
      </c>
      <c r="BW645" s="176">
        <v>1917.35</v>
      </c>
      <c r="BX645" s="176"/>
      <c r="BY645" s="191"/>
      <c r="BZ645" s="191"/>
      <c r="CA645" s="191"/>
      <c r="CC645" s="182"/>
    </row>
    <row r="646" spans="1:81" s="178" customFormat="1" ht="15.75" customHeight="1">
      <c r="A646" s="226"/>
      <c r="B646" s="227"/>
      <c r="C646" s="227"/>
      <c r="D646" s="227"/>
      <c r="E646" s="227"/>
      <c r="F646" s="227"/>
      <c r="G646" s="227"/>
      <c r="H646" s="227"/>
      <c r="I646" s="175" t="s">
        <v>391</v>
      </c>
      <c r="J646" s="175"/>
      <c r="K646" s="175"/>
      <c r="L646" s="175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7"/>
      <c r="Z646" s="176"/>
      <c r="AA646" s="176"/>
      <c r="AB646" s="176"/>
      <c r="AC646" s="176"/>
      <c r="AD646" s="176"/>
      <c r="AE646" s="176"/>
      <c r="AF646" s="176"/>
      <c r="AG646" s="176"/>
      <c r="AH646" s="176"/>
      <c r="AI646" s="176"/>
      <c r="AJ646" s="176"/>
      <c r="AK646" s="176"/>
      <c r="AL646" s="176"/>
      <c r="AM646" s="176"/>
      <c r="AN646" s="176"/>
      <c r="AO646" s="176"/>
      <c r="AP646" s="176"/>
      <c r="AQ646" s="176"/>
      <c r="AR646" s="176"/>
      <c r="AS646" s="176"/>
      <c r="AT646" s="176"/>
      <c r="AU646" s="176"/>
      <c r="AV646" s="176"/>
      <c r="AW646" s="176"/>
      <c r="AX646" s="176"/>
      <c r="AY646" s="176"/>
      <c r="AZ646" s="176"/>
      <c r="BA646" s="176"/>
      <c r="BB646" s="176"/>
      <c r="BC646" s="176"/>
      <c r="BD646" s="176"/>
      <c r="BE646" s="176"/>
      <c r="BF646" s="176"/>
      <c r="BG646" s="176"/>
      <c r="BH646" s="176"/>
      <c r="BI646" s="176"/>
      <c r="BJ646" s="176"/>
      <c r="BK646" s="176"/>
      <c r="BL646" s="176"/>
      <c r="BM646" s="176"/>
      <c r="BN646" s="176"/>
      <c r="BO646" s="176"/>
      <c r="BP646" s="176"/>
      <c r="BQ646" s="176"/>
      <c r="BR646" s="176"/>
      <c r="BS646" s="176">
        <v>203.48</v>
      </c>
      <c r="BT646" s="176">
        <v>203.48</v>
      </c>
      <c r="BU646" s="176">
        <v>203.48</v>
      </c>
      <c r="BV646" s="176">
        <v>203.48</v>
      </c>
      <c r="BW646" s="176">
        <v>203.48</v>
      </c>
      <c r="BX646" s="176"/>
      <c r="BY646" s="191"/>
      <c r="BZ646" s="191"/>
      <c r="CA646" s="191"/>
      <c r="CC646" s="182"/>
    </row>
    <row r="647" spans="1:81" s="178" customFormat="1" ht="15.75" customHeight="1">
      <c r="A647" s="226"/>
      <c r="B647" s="227"/>
      <c r="C647" s="227"/>
      <c r="D647" s="227"/>
      <c r="E647" s="227"/>
      <c r="F647" s="227"/>
      <c r="G647" s="227"/>
      <c r="H647" s="227"/>
      <c r="I647" s="175" t="s">
        <v>351</v>
      </c>
      <c r="J647" s="175"/>
      <c r="K647" s="175"/>
      <c r="L647" s="175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7"/>
      <c r="Z647" s="176"/>
      <c r="AA647" s="176"/>
      <c r="AB647" s="176"/>
      <c r="AC647" s="176"/>
      <c r="AD647" s="176"/>
      <c r="AE647" s="176"/>
      <c r="AF647" s="176"/>
      <c r="AG647" s="176"/>
      <c r="AH647" s="176"/>
      <c r="AI647" s="176"/>
      <c r="AJ647" s="176"/>
      <c r="AK647" s="176"/>
      <c r="AL647" s="176"/>
      <c r="AM647" s="176"/>
      <c r="AN647" s="176"/>
      <c r="AO647" s="176"/>
      <c r="AP647" s="176"/>
      <c r="AQ647" s="176"/>
      <c r="AR647" s="176"/>
      <c r="AS647" s="176"/>
      <c r="AT647" s="176"/>
      <c r="AU647" s="176"/>
      <c r="AV647" s="176"/>
      <c r="AW647" s="176"/>
      <c r="AX647" s="176"/>
      <c r="AY647" s="176"/>
      <c r="AZ647" s="176"/>
      <c r="BA647" s="176"/>
      <c r="BB647" s="176"/>
      <c r="BC647" s="176"/>
      <c r="BD647" s="176"/>
      <c r="BE647" s="176"/>
      <c r="BF647" s="176">
        <f>102.19+510.93</f>
        <v>613.12</v>
      </c>
      <c r="BG647" s="176"/>
      <c r="BH647" s="176">
        <v>500</v>
      </c>
      <c r="BI647" s="176"/>
      <c r="BJ647" s="176"/>
      <c r="BK647" s="176"/>
      <c r="BL647" s="176"/>
      <c r="BM647" s="176"/>
      <c r="BN647" s="176"/>
      <c r="BO647" s="176"/>
      <c r="BP647" s="176"/>
      <c r="BQ647" s="176"/>
      <c r="BR647" s="176"/>
      <c r="BS647" s="176"/>
      <c r="BT647" s="176"/>
      <c r="BU647" s="176"/>
      <c r="BV647" s="176"/>
      <c r="BW647" s="176"/>
      <c r="BX647" s="176"/>
      <c r="BY647" s="191"/>
      <c r="BZ647" s="191"/>
      <c r="CA647" s="191"/>
      <c r="CC647" s="182"/>
    </row>
    <row r="648" spans="1:81" s="178" customFormat="1" ht="15.75" customHeight="1">
      <c r="A648" s="226"/>
      <c r="B648" s="227"/>
      <c r="C648" s="227"/>
      <c r="D648" s="227"/>
      <c r="E648" s="227"/>
      <c r="F648" s="227"/>
      <c r="G648" s="227"/>
      <c r="H648" s="227"/>
      <c r="I648" s="175" t="s">
        <v>353</v>
      </c>
      <c r="J648" s="175"/>
      <c r="K648" s="175"/>
      <c r="L648" s="175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  <c r="AA648" s="176"/>
      <c r="AB648" s="176"/>
      <c r="AC648" s="176"/>
      <c r="AD648" s="176"/>
      <c r="AE648" s="176"/>
      <c r="AF648" s="176"/>
      <c r="AG648" s="176"/>
      <c r="AH648" s="176"/>
      <c r="AI648" s="176"/>
      <c r="AJ648" s="176"/>
      <c r="AK648" s="176"/>
      <c r="AL648" s="176"/>
      <c r="AM648" s="176"/>
      <c r="AN648" s="176"/>
      <c r="AO648" s="176"/>
      <c r="AP648" s="176"/>
      <c r="AQ648" s="176"/>
      <c r="AR648" s="176"/>
      <c r="AS648" s="176"/>
      <c r="AT648" s="176"/>
      <c r="AU648" s="176"/>
      <c r="AV648" s="176"/>
      <c r="AW648" s="176"/>
      <c r="AX648" s="176"/>
      <c r="AY648" s="176"/>
      <c r="AZ648" s="176"/>
      <c r="BA648" s="176"/>
      <c r="BB648" s="176"/>
      <c r="BC648" s="176"/>
      <c r="BD648" s="176"/>
      <c r="BE648" s="176"/>
      <c r="BF648" s="176"/>
      <c r="BG648" s="176"/>
      <c r="BH648" s="176"/>
      <c r="BI648" s="176"/>
      <c r="BJ648" s="176"/>
      <c r="BK648" s="176"/>
      <c r="BL648" s="176"/>
      <c r="BM648" s="176"/>
      <c r="BN648" s="176"/>
      <c r="BO648" s="176"/>
      <c r="BP648" s="176"/>
      <c r="BQ648" s="176"/>
      <c r="BR648" s="176"/>
      <c r="BS648" s="176"/>
      <c r="BT648" s="176"/>
      <c r="BU648" s="176"/>
      <c r="BV648" s="176"/>
      <c r="BW648" s="176"/>
      <c r="BX648" s="176"/>
      <c r="BY648" s="191"/>
      <c r="BZ648" s="191"/>
      <c r="CA648" s="191"/>
      <c r="CC648" s="182"/>
    </row>
    <row r="649" spans="1:81" s="178" customFormat="1" ht="15.75" customHeight="1">
      <c r="A649" s="226"/>
      <c r="B649" s="227"/>
      <c r="C649" s="227"/>
      <c r="D649" s="227"/>
      <c r="E649" s="227"/>
      <c r="F649" s="227"/>
      <c r="G649" s="227"/>
      <c r="H649" s="227"/>
      <c r="I649" s="175" t="s">
        <v>354</v>
      </c>
      <c r="J649" s="175"/>
      <c r="K649" s="175"/>
      <c r="L649" s="175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  <c r="AA649" s="176"/>
      <c r="AB649" s="176"/>
      <c r="AC649" s="176"/>
      <c r="AD649" s="176"/>
      <c r="AE649" s="176"/>
      <c r="AF649" s="176"/>
      <c r="AG649" s="176"/>
      <c r="AH649" s="176"/>
      <c r="AI649" s="176"/>
      <c r="AJ649" s="176"/>
      <c r="AK649" s="176"/>
      <c r="AL649" s="176"/>
      <c r="AM649" s="176"/>
      <c r="AN649" s="176"/>
      <c r="AO649" s="176"/>
      <c r="AP649" s="176"/>
      <c r="AQ649" s="176"/>
      <c r="AR649" s="176"/>
      <c r="AS649" s="176"/>
      <c r="AT649" s="176"/>
      <c r="AU649" s="176"/>
      <c r="AV649" s="176"/>
      <c r="AW649" s="176"/>
      <c r="AX649" s="176"/>
      <c r="AY649" s="176"/>
      <c r="AZ649" s="176"/>
      <c r="BA649" s="176"/>
      <c r="BB649" s="176"/>
      <c r="BC649" s="176"/>
      <c r="BD649" s="176"/>
      <c r="BE649" s="176"/>
      <c r="BF649" s="176"/>
      <c r="BG649" s="176"/>
      <c r="BH649" s="176"/>
      <c r="BI649" s="176"/>
      <c r="BJ649" s="176"/>
      <c r="BK649" s="176"/>
      <c r="BL649" s="176">
        <v>1500</v>
      </c>
      <c r="BM649" s="176"/>
      <c r="BN649" s="176"/>
      <c r="BO649" s="176"/>
      <c r="BP649" s="176"/>
      <c r="BQ649" s="176"/>
      <c r="BR649" s="176"/>
      <c r="BS649" s="176"/>
      <c r="BT649" s="176"/>
      <c r="BU649" s="176"/>
      <c r="BV649" s="176"/>
      <c r="BW649" s="176"/>
      <c r="BX649" s="176"/>
      <c r="BY649" s="191"/>
      <c r="BZ649" s="191"/>
      <c r="CA649" s="191"/>
      <c r="CC649" s="182"/>
    </row>
    <row r="650" spans="1:81" s="178" customFormat="1" ht="15.75" customHeight="1">
      <c r="A650" s="226"/>
      <c r="B650" s="227"/>
      <c r="C650" s="227"/>
      <c r="D650" s="227"/>
      <c r="E650" s="227"/>
      <c r="F650" s="227"/>
      <c r="G650" s="227"/>
      <c r="H650" s="227"/>
      <c r="I650" s="175" t="s">
        <v>355</v>
      </c>
      <c r="J650" s="175"/>
      <c r="K650" s="175"/>
      <c r="L650" s="175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  <c r="AA650" s="176"/>
      <c r="AB650" s="176"/>
      <c r="AC650" s="176"/>
      <c r="AD650" s="176"/>
      <c r="AE650" s="176"/>
      <c r="AF650" s="176"/>
      <c r="AG650" s="176"/>
      <c r="AH650" s="176"/>
      <c r="AI650" s="176"/>
      <c r="AJ650" s="176"/>
      <c r="AK650" s="176"/>
      <c r="AL650" s="176"/>
      <c r="AM650" s="176"/>
      <c r="AN650" s="176"/>
      <c r="AO650" s="176"/>
      <c r="AP650" s="176"/>
      <c r="AQ650" s="176"/>
      <c r="AR650" s="176"/>
      <c r="AS650" s="176"/>
      <c r="AT650" s="176"/>
      <c r="AU650" s="176"/>
      <c r="AV650" s="176"/>
      <c r="AW650" s="176"/>
      <c r="AX650" s="176"/>
      <c r="AY650" s="176"/>
      <c r="AZ650" s="176"/>
      <c r="BA650" s="176"/>
      <c r="BB650" s="176"/>
      <c r="BC650" s="176"/>
      <c r="BD650" s="176"/>
      <c r="BE650" s="176"/>
      <c r="BF650" s="176"/>
      <c r="BG650" s="176"/>
      <c r="BH650" s="176"/>
      <c r="BI650" s="176"/>
      <c r="BJ650" s="176"/>
      <c r="BK650" s="176"/>
      <c r="BL650" s="176"/>
      <c r="BM650" s="176"/>
      <c r="BN650" s="176"/>
      <c r="BO650" s="176"/>
      <c r="BP650" s="176"/>
      <c r="BQ650" s="176"/>
      <c r="BR650" s="176"/>
      <c r="BS650" s="176"/>
      <c r="BT650" s="176"/>
      <c r="BU650" s="176"/>
      <c r="BV650" s="176"/>
      <c r="BW650" s="176"/>
      <c r="BX650" s="176"/>
      <c r="BY650" s="191"/>
      <c r="BZ650" s="191"/>
      <c r="CA650" s="191"/>
      <c r="CC650" s="182"/>
    </row>
    <row r="651" spans="1:81" s="178" customFormat="1" ht="15.75" customHeight="1">
      <c r="A651" s="226"/>
      <c r="B651" s="227"/>
      <c r="C651" s="227"/>
      <c r="D651" s="227"/>
      <c r="E651" s="227"/>
      <c r="F651" s="227"/>
      <c r="G651" s="227"/>
      <c r="H651" s="227"/>
      <c r="I651" s="175" t="s">
        <v>357</v>
      </c>
      <c r="J651" s="175"/>
      <c r="K651" s="175"/>
      <c r="L651" s="175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  <c r="AA651" s="176"/>
      <c r="AB651" s="176"/>
      <c r="AC651" s="176"/>
      <c r="AD651" s="176"/>
      <c r="AE651" s="176"/>
      <c r="AF651" s="176"/>
      <c r="AG651" s="176"/>
      <c r="AH651" s="176"/>
      <c r="AI651" s="176"/>
      <c r="AJ651" s="176"/>
      <c r="AK651" s="176"/>
      <c r="AL651" s="176"/>
      <c r="AM651" s="176"/>
      <c r="AN651" s="176"/>
      <c r="AO651" s="176"/>
      <c r="AP651" s="176"/>
      <c r="AQ651" s="176"/>
      <c r="AR651" s="176"/>
      <c r="AS651" s="176"/>
      <c r="AT651" s="176"/>
      <c r="AU651" s="176"/>
      <c r="AV651" s="176"/>
      <c r="AW651" s="176"/>
      <c r="AX651" s="176"/>
      <c r="AY651" s="176"/>
      <c r="AZ651" s="176"/>
      <c r="BA651" s="176"/>
      <c r="BB651" s="176"/>
      <c r="BC651" s="176"/>
      <c r="BD651" s="176">
        <v>468.21</v>
      </c>
      <c r="BE651" s="176">
        <v>439.41</v>
      </c>
      <c r="BF651" s="176">
        <v>458.61</v>
      </c>
      <c r="BG651" s="176">
        <v>439.46</v>
      </c>
      <c r="BH651" s="176">
        <v>458.61</v>
      </c>
      <c r="BI651" s="176">
        <v>458.61</v>
      </c>
      <c r="BJ651" s="176">
        <v>550.4</v>
      </c>
      <c r="BK651" s="176">
        <f>249.6+320</f>
        <v>569.6</v>
      </c>
      <c r="BL651" s="176">
        <f>320+252</f>
        <v>572</v>
      </c>
      <c r="BM651" s="176">
        <f>325.5+320</f>
        <v>645.5</v>
      </c>
      <c r="BN651" s="176">
        <f>320+252</f>
        <v>572</v>
      </c>
      <c r="BO651" s="176">
        <f>328+320</f>
        <v>648</v>
      </c>
      <c r="BP651" s="176">
        <f>320+312.5</f>
        <v>632.5</v>
      </c>
      <c r="BQ651" s="176">
        <f>504+320</f>
        <v>824</v>
      </c>
      <c r="BR651" s="176">
        <f>514.5+320</f>
        <v>834.5</v>
      </c>
      <c r="BS651" s="176">
        <f>441+320</f>
        <v>761</v>
      </c>
      <c r="BT651" s="176"/>
      <c r="BU651" s="176">
        <f>273+320</f>
        <v>593</v>
      </c>
      <c r="BV651" s="176">
        <f>252+320</f>
        <v>572</v>
      </c>
      <c r="BW651" s="176">
        <v>593</v>
      </c>
      <c r="BX651" s="176"/>
      <c r="BY651" s="191"/>
      <c r="BZ651" s="191"/>
      <c r="CA651" s="191"/>
      <c r="CC651" s="182"/>
    </row>
    <row r="652" spans="1:81" s="178" customFormat="1" ht="15.75" customHeight="1">
      <c r="A652" s="226"/>
      <c r="B652" s="227"/>
      <c r="C652" s="227"/>
      <c r="D652" s="227"/>
      <c r="E652" s="227"/>
      <c r="F652" s="227"/>
      <c r="G652" s="227"/>
      <c r="H652" s="227"/>
      <c r="I652" s="184" t="s">
        <v>362</v>
      </c>
      <c r="J652" s="175"/>
      <c r="K652" s="175"/>
      <c r="L652" s="175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  <c r="AA652" s="176"/>
      <c r="AB652" s="176"/>
      <c r="AC652" s="176"/>
      <c r="AD652" s="176"/>
      <c r="AE652" s="176"/>
      <c r="AF652" s="176"/>
      <c r="AG652" s="176"/>
      <c r="AH652" s="176"/>
      <c r="AI652" s="176"/>
      <c r="AJ652" s="176"/>
      <c r="AK652" s="176"/>
      <c r="AL652" s="176"/>
      <c r="AM652" s="176"/>
      <c r="AN652" s="176"/>
      <c r="AO652" s="176"/>
      <c r="AP652" s="176"/>
      <c r="AQ652" s="176"/>
      <c r="AR652" s="176"/>
      <c r="AS652" s="176"/>
      <c r="AT652" s="176"/>
      <c r="AU652" s="176"/>
      <c r="AV652" s="176"/>
      <c r="AW652" s="176"/>
      <c r="AX652" s="176"/>
      <c r="AY652" s="176"/>
      <c r="AZ652" s="176"/>
      <c r="BA652" s="176"/>
      <c r="BB652" s="176"/>
      <c r="BC652" s="176"/>
      <c r="BD652" s="176"/>
      <c r="BE652" s="176"/>
      <c r="BF652" s="176"/>
      <c r="BG652" s="176"/>
      <c r="BH652" s="176"/>
      <c r="BI652" s="176"/>
      <c r="BJ652" s="176"/>
      <c r="BK652" s="176"/>
      <c r="BL652" s="176"/>
      <c r="BM652" s="176"/>
      <c r="BN652" s="176"/>
      <c r="BO652" s="176"/>
      <c r="BP652" s="176"/>
      <c r="BQ652" s="176"/>
      <c r="BR652" s="176"/>
      <c r="BS652" s="176"/>
      <c r="BT652" s="176"/>
      <c r="BU652" s="176"/>
      <c r="BV652" s="176"/>
      <c r="BW652" s="176">
        <f>18.84+94.21</f>
        <v>113.05</v>
      </c>
      <c r="BX652" s="176"/>
      <c r="BY652" s="191"/>
      <c r="BZ652" s="191"/>
      <c r="CA652" s="191"/>
      <c r="CC652" s="182"/>
    </row>
    <row r="653" spans="1:81" s="178" customFormat="1">
      <c r="A653" s="226"/>
      <c r="B653" s="227"/>
      <c r="C653" s="227"/>
      <c r="D653" s="227"/>
      <c r="E653" s="227"/>
      <c r="F653" s="227"/>
      <c r="G653" s="227"/>
      <c r="H653" s="227"/>
      <c r="I653" s="190" t="s">
        <v>363</v>
      </c>
      <c r="J653" s="190"/>
      <c r="K653" s="190"/>
      <c r="L653" s="190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  <c r="AA653" s="176"/>
      <c r="AB653" s="176"/>
      <c r="AC653" s="176"/>
      <c r="AD653" s="176"/>
      <c r="AE653" s="176"/>
      <c r="AF653" s="176"/>
      <c r="AG653" s="176"/>
      <c r="AH653" s="176"/>
      <c r="AI653" s="176"/>
      <c r="AJ653" s="176"/>
      <c r="AK653" s="176"/>
      <c r="AL653" s="176"/>
      <c r="AM653" s="176"/>
      <c r="AN653" s="176"/>
      <c r="AO653" s="176"/>
      <c r="AP653" s="176"/>
      <c r="AQ653" s="176"/>
      <c r="AR653" s="176"/>
      <c r="AS653" s="176"/>
      <c r="AT653" s="176"/>
      <c r="AU653" s="176"/>
      <c r="AV653" s="176"/>
      <c r="AW653" s="176"/>
      <c r="AX653" s="176"/>
      <c r="AY653" s="176"/>
      <c r="AZ653" s="176"/>
      <c r="BA653" s="176"/>
      <c r="BB653" s="176"/>
      <c r="BC653" s="176"/>
      <c r="BD653" s="176"/>
      <c r="BE653" s="176"/>
      <c r="BF653" s="176"/>
      <c r="BG653" s="176"/>
      <c r="BH653" s="176"/>
      <c r="BI653" s="176"/>
      <c r="BJ653" s="176"/>
      <c r="BK653" s="176"/>
      <c r="BL653" s="176"/>
      <c r="BM653" s="176"/>
      <c r="BN653" s="176"/>
      <c r="BO653" s="176"/>
      <c r="BP653" s="176"/>
      <c r="BQ653" s="176"/>
      <c r="BR653" s="176"/>
      <c r="BS653" s="176"/>
      <c r="BT653" s="176"/>
      <c r="BU653" s="176"/>
      <c r="BV653" s="176"/>
      <c r="BX653" s="176"/>
      <c r="BY653" s="191"/>
      <c r="BZ653" s="191"/>
    </row>
    <row r="654" spans="1:81" s="178" customFormat="1">
      <c r="A654" s="226"/>
      <c r="B654" s="227"/>
      <c r="C654" s="227"/>
      <c r="D654" s="227"/>
      <c r="E654" s="227"/>
      <c r="F654" s="227"/>
      <c r="G654" s="227"/>
      <c r="H654" s="227"/>
      <c r="I654" s="193" t="s">
        <v>373</v>
      </c>
      <c r="J654" s="193"/>
      <c r="K654" s="193"/>
      <c r="L654" s="193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  <c r="AA654" s="176"/>
      <c r="AB654" s="176"/>
      <c r="AC654" s="176"/>
      <c r="AD654" s="176"/>
      <c r="AE654" s="176"/>
      <c r="AF654" s="176"/>
      <c r="AG654" s="176"/>
      <c r="AH654" s="176"/>
      <c r="AI654" s="176"/>
      <c r="AJ654" s="176"/>
      <c r="AK654" s="176"/>
      <c r="AL654" s="176"/>
      <c r="AM654" s="176"/>
      <c r="AN654" s="176"/>
      <c r="AO654" s="176"/>
      <c r="AP654" s="176"/>
      <c r="AQ654" s="176"/>
      <c r="AR654" s="176"/>
      <c r="AS654" s="176"/>
      <c r="AT654" s="176"/>
      <c r="AU654" s="176"/>
      <c r="AV654" s="176"/>
      <c r="AW654" s="176"/>
      <c r="AX654" s="176"/>
      <c r="AY654" s="176"/>
      <c r="AZ654" s="176"/>
      <c r="BA654" s="176"/>
      <c r="BB654" s="176"/>
      <c r="BC654" s="176"/>
      <c r="BD654" s="176">
        <v>145.30000000000001</v>
      </c>
      <c r="BE654" s="176">
        <v>295.3</v>
      </c>
      <c r="BF654" s="176">
        <v>350.48</v>
      </c>
      <c r="BG654" s="176">
        <v>313.63</v>
      </c>
      <c r="BH654" s="176">
        <v>645.29999999999995</v>
      </c>
      <c r="BI654" s="176">
        <v>254.7</v>
      </c>
      <c r="BJ654" s="176">
        <v>254.7</v>
      </c>
      <c r="BK654" s="176">
        <v>254.7</v>
      </c>
      <c r="BL654" s="176">
        <v>254.7</v>
      </c>
      <c r="BM654" s="176">
        <v>254.7</v>
      </c>
      <c r="BN654" s="176">
        <v>254.7</v>
      </c>
      <c r="BO654" s="176">
        <v>254.7</v>
      </c>
      <c r="BP654" s="176">
        <v>254.7</v>
      </c>
      <c r="BQ654" s="176">
        <v>254.7</v>
      </c>
      <c r="BR654" s="176">
        <v>254.7</v>
      </c>
      <c r="BS654" s="176">
        <v>254.7</v>
      </c>
      <c r="BT654" s="176">
        <v>214.65</v>
      </c>
      <c r="BU654" s="176">
        <v>214.65</v>
      </c>
      <c r="BV654" s="176">
        <v>214.65</v>
      </c>
      <c r="BW654" s="176">
        <f>1003.24-739.92</f>
        <v>263.32000000000005</v>
      </c>
      <c r="BX654" s="176"/>
      <c r="BY654" s="191"/>
      <c r="BZ654" s="191"/>
    </row>
    <row r="655" spans="1:81" s="178" customFormat="1">
      <c r="A655" s="226"/>
      <c r="B655" s="227"/>
      <c r="C655" s="227"/>
      <c r="D655" s="227"/>
      <c r="E655" s="227"/>
      <c r="F655" s="227"/>
      <c r="G655" s="227"/>
      <c r="H655" s="227"/>
      <c r="I655" s="190"/>
      <c r="J655" s="176">
        <f>SUM(J644:J653)-J654</f>
        <v>0</v>
      </c>
      <c r="K655" s="176">
        <f t="shared" ref="K655:Y655" si="324">SUM(K644:K653)-K654</f>
        <v>0</v>
      </c>
      <c r="L655" s="176">
        <f t="shared" si="324"/>
        <v>0</v>
      </c>
      <c r="M655" s="176">
        <f t="shared" si="324"/>
        <v>0</v>
      </c>
      <c r="N655" s="176">
        <f t="shared" si="324"/>
        <v>0</v>
      </c>
      <c r="O655" s="176">
        <f t="shared" si="324"/>
        <v>0</v>
      </c>
      <c r="P655" s="176">
        <f t="shared" si="324"/>
        <v>0</v>
      </c>
      <c r="Q655" s="176">
        <f t="shared" si="324"/>
        <v>0</v>
      </c>
      <c r="R655" s="176">
        <f t="shared" si="324"/>
        <v>0</v>
      </c>
      <c r="S655" s="176">
        <f t="shared" si="324"/>
        <v>0</v>
      </c>
      <c r="T655" s="176">
        <f t="shared" si="324"/>
        <v>0</v>
      </c>
      <c r="U655" s="176">
        <f t="shared" si="324"/>
        <v>0</v>
      </c>
      <c r="V655" s="176">
        <f t="shared" si="324"/>
        <v>0</v>
      </c>
      <c r="W655" s="176">
        <f t="shared" si="324"/>
        <v>0</v>
      </c>
      <c r="X655" s="176">
        <f t="shared" si="324"/>
        <v>0</v>
      </c>
      <c r="Y655" s="176">
        <f t="shared" si="324"/>
        <v>0</v>
      </c>
      <c r="Z655" s="176">
        <f>SUM(Z644:Z653)-Z654</f>
        <v>0</v>
      </c>
      <c r="AA655" s="176">
        <f t="shared" ref="AA655:AD655" si="325">SUM(AA644:AA653)-AA654</f>
        <v>0</v>
      </c>
      <c r="AB655" s="176">
        <f t="shared" si="325"/>
        <v>0</v>
      </c>
      <c r="AC655" s="176">
        <f t="shared" si="325"/>
        <v>0</v>
      </c>
      <c r="AD655" s="176">
        <f t="shared" si="325"/>
        <v>0</v>
      </c>
      <c r="AE655" s="176">
        <f>SUM(AE644:AE653)-AE654</f>
        <v>0</v>
      </c>
      <c r="AF655" s="176">
        <f>SUM(AF644:AF653)-AF654</f>
        <v>0</v>
      </c>
      <c r="AG655" s="176">
        <f t="shared" ref="AG655:AP655" si="326">SUM(AG644:AG653)-AG654</f>
        <v>0</v>
      </c>
      <c r="AH655" s="176">
        <f t="shared" si="326"/>
        <v>0</v>
      </c>
      <c r="AI655" s="176">
        <f t="shared" si="326"/>
        <v>0</v>
      </c>
      <c r="AJ655" s="176">
        <f t="shared" si="326"/>
        <v>0</v>
      </c>
      <c r="AK655" s="176">
        <f t="shared" si="326"/>
        <v>0</v>
      </c>
      <c r="AL655" s="176">
        <f t="shared" si="326"/>
        <v>0</v>
      </c>
      <c r="AM655" s="176">
        <f t="shared" si="326"/>
        <v>0</v>
      </c>
      <c r="AN655" s="176">
        <f t="shared" si="326"/>
        <v>0</v>
      </c>
      <c r="AO655" s="176">
        <f t="shared" si="326"/>
        <v>0</v>
      </c>
      <c r="AP655" s="176">
        <f t="shared" si="326"/>
        <v>0</v>
      </c>
      <c r="AQ655" s="176">
        <f t="shared" ref="AQ655:AU655" si="327">SUM(AQ644:AQ653)-AQ654</f>
        <v>0</v>
      </c>
      <c r="AR655" s="176">
        <f t="shared" si="327"/>
        <v>0</v>
      </c>
      <c r="AS655" s="176">
        <f t="shared" si="327"/>
        <v>0</v>
      </c>
      <c r="AT655" s="176">
        <f t="shared" si="327"/>
        <v>0</v>
      </c>
      <c r="AU655" s="176">
        <f t="shared" si="327"/>
        <v>0</v>
      </c>
      <c r="AV655" s="176">
        <f>SUM(AV644:AV653)-AV654</f>
        <v>0</v>
      </c>
      <c r="AW655" s="176">
        <f t="shared" ref="AW655:BA655" si="328">SUM(AW644:AW653)-AW654</f>
        <v>0</v>
      </c>
      <c r="AX655" s="176">
        <f t="shared" si="328"/>
        <v>0</v>
      </c>
      <c r="AY655" s="176">
        <f t="shared" si="328"/>
        <v>0</v>
      </c>
      <c r="AZ655" s="176">
        <f t="shared" si="328"/>
        <v>0</v>
      </c>
      <c r="BA655" s="176">
        <f t="shared" si="328"/>
        <v>0</v>
      </c>
      <c r="BB655" s="176"/>
      <c r="BC655" s="176"/>
      <c r="BD655" s="176">
        <f>BD645+BD651-BD654</f>
        <v>2172.7199999999998</v>
      </c>
      <c r="BE655" s="176">
        <f>BE645+BE651-BE654</f>
        <v>1993.9199999999998</v>
      </c>
      <c r="BF655" s="176">
        <f>BF645+BF647+BF651-BF654</f>
        <v>2571.06</v>
      </c>
      <c r="BG655" s="176">
        <f t="shared" ref="BG655:BI655" si="329">BG645+BG651-BG654</f>
        <v>1975.6399999999999</v>
      </c>
      <c r="BH655" s="176">
        <f>BH645+BH647+BH651-BH654</f>
        <v>2163.12</v>
      </c>
      <c r="BI655" s="176">
        <f t="shared" si="329"/>
        <v>2053.7200000000003</v>
      </c>
      <c r="BJ655" s="176">
        <f>BJ645+BJ651-BJ654</f>
        <v>2145.5100000000002</v>
      </c>
      <c r="BK655" s="176">
        <f>BK645+BK651-BK654</f>
        <v>2229.5100000000002</v>
      </c>
      <c r="BL655" s="176">
        <f t="shared" ref="BL655:BR655" si="330">BL645+BL651-BL654+BL649</f>
        <v>3731.91</v>
      </c>
      <c r="BM655" s="176">
        <f t="shared" si="330"/>
        <v>2305.41</v>
      </c>
      <c r="BN655" s="176">
        <f t="shared" si="330"/>
        <v>2231.91</v>
      </c>
      <c r="BO655" s="176">
        <f t="shared" si="330"/>
        <v>2307.91</v>
      </c>
      <c r="BP655" s="176">
        <f t="shared" si="330"/>
        <v>2292.41</v>
      </c>
      <c r="BQ655" s="176">
        <f t="shared" si="330"/>
        <v>2483.91</v>
      </c>
      <c r="BR655" s="176">
        <f t="shared" si="330"/>
        <v>2494.41</v>
      </c>
      <c r="BS655" s="176">
        <f>BS645+BS651-BS654+BS649+BS646</f>
        <v>2624.39</v>
      </c>
      <c r="BT655" s="176">
        <f t="shared" ref="BT655:BW655" si="331">BT645+BT651-BT654+BT649+BT646</f>
        <v>2691.92</v>
      </c>
      <c r="BU655" s="176">
        <f t="shared" si="331"/>
        <v>2431.64</v>
      </c>
      <c r="BV655" s="176">
        <f t="shared" si="331"/>
        <v>2478.1799999999998</v>
      </c>
      <c r="BW655" s="176">
        <f t="shared" si="331"/>
        <v>2450.5099999999998</v>
      </c>
      <c r="BX655" s="176">
        <f>SUM(BD655:BW655)</f>
        <v>47829.71</v>
      </c>
      <c r="BY655" s="191"/>
      <c r="BZ655" s="191"/>
    </row>
    <row r="656" spans="1:81" ht="15.6" customHeight="1">
      <c r="A656" s="148" t="s">
        <v>346</v>
      </c>
      <c r="B656" s="148" t="s">
        <v>347</v>
      </c>
      <c r="C656" s="145" t="s">
        <v>310</v>
      </c>
      <c r="D656" s="145" t="s">
        <v>311</v>
      </c>
      <c r="E656" s="148" t="s">
        <v>312</v>
      </c>
      <c r="F656" s="148" t="s">
        <v>348</v>
      </c>
      <c r="G656" s="145" t="s">
        <v>314</v>
      </c>
      <c r="H656" s="145" t="s">
        <v>315</v>
      </c>
      <c r="I656" s="145" t="s">
        <v>349</v>
      </c>
      <c r="J656" s="146">
        <v>44105</v>
      </c>
      <c r="K656" s="146">
        <v>44136</v>
      </c>
      <c r="L656" s="146">
        <v>44166</v>
      </c>
      <c r="M656" s="146">
        <v>44197</v>
      </c>
      <c r="N656" s="146">
        <v>44228</v>
      </c>
      <c r="O656" s="146">
        <v>44256</v>
      </c>
      <c r="P656" s="146">
        <v>44287</v>
      </c>
      <c r="Q656" s="146">
        <v>44317</v>
      </c>
      <c r="R656" s="146">
        <v>44348</v>
      </c>
      <c r="S656" s="146">
        <v>44378</v>
      </c>
      <c r="T656" s="146">
        <v>44409</v>
      </c>
      <c r="U656" s="146">
        <v>44440</v>
      </c>
      <c r="V656" s="146">
        <v>44470</v>
      </c>
      <c r="W656" s="146">
        <v>44501</v>
      </c>
      <c r="X656" s="146">
        <v>44531</v>
      </c>
      <c r="Y656" s="146">
        <v>44562</v>
      </c>
      <c r="Z656" s="146">
        <v>44593</v>
      </c>
      <c r="AA656" s="146">
        <v>44621</v>
      </c>
      <c r="AB656" s="146">
        <v>44652</v>
      </c>
      <c r="AC656" s="146">
        <v>44682</v>
      </c>
      <c r="AD656" s="146">
        <v>44713</v>
      </c>
      <c r="AE656" s="146">
        <v>44743</v>
      </c>
      <c r="AF656" s="146">
        <v>44774</v>
      </c>
      <c r="AG656" s="146">
        <v>44805</v>
      </c>
      <c r="AH656" s="146">
        <v>44835</v>
      </c>
      <c r="AI656" s="146">
        <v>44866</v>
      </c>
      <c r="AJ656" s="146">
        <v>44896</v>
      </c>
      <c r="AK656" s="146">
        <v>44927</v>
      </c>
      <c r="AL656" s="146">
        <v>44958</v>
      </c>
      <c r="AM656" s="146">
        <v>44986</v>
      </c>
      <c r="AN656" s="146">
        <v>45017</v>
      </c>
      <c r="AO656" s="146">
        <v>45047</v>
      </c>
      <c r="AP656" s="146">
        <v>45078</v>
      </c>
      <c r="AQ656" s="146">
        <v>45108</v>
      </c>
      <c r="AR656" s="146">
        <v>45139</v>
      </c>
      <c r="AS656" s="146">
        <v>45170</v>
      </c>
      <c r="AT656" s="146">
        <v>45200</v>
      </c>
      <c r="AU656" s="146">
        <v>45231</v>
      </c>
      <c r="AV656" s="146">
        <v>45261</v>
      </c>
      <c r="AW656" s="146">
        <v>45292</v>
      </c>
      <c r="AX656" s="146">
        <v>45323</v>
      </c>
      <c r="AY656" s="146">
        <v>45352</v>
      </c>
      <c r="AZ656" s="146">
        <v>45383</v>
      </c>
      <c r="BA656" s="146">
        <v>45413</v>
      </c>
      <c r="BB656" s="146">
        <v>45444</v>
      </c>
      <c r="BC656" s="146">
        <v>45474</v>
      </c>
      <c r="BD656" s="146">
        <v>45505</v>
      </c>
      <c r="BE656" s="146">
        <v>45536</v>
      </c>
      <c r="BF656" s="146">
        <v>45566</v>
      </c>
      <c r="BG656" s="146">
        <v>45597</v>
      </c>
      <c r="BH656" s="146">
        <v>45627</v>
      </c>
      <c r="BI656" s="146">
        <v>45658</v>
      </c>
      <c r="BJ656" s="146">
        <v>45689</v>
      </c>
      <c r="BK656" s="146">
        <v>45717</v>
      </c>
      <c r="BL656" s="146"/>
      <c r="BM656" s="146"/>
      <c r="BN656" s="146"/>
      <c r="BO656" s="146"/>
      <c r="BP656" s="146"/>
      <c r="BQ656" s="146"/>
      <c r="BR656" s="146"/>
      <c r="BS656" s="146"/>
      <c r="BT656" s="146"/>
      <c r="BU656" s="146"/>
      <c r="BV656" s="146"/>
      <c r="BW656" s="146"/>
      <c r="BX656" s="147" t="s">
        <v>13</v>
      </c>
      <c r="BY656" s="5"/>
      <c r="BZ656" s="5"/>
      <c r="CA656" s="5"/>
    </row>
    <row r="657" spans="1:81" ht="15.75" customHeight="1">
      <c r="A657" s="240">
        <v>49</v>
      </c>
      <c r="B657" s="241" t="s">
        <v>392</v>
      </c>
      <c r="C657" s="241" t="s">
        <v>23</v>
      </c>
      <c r="D657" s="241" t="s">
        <v>89</v>
      </c>
      <c r="E657" s="241" t="s">
        <v>150</v>
      </c>
      <c r="F657" s="241" t="s">
        <v>150</v>
      </c>
      <c r="G657" s="242">
        <f>'CONSOLIDADO ATIVO INATIVO NOVO'!J63</f>
        <v>45707</v>
      </c>
      <c r="H657" s="242">
        <v>45660</v>
      </c>
      <c r="I657" s="21" t="s">
        <v>390</v>
      </c>
      <c r="J657" s="21"/>
      <c r="K657" s="21"/>
      <c r="L657" s="21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105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1"/>
      <c r="BZ657" s="1"/>
      <c r="CA657" s="1"/>
      <c r="CC657" s="6"/>
    </row>
    <row r="658" spans="1:81" ht="15.75" customHeight="1">
      <c r="A658" s="240"/>
      <c r="B658" s="241"/>
      <c r="C658" s="241"/>
      <c r="D658" s="241"/>
      <c r="E658" s="241"/>
      <c r="F658" s="241"/>
      <c r="G658" s="241"/>
      <c r="H658" s="241"/>
      <c r="I658" s="21" t="s">
        <v>351</v>
      </c>
      <c r="J658" s="21"/>
      <c r="K658" s="21"/>
      <c r="L658" s="21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105"/>
      <c r="BC658" s="3"/>
      <c r="BD658" s="3"/>
      <c r="BE658" s="3"/>
      <c r="BF658" s="3">
        <v>1750.27</v>
      </c>
      <c r="BG658" s="3">
        <v>1849.81</v>
      </c>
      <c r="BH658" s="3">
        <v>1849.81</v>
      </c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1"/>
      <c r="BZ658" s="1"/>
      <c r="CA658" s="1"/>
      <c r="CC658" s="6"/>
    </row>
    <row r="659" spans="1:81" ht="15.75" customHeight="1">
      <c r="A659" s="240"/>
      <c r="B659" s="241"/>
      <c r="C659" s="241"/>
      <c r="D659" s="241"/>
      <c r="E659" s="241"/>
      <c r="F659" s="241"/>
      <c r="G659" s="241"/>
      <c r="H659" s="241"/>
      <c r="I659" s="21" t="s">
        <v>391</v>
      </c>
      <c r="J659" s="21"/>
      <c r="K659" s="21"/>
      <c r="L659" s="21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12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105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1"/>
      <c r="BZ659" s="1"/>
      <c r="CA659" s="1"/>
      <c r="CC659" s="6"/>
    </row>
    <row r="660" spans="1:81" ht="15.75" customHeight="1">
      <c r="A660" s="240"/>
      <c r="B660" s="241"/>
      <c r="C660" s="241"/>
      <c r="D660" s="241"/>
      <c r="E660" s="241"/>
      <c r="F660" s="241"/>
      <c r="G660" s="241"/>
      <c r="H660" s="241"/>
      <c r="I660" s="21" t="s">
        <v>351</v>
      </c>
      <c r="J660" s="21"/>
      <c r="K660" s="21"/>
      <c r="L660" s="21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12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105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1"/>
      <c r="BZ660" s="1"/>
      <c r="CA660" s="1"/>
      <c r="CC660" s="6"/>
    </row>
    <row r="661" spans="1:81" ht="15.75" customHeight="1">
      <c r="A661" s="240"/>
      <c r="B661" s="241"/>
      <c r="C661" s="241"/>
      <c r="D661" s="241"/>
      <c r="E661" s="241"/>
      <c r="F661" s="241"/>
      <c r="G661" s="241"/>
      <c r="H661" s="241"/>
      <c r="I661" s="21" t="s">
        <v>353</v>
      </c>
      <c r="J661" s="21"/>
      <c r="K661" s="21"/>
      <c r="L661" s="21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105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1"/>
      <c r="BZ661" s="1"/>
      <c r="CA661" s="1"/>
      <c r="CC661" s="6"/>
    </row>
    <row r="662" spans="1:81" ht="15.75" customHeight="1">
      <c r="A662" s="240"/>
      <c r="B662" s="241"/>
      <c r="C662" s="241"/>
      <c r="D662" s="241"/>
      <c r="E662" s="241"/>
      <c r="F662" s="241"/>
      <c r="G662" s="241"/>
      <c r="H662" s="241"/>
      <c r="I662" s="21" t="s">
        <v>354</v>
      </c>
      <c r="J662" s="21"/>
      <c r="K662" s="21"/>
      <c r="L662" s="21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105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1"/>
      <c r="BZ662" s="1"/>
      <c r="CA662" s="1"/>
      <c r="CC662" s="6"/>
    </row>
    <row r="663" spans="1:81" ht="15.75" customHeight="1">
      <c r="A663" s="240"/>
      <c r="B663" s="241"/>
      <c r="C663" s="241"/>
      <c r="D663" s="241"/>
      <c r="E663" s="241"/>
      <c r="F663" s="241"/>
      <c r="G663" s="241"/>
      <c r="H663" s="241"/>
      <c r="I663" s="21" t="s">
        <v>355</v>
      </c>
      <c r="J663" s="21"/>
      <c r="K663" s="21"/>
      <c r="L663" s="21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105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1"/>
      <c r="BZ663" s="1"/>
      <c r="CA663" s="1"/>
      <c r="CC663" s="6"/>
    </row>
    <row r="664" spans="1:81" ht="15.75" customHeight="1">
      <c r="A664" s="240"/>
      <c r="B664" s="241"/>
      <c r="C664" s="241"/>
      <c r="D664" s="241"/>
      <c r="E664" s="241"/>
      <c r="F664" s="241"/>
      <c r="G664" s="241"/>
      <c r="H664" s="241"/>
      <c r="I664" s="21" t="s">
        <v>357</v>
      </c>
      <c r="J664" s="21"/>
      <c r="K664" s="21"/>
      <c r="L664" s="21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105"/>
      <c r="BC664" s="3"/>
      <c r="BD664" s="3"/>
      <c r="BE664" s="3"/>
      <c r="BF664" s="3">
        <f>40.39+58.51+415.6</f>
        <v>514.5</v>
      </c>
      <c r="BG664" s="3">
        <v>449.01</v>
      </c>
      <c r="BH664" s="3">
        <v>469.01</v>
      </c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1"/>
      <c r="BZ664" s="1"/>
      <c r="CA664" s="1"/>
      <c r="CC664" s="6"/>
    </row>
    <row r="665" spans="1:81" ht="15.75" customHeight="1">
      <c r="A665" s="240"/>
      <c r="B665" s="241"/>
      <c r="C665" s="241"/>
      <c r="D665" s="241"/>
      <c r="E665" s="241"/>
      <c r="F665" s="241"/>
      <c r="G665" s="241"/>
      <c r="H665" s="241"/>
      <c r="I665" s="23" t="s">
        <v>362</v>
      </c>
      <c r="J665" s="21"/>
      <c r="K665" s="21"/>
      <c r="L665" s="21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105"/>
      <c r="BC665" s="3"/>
      <c r="BD665" s="3"/>
      <c r="BE665" s="3"/>
      <c r="BF665" s="3"/>
      <c r="BG665" s="3"/>
      <c r="BH665" s="3"/>
      <c r="BI665" s="3">
        <v>2593.85</v>
      </c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1"/>
      <c r="BZ665" s="1"/>
      <c r="CA665" s="1"/>
      <c r="CC665" s="6"/>
    </row>
    <row r="666" spans="1:81">
      <c r="A666" s="240"/>
      <c r="B666" s="241"/>
      <c r="C666" s="241"/>
      <c r="D666" s="241"/>
      <c r="E666" s="241"/>
      <c r="F666" s="241"/>
      <c r="G666" s="241"/>
      <c r="H666" s="241"/>
      <c r="I666" s="22" t="s">
        <v>363</v>
      </c>
      <c r="J666" s="22"/>
      <c r="K666" s="22"/>
      <c r="L666" s="2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105"/>
      <c r="BC666" s="3"/>
      <c r="BD666" s="3"/>
      <c r="BE666" s="3"/>
      <c r="BF666" s="3"/>
      <c r="BG666" s="30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1"/>
      <c r="BZ666" s="1"/>
    </row>
    <row r="667" spans="1:81">
      <c r="A667" s="240"/>
      <c r="B667" s="241"/>
      <c r="C667" s="241"/>
      <c r="D667" s="241"/>
      <c r="E667" s="241"/>
      <c r="F667" s="241"/>
      <c r="G667" s="241"/>
      <c r="H667" s="241"/>
      <c r="I667" s="44" t="s">
        <v>373</v>
      </c>
      <c r="J667" s="44"/>
      <c r="K667" s="44"/>
      <c r="L667" s="4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105"/>
      <c r="BC667" s="3"/>
      <c r="BD667" s="3"/>
      <c r="BE667" s="3"/>
      <c r="BF667" s="3">
        <v>136.34</v>
      </c>
      <c r="BG667" s="3">
        <v>145.30000000000001</v>
      </c>
      <c r="BH667" s="3">
        <v>145.30000000000001</v>
      </c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1"/>
      <c r="BZ667" s="1"/>
    </row>
    <row r="668" spans="1:81">
      <c r="A668" s="240"/>
      <c r="B668" s="241"/>
      <c r="C668" s="241"/>
      <c r="D668" s="241"/>
      <c r="E668" s="241"/>
      <c r="F668" s="241"/>
      <c r="G668" s="241"/>
      <c r="H668" s="241"/>
      <c r="I668" s="22"/>
      <c r="J668" s="3">
        <f>SUM(J657:J666)-J667</f>
        <v>0</v>
      </c>
      <c r="K668" s="3">
        <f t="shared" ref="K668:Y668" si="332">SUM(K657:K666)-K667</f>
        <v>0</v>
      </c>
      <c r="L668" s="3">
        <f t="shared" si="332"/>
        <v>0</v>
      </c>
      <c r="M668" s="3">
        <f t="shared" si="332"/>
        <v>0</v>
      </c>
      <c r="N668" s="3">
        <f t="shared" si="332"/>
        <v>0</v>
      </c>
      <c r="O668" s="3">
        <f t="shared" si="332"/>
        <v>0</v>
      </c>
      <c r="P668" s="3">
        <f t="shared" si="332"/>
        <v>0</v>
      </c>
      <c r="Q668" s="3">
        <f t="shared" si="332"/>
        <v>0</v>
      </c>
      <c r="R668" s="3">
        <f t="shared" si="332"/>
        <v>0</v>
      </c>
      <c r="S668" s="3">
        <f t="shared" si="332"/>
        <v>0</v>
      </c>
      <c r="T668" s="3">
        <f t="shared" si="332"/>
        <v>0</v>
      </c>
      <c r="U668" s="3">
        <f t="shared" si="332"/>
        <v>0</v>
      </c>
      <c r="V668" s="3">
        <f t="shared" si="332"/>
        <v>0</v>
      </c>
      <c r="W668" s="3">
        <f t="shared" si="332"/>
        <v>0</v>
      </c>
      <c r="X668" s="3">
        <f t="shared" si="332"/>
        <v>0</v>
      </c>
      <c r="Y668" s="3">
        <f t="shared" si="332"/>
        <v>0</v>
      </c>
      <c r="Z668" s="3">
        <f>SUM(Z657:Z666)-Z667</f>
        <v>0</v>
      </c>
      <c r="AA668" s="3">
        <f t="shared" ref="AA668:AD668" si="333">SUM(AA657:AA666)-AA667</f>
        <v>0</v>
      </c>
      <c r="AB668" s="3">
        <f t="shared" si="333"/>
        <v>0</v>
      </c>
      <c r="AC668" s="3">
        <f t="shared" si="333"/>
        <v>0</v>
      </c>
      <c r="AD668" s="3">
        <f t="shared" si="333"/>
        <v>0</v>
      </c>
      <c r="AE668" s="3">
        <f>SUM(AE657:AE666)-AE667</f>
        <v>0</v>
      </c>
      <c r="AF668" s="3">
        <f>SUM(AF657:AF666)-AF667</f>
        <v>0</v>
      </c>
      <c r="AG668" s="3">
        <f t="shared" ref="AG668:AP668" si="334">SUM(AG657:AG666)-AG667</f>
        <v>0</v>
      </c>
      <c r="AH668" s="3">
        <f t="shared" si="334"/>
        <v>0</v>
      </c>
      <c r="AI668" s="3">
        <f t="shared" si="334"/>
        <v>0</v>
      </c>
      <c r="AJ668" s="3">
        <f t="shared" si="334"/>
        <v>0</v>
      </c>
      <c r="AK668" s="3">
        <f t="shared" si="334"/>
        <v>0</v>
      </c>
      <c r="AL668" s="3">
        <f t="shared" si="334"/>
        <v>0</v>
      </c>
      <c r="AM668" s="3">
        <f t="shared" si="334"/>
        <v>0</v>
      </c>
      <c r="AN668" s="3">
        <f t="shared" si="334"/>
        <v>0</v>
      </c>
      <c r="AO668" s="3">
        <f t="shared" si="334"/>
        <v>0</v>
      </c>
      <c r="AP668" s="3">
        <f t="shared" si="334"/>
        <v>0</v>
      </c>
      <c r="AQ668" s="3">
        <f t="shared" ref="AQ668:AU668" si="335">SUM(AQ657:AQ666)-AQ667</f>
        <v>0</v>
      </c>
      <c r="AR668" s="3">
        <f t="shared" si="335"/>
        <v>0</v>
      </c>
      <c r="AS668" s="3">
        <f t="shared" si="335"/>
        <v>0</v>
      </c>
      <c r="AT668" s="3">
        <f t="shared" si="335"/>
        <v>0</v>
      </c>
      <c r="AU668" s="3">
        <f t="shared" si="335"/>
        <v>0</v>
      </c>
      <c r="AV668" s="3">
        <f>SUM(AV657:AV666)-AV667</f>
        <v>0</v>
      </c>
      <c r="AW668" s="3">
        <f t="shared" ref="AW668:BA668" si="336">SUM(AW657:AW666)-AW667</f>
        <v>0</v>
      </c>
      <c r="AX668" s="3">
        <f t="shared" si="336"/>
        <v>0</v>
      </c>
      <c r="AY668" s="3">
        <f t="shared" si="336"/>
        <v>0</v>
      </c>
      <c r="AZ668" s="3">
        <f t="shared" si="336"/>
        <v>0</v>
      </c>
      <c r="BA668" s="3">
        <f t="shared" si="336"/>
        <v>0</v>
      </c>
      <c r="BB668" s="105"/>
      <c r="BC668" s="3"/>
      <c r="BD668" s="3"/>
      <c r="BE668" s="3"/>
      <c r="BF668" s="3">
        <f>BF658+BF660+BF664-BF667</f>
        <v>2128.4299999999998</v>
      </c>
      <c r="BG668" s="3">
        <f>BG658+BG660+BG664-BG667</f>
        <v>2153.5199999999995</v>
      </c>
      <c r="BH668" s="3">
        <f>BH658+BH660+BH664-BH667</f>
        <v>2173.5199999999995</v>
      </c>
      <c r="BI668" s="3">
        <v>2593.85</v>
      </c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>
        <f>SUM(J668:BJ668)</f>
        <v>9049.3199999999979</v>
      </c>
      <c r="BY668" s="1"/>
      <c r="BZ668" s="1"/>
    </row>
    <row r="669" spans="1:81" ht="15.6" customHeight="1">
      <c r="A669" s="148" t="s">
        <v>346</v>
      </c>
      <c r="B669" s="148" t="s">
        <v>347</v>
      </c>
      <c r="C669" s="145" t="s">
        <v>310</v>
      </c>
      <c r="D669" s="145" t="s">
        <v>311</v>
      </c>
      <c r="E669" s="148" t="s">
        <v>312</v>
      </c>
      <c r="F669" s="148" t="s">
        <v>348</v>
      </c>
      <c r="G669" s="145" t="s">
        <v>314</v>
      </c>
      <c r="H669" s="145" t="s">
        <v>315</v>
      </c>
      <c r="I669" s="145" t="s">
        <v>349</v>
      </c>
      <c r="J669" s="146">
        <v>44105</v>
      </c>
      <c r="K669" s="146">
        <v>44136</v>
      </c>
      <c r="L669" s="146">
        <v>44166</v>
      </c>
      <c r="M669" s="146">
        <v>44197</v>
      </c>
      <c r="N669" s="146">
        <v>44228</v>
      </c>
      <c r="O669" s="146">
        <v>44256</v>
      </c>
      <c r="P669" s="146">
        <v>44287</v>
      </c>
      <c r="Q669" s="146">
        <v>44317</v>
      </c>
      <c r="R669" s="146">
        <v>44348</v>
      </c>
      <c r="S669" s="146">
        <v>44378</v>
      </c>
      <c r="T669" s="146">
        <v>44409</v>
      </c>
      <c r="U669" s="146">
        <v>44440</v>
      </c>
      <c r="V669" s="146">
        <v>44470</v>
      </c>
      <c r="W669" s="146">
        <v>44501</v>
      </c>
      <c r="X669" s="146">
        <v>44531</v>
      </c>
      <c r="Y669" s="146">
        <v>44562</v>
      </c>
      <c r="Z669" s="146">
        <v>44593</v>
      </c>
      <c r="AA669" s="146">
        <v>44621</v>
      </c>
      <c r="AB669" s="146">
        <v>44652</v>
      </c>
      <c r="AC669" s="146">
        <v>44682</v>
      </c>
      <c r="AD669" s="146">
        <v>44713</v>
      </c>
      <c r="AE669" s="146">
        <v>44743</v>
      </c>
      <c r="AF669" s="146">
        <v>44774</v>
      </c>
      <c r="AG669" s="146">
        <v>44805</v>
      </c>
      <c r="AH669" s="146">
        <v>44835</v>
      </c>
      <c r="AI669" s="146">
        <v>44866</v>
      </c>
      <c r="AJ669" s="146">
        <v>44896</v>
      </c>
      <c r="AK669" s="146">
        <v>44927</v>
      </c>
      <c r="AL669" s="146">
        <v>44958</v>
      </c>
      <c r="AM669" s="146">
        <v>44986</v>
      </c>
      <c r="AN669" s="146">
        <v>45017</v>
      </c>
      <c r="AO669" s="146">
        <v>45047</v>
      </c>
      <c r="AP669" s="146">
        <v>45078</v>
      </c>
      <c r="AQ669" s="146">
        <v>45108</v>
      </c>
      <c r="AR669" s="146">
        <v>45139</v>
      </c>
      <c r="AS669" s="146">
        <v>45170</v>
      </c>
      <c r="AT669" s="146">
        <v>45200</v>
      </c>
      <c r="AU669" s="146">
        <v>45231</v>
      </c>
      <c r="AV669" s="146">
        <v>45261</v>
      </c>
      <c r="AW669" s="146">
        <v>45292</v>
      </c>
      <c r="AX669" s="146">
        <v>45323</v>
      </c>
      <c r="AY669" s="146">
        <v>45352</v>
      </c>
      <c r="AZ669" s="146">
        <v>45383</v>
      </c>
      <c r="BA669" s="146">
        <v>45413</v>
      </c>
      <c r="BB669" s="146">
        <v>45444</v>
      </c>
      <c r="BC669" s="146">
        <v>45474</v>
      </c>
      <c r="BD669" s="146">
        <v>45505</v>
      </c>
      <c r="BE669" s="146">
        <v>45536</v>
      </c>
      <c r="BF669" s="146">
        <v>45566</v>
      </c>
      <c r="BG669" s="146">
        <v>45597</v>
      </c>
      <c r="BH669" s="146">
        <v>45627</v>
      </c>
      <c r="BI669" s="146">
        <v>45658</v>
      </c>
      <c r="BJ669" s="146">
        <v>45689</v>
      </c>
      <c r="BK669" s="146">
        <v>45717</v>
      </c>
      <c r="BL669" s="146"/>
      <c r="BM669" s="146"/>
      <c r="BN669" s="146"/>
      <c r="BO669" s="146"/>
      <c r="BP669" s="146"/>
      <c r="BQ669" s="146"/>
      <c r="BR669" s="146"/>
      <c r="BS669" s="146"/>
      <c r="BT669" s="146"/>
      <c r="BU669" s="146"/>
      <c r="BV669" s="146"/>
      <c r="BW669" s="146"/>
      <c r="BX669" s="147" t="s">
        <v>13</v>
      </c>
      <c r="BY669" s="5"/>
      <c r="BZ669" s="5"/>
      <c r="CA669" s="5"/>
    </row>
    <row r="670" spans="1:81" s="107" customFormat="1" ht="15.75" customHeight="1">
      <c r="A670" s="262">
        <v>50</v>
      </c>
      <c r="B670" s="241" t="s">
        <v>393</v>
      </c>
      <c r="C670" s="249" t="s">
        <v>92</v>
      </c>
      <c r="D670" s="249" t="s">
        <v>89</v>
      </c>
      <c r="E670" s="241" t="s">
        <v>150</v>
      </c>
      <c r="F670" s="241" t="s">
        <v>150</v>
      </c>
      <c r="G670" s="263">
        <f>'CONSOLIDADO ATIVO INATIVO NOVO'!J64</f>
        <v>45726</v>
      </c>
      <c r="H670" s="263">
        <f>'CONSOLIDADO ATIVO INATIVO NOVO'!K64</f>
        <v>0</v>
      </c>
      <c r="I670" s="106" t="s">
        <v>390</v>
      </c>
      <c r="J670" s="106"/>
      <c r="K670" s="106"/>
      <c r="L670" s="106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  <c r="BF670" s="105"/>
      <c r="BG670" s="105"/>
      <c r="BH670" s="105"/>
      <c r="BI670" s="105"/>
      <c r="BJ670" s="105"/>
      <c r="BK670" s="105"/>
      <c r="BL670" s="105"/>
      <c r="BM670" s="105"/>
      <c r="BN670" s="105"/>
      <c r="BO670" s="105"/>
      <c r="BP670" s="105"/>
      <c r="BQ670" s="105"/>
      <c r="BR670" s="105"/>
      <c r="BS670" s="105"/>
      <c r="BT670" s="105"/>
      <c r="BU670" s="105"/>
      <c r="BV670" s="105"/>
      <c r="BW670" s="105"/>
      <c r="BX670" s="105"/>
      <c r="BY670" s="117"/>
      <c r="BZ670" s="117"/>
      <c r="CA670" s="117"/>
      <c r="CC670" s="118"/>
    </row>
    <row r="671" spans="1:81" s="107" customFormat="1" ht="15.75" customHeight="1">
      <c r="A671" s="262"/>
      <c r="B671" s="241"/>
      <c r="C671" s="249"/>
      <c r="D671" s="249"/>
      <c r="E671" s="241"/>
      <c r="F671" s="241"/>
      <c r="G671" s="249"/>
      <c r="H671" s="249"/>
      <c r="I671" s="106" t="s">
        <v>351</v>
      </c>
      <c r="J671" s="106"/>
      <c r="K671" s="106"/>
      <c r="L671" s="106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5"/>
      <c r="BE671" s="105"/>
      <c r="BF671" s="105">
        <v>1356.53</v>
      </c>
      <c r="BG671" s="105"/>
      <c r="BH671" s="105"/>
      <c r="BI671" s="105"/>
      <c r="BJ671" s="105"/>
      <c r="BK671" s="105"/>
      <c r="BL671" s="105"/>
      <c r="BM671" s="105"/>
      <c r="BN671" s="105"/>
      <c r="BO671" s="105"/>
      <c r="BP671" s="105"/>
      <c r="BQ671" s="105"/>
      <c r="BR671" s="105"/>
      <c r="BS671" s="105"/>
      <c r="BT671" s="105"/>
      <c r="BU671" s="105"/>
      <c r="BV671" s="105"/>
      <c r="BW671" s="105"/>
      <c r="BX671" s="105"/>
      <c r="BY671" s="117"/>
      <c r="BZ671" s="117"/>
      <c r="CA671" s="117"/>
      <c r="CC671" s="118"/>
    </row>
    <row r="672" spans="1:81" s="107" customFormat="1" ht="15.75" customHeight="1">
      <c r="A672" s="262"/>
      <c r="B672" s="241"/>
      <c r="C672" s="249"/>
      <c r="D672" s="249"/>
      <c r="E672" s="241"/>
      <c r="F672" s="241"/>
      <c r="G672" s="249"/>
      <c r="H672" s="249"/>
      <c r="I672" s="106" t="s">
        <v>391</v>
      </c>
      <c r="J672" s="106"/>
      <c r="K672" s="106"/>
      <c r="L672" s="106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9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05"/>
      <c r="BF672" s="105"/>
      <c r="BG672" s="105"/>
      <c r="BH672" s="105"/>
      <c r="BI672" s="105"/>
      <c r="BJ672" s="105"/>
      <c r="BK672" s="105"/>
      <c r="BL672" s="105"/>
      <c r="BM672" s="105"/>
      <c r="BN672" s="105"/>
      <c r="BO672" s="105"/>
      <c r="BP672" s="105"/>
      <c r="BQ672" s="105"/>
      <c r="BR672" s="105"/>
      <c r="BS672" s="105"/>
      <c r="BT672" s="105"/>
      <c r="BU672" s="105"/>
      <c r="BV672" s="105"/>
      <c r="BW672" s="105"/>
      <c r="BX672" s="105"/>
      <c r="BY672" s="117"/>
      <c r="BZ672" s="117"/>
      <c r="CA672" s="117"/>
      <c r="CC672" s="118"/>
    </row>
    <row r="673" spans="1:81" s="107" customFormat="1" ht="15.75" customHeight="1">
      <c r="A673" s="262"/>
      <c r="B673" s="241"/>
      <c r="C673" s="249"/>
      <c r="D673" s="249"/>
      <c r="E673" s="241"/>
      <c r="F673" s="241"/>
      <c r="G673" s="249"/>
      <c r="H673" s="249"/>
      <c r="I673" s="106" t="s">
        <v>351</v>
      </c>
      <c r="J673" s="106"/>
      <c r="K673" s="106"/>
      <c r="L673" s="106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9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5"/>
      <c r="BE673" s="105"/>
      <c r="BF673" s="105"/>
      <c r="BG673" s="105"/>
      <c r="BH673" s="105"/>
      <c r="BI673" s="105"/>
      <c r="BJ673" s="105"/>
      <c r="BK673" s="105"/>
      <c r="BL673" s="105"/>
      <c r="BM673" s="105"/>
      <c r="BN673" s="105"/>
      <c r="BO673" s="105"/>
      <c r="BP673" s="105"/>
      <c r="BQ673" s="105"/>
      <c r="BR673" s="105"/>
      <c r="BS673" s="105"/>
      <c r="BT673" s="105"/>
      <c r="BU673" s="105"/>
      <c r="BV673" s="105"/>
      <c r="BW673" s="105"/>
      <c r="BX673" s="105"/>
      <c r="BY673" s="117"/>
      <c r="BZ673" s="117"/>
      <c r="CA673" s="117"/>
      <c r="CC673" s="118"/>
    </row>
    <row r="674" spans="1:81" s="107" customFormat="1" ht="15.75" customHeight="1">
      <c r="A674" s="262"/>
      <c r="B674" s="241"/>
      <c r="C674" s="249"/>
      <c r="D674" s="249"/>
      <c r="E674" s="241"/>
      <c r="F674" s="241"/>
      <c r="G674" s="249"/>
      <c r="H674" s="249"/>
      <c r="I674" s="106" t="s">
        <v>353</v>
      </c>
      <c r="J674" s="106"/>
      <c r="K674" s="106"/>
      <c r="L674" s="106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05"/>
      <c r="BF674" s="105"/>
      <c r="BG674" s="105"/>
      <c r="BH674" s="105"/>
      <c r="BI674" s="105"/>
      <c r="BJ674" s="105"/>
      <c r="BK674" s="105"/>
      <c r="BL674" s="105"/>
      <c r="BM674" s="105"/>
      <c r="BN674" s="105"/>
      <c r="BO674" s="105"/>
      <c r="BP674" s="105"/>
      <c r="BQ674" s="105"/>
      <c r="BR674" s="105"/>
      <c r="BS674" s="105"/>
      <c r="BT674" s="105"/>
      <c r="BU674" s="105"/>
      <c r="BV674" s="105"/>
      <c r="BW674" s="105"/>
      <c r="BX674" s="105"/>
      <c r="BY674" s="117"/>
      <c r="BZ674" s="117"/>
      <c r="CA674" s="117"/>
      <c r="CC674" s="118"/>
    </row>
    <row r="675" spans="1:81" s="107" customFormat="1" ht="15.75" customHeight="1">
      <c r="A675" s="262"/>
      <c r="B675" s="241"/>
      <c r="C675" s="249"/>
      <c r="D675" s="249"/>
      <c r="E675" s="241"/>
      <c r="F675" s="241"/>
      <c r="G675" s="249"/>
      <c r="H675" s="249"/>
      <c r="I675" s="106" t="s">
        <v>354</v>
      </c>
      <c r="J675" s="106"/>
      <c r="K675" s="106"/>
      <c r="L675" s="106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05"/>
      <c r="BF675" s="105"/>
      <c r="BG675" s="105"/>
      <c r="BH675" s="105"/>
      <c r="BI675" s="105"/>
      <c r="BJ675" s="105"/>
      <c r="BK675" s="105"/>
      <c r="BL675" s="105"/>
      <c r="BM675" s="105"/>
      <c r="BN675" s="105"/>
      <c r="BO675" s="105"/>
      <c r="BP675" s="105"/>
      <c r="BQ675" s="105"/>
      <c r="BR675" s="105"/>
      <c r="BS675" s="105"/>
      <c r="BT675" s="105"/>
      <c r="BU675" s="105"/>
      <c r="BV675" s="105"/>
      <c r="BW675" s="105"/>
      <c r="BX675" s="105"/>
      <c r="BY675" s="117"/>
      <c r="BZ675" s="117"/>
      <c r="CA675" s="117"/>
      <c r="CC675" s="118"/>
    </row>
    <row r="676" spans="1:81" s="107" customFormat="1" ht="15.75" customHeight="1">
      <c r="A676" s="262"/>
      <c r="B676" s="241"/>
      <c r="C676" s="249"/>
      <c r="D676" s="249"/>
      <c r="E676" s="241"/>
      <c r="F676" s="241"/>
      <c r="G676" s="249"/>
      <c r="H676" s="249"/>
      <c r="I676" s="106" t="s">
        <v>355</v>
      </c>
      <c r="J676" s="106"/>
      <c r="K676" s="106"/>
      <c r="L676" s="106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05"/>
      <c r="BF676" s="105"/>
      <c r="BG676" s="105"/>
      <c r="BH676" s="105"/>
      <c r="BI676" s="105"/>
      <c r="BJ676" s="105"/>
      <c r="BK676" s="105"/>
      <c r="BL676" s="105"/>
      <c r="BM676" s="105"/>
      <c r="BN676" s="105"/>
      <c r="BO676" s="105"/>
      <c r="BP676" s="105"/>
      <c r="BQ676" s="105"/>
      <c r="BR676" s="105"/>
      <c r="BS676" s="105"/>
      <c r="BT676" s="105"/>
      <c r="BU676" s="105"/>
      <c r="BV676" s="105"/>
      <c r="BW676" s="105"/>
      <c r="BX676" s="105"/>
      <c r="BY676" s="117"/>
      <c r="BZ676" s="117"/>
      <c r="CA676" s="117"/>
      <c r="CC676" s="118"/>
    </row>
    <row r="677" spans="1:81" s="107" customFormat="1" ht="15.75" customHeight="1">
      <c r="A677" s="262"/>
      <c r="B677" s="241"/>
      <c r="C677" s="249"/>
      <c r="D677" s="249"/>
      <c r="E677" s="241"/>
      <c r="F677" s="241"/>
      <c r="G677" s="249"/>
      <c r="H677" s="249"/>
      <c r="I677" s="106" t="s">
        <v>357</v>
      </c>
      <c r="J677" s="106"/>
      <c r="K677" s="106"/>
      <c r="L677" s="106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5"/>
      <c r="BE677" s="105"/>
      <c r="BF677" s="105">
        <v>342.64</v>
      </c>
      <c r="BG677" s="105">
        <v>439.41</v>
      </c>
      <c r="BH677" s="105"/>
      <c r="BI677" s="105"/>
      <c r="BJ677" s="105"/>
      <c r="BK677" s="105"/>
      <c r="BL677" s="105"/>
      <c r="BM677" s="105"/>
      <c r="BN677" s="105"/>
      <c r="BO677" s="105"/>
      <c r="BP677" s="105"/>
      <c r="BQ677" s="105"/>
      <c r="BR677" s="105"/>
      <c r="BS677" s="105"/>
      <c r="BT677" s="105"/>
      <c r="BU677" s="105"/>
      <c r="BV677" s="105"/>
      <c r="BW677" s="105"/>
      <c r="BX677" s="105"/>
      <c r="BY677" s="117"/>
      <c r="BZ677" s="117"/>
      <c r="CA677" s="117"/>
      <c r="CC677" s="118"/>
    </row>
    <row r="678" spans="1:81" s="107" customFormat="1" ht="15.75" customHeight="1">
      <c r="A678" s="262"/>
      <c r="B678" s="241"/>
      <c r="C678" s="249"/>
      <c r="D678" s="249"/>
      <c r="E678" s="241"/>
      <c r="F678" s="241"/>
      <c r="G678" s="249"/>
      <c r="H678" s="249"/>
      <c r="I678" s="131" t="s">
        <v>362</v>
      </c>
      <c r="J678" s="106"/>
      <c r="K678" s="106"/>
      <c r="L678" s="106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05"/>
      <c r="BF678" s="105"/>
      <c r="BG678" s="105">
        <v>2490.5700000000002</v>
      </c>
      <c r="BH678" s="105"/>
      <c r="BI678" s="105"/>
      <c r="BJ678" s="105"/>
      <c r="BK678" s="105"/>
      <c r="BL678" s="105"/>
      <c r="BM678" s="105"/>
      <c r="BN678" s="105"/>
      <c r="BO678" s="105"/>
      <c r="BP678" s="105"/>
      <c r="BQ678" s="105"/>
      <c r="BR678" s="105"/>
      <c r="BS678" s="105"/>
      <c r="BT678" s="105"/>
      <c r="BU678" s="105"/>
      <c r="BV678" s="105"/>
      <c r="BW678" s="105"/>
      <c r="BX678" s="105"/>
      <c r="BY678" s="117"/>
      <c r="BZ678" s="117"/>
      <c r="CA678" s="117"/>
      <c r="CC678" s="118"/>
    </row>
    <row r="679" spans="1:81" s="107" customFormat="1">
      <c r="A679" s="262"/>
      <c r="B679" s="241"/>
      <c r="C679" s="249"/>
      <c r="D679" s="249"/>
      <c r="E679" s="241"/>
      <c r="F679" s="241"/>
      <c r="G679" s="249"/>
      <c r="H679" s="249"/>
      <c r="I679" s="132" t="s">
        <v>363</v>
      </c>
      <c r="J679" s="132"/>
      <c r="K679" s="132"/>
      <c r="L679" s="132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5"/>
      <c r="BE679" s="105"/>
      <c r="BF679" s="105"/>
      <c r="BG679" s="105"/>
      <c r="BH679" s="105"/>
      <c r="BI679" s="105"/>
      <c r="BJ679" s="105"/>
      <c r="BK679" s="105"/>
      <c r="BL679" s="105"/>
      <c r="BM679" s="105"/>
      <c r="BN679" s="105"/>
      <c r="BO679" s="105"/>
      <c r="BP679" s="105"/>
      <c r="BQ679" s="105"/>
      <c r="BR679" s="105"/>
      <c r="BS679" s="105"/>
      <c r="BT679" s="105"/>
      <c r="BU679" s="105"/>
      <c r="BV679" s="105"/>
      <c r="BW679" s="105"/>
      <c r="BX679" s="105"/>
      <c r="BY679" s="117"/>
      <c r="BZ679" s="117"/>
    </row>
    <row r="680" spans="1:81" s="107" customFormat="1">
      <c r="A680" s="262"/>
      <c r="B680" s="241"/>
      <c r="C680" s="249"/>
      <c r="D680" s="249"/>
      <c r="E680" s="241"/>
      <c r="F680" s="241"/>
      <c r="G680" s="249"/>
      <c r="H680" s="249"/>
      <c r="I680" s="133" t="s">
        <v>373</v>
      </c>
      <c r="J680" s="133"/>
      <c r="K680" s="133"/>
      <c r="L680" s="133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05"/>
      <c r="BF680" s="105">
        <v>101.73</v>
      </c>
      <c r="BG680" s="105"/>
      <c r="BH680" s="105"/>
      <c r="BI680" s="105"/>
      <c r="BJ680" s="105"/>
      <c r="BK680" s="105"/>
      <c r="BL680" s="105"/>
      <c r="BM680" s="105"/>
      <c r="BN680" s="105"/>
      <c r="BO680" s="105"/>
      <c r="BP680" s="105"/>
      <c r="BQ680" s="105"/>
      <c r="BR680" s="105"/>
      <c r="BS680" s="105"/>
      <c r="BT680" s="105"/>
      <c r="BU680" s="105"/>
      <c r="BV680" s="105"/>
      <c r="BW680" s="105"/>
      <c r="BX680" s="105"/>
      <c r="BY680" s="117"/>
      <c r="BZ680" s="117"/>
    </row>
    <row r="681" spans="1:81" s="107" customFormat="1">
      <c r="A681" s="262"/>
      <c r="B681" s="241"/>
      <c r="C681" s="249"/>
      <c r="D681" s="249"/>
      <c r="E681" s="241"/>
      <c r="F681" s="241"/>
      <c r="G681" s="249"/>
      <c r="H681" s="249"/>
      <c r="I681" s="132"/>
      <c r="J681" s="105">
        <f>SUM(J670:J679)-J680</f>
        <v>0</v>
      </c>
      <c r="K681" s="105">
        <f t="shared" ref="K681:Y681" si="337">SUM(K670:K679)-K680</f>
        <v>0</v>
      </c>
      <c r="L681" s="105">
        <f t="shared" si="337"/>
        <v>0</v>
      </c>
      <c r="M681" s="105">
        <f t="shared" si="337"/>
        <v>0</v>
      </c>
      <c r="N681" s="105">
        <f t="shared" si="337"/>
        <v>0</v>
      </c>
      <c r="O681" s="105">
        <f t="shared" si="337"/>
        <v>0</v>
      </c>
      <c r="P681" s="105">
        <f t="shared" si="337"/>
        <v>0</v>
      </c>
      <c r="Q681" s="105">
        <f t="shared" si="337"/>
        <v>0</v>
      </c>
      <c r="R681" s="105">
        <f t="shared" si="337"/>
        <v>0</v>
      </c>
      <c r="S681" s="105">
        <f t="shared" si="337"/>
        <v>0</v>
      </c>
      <c r="T681" s="105">
        <f t="shared" si="337"/>
        <v>0</v>
      </c>
      <c r="U681" s="105">
        <f t="shared" si="337"/>
        <v>0</v>
      </c>
      <c r="V681" s="105">
        <f t="shared" si="337"/>
        <v>0</v>
      </c>
      <c r="W681" s="105">
        <f t="shared" si="337"/>
        <v>0</v>
      </c>
      <c r="X681" s="105">
        <f t="shared" si="337"/>
        <v>0</v>
      </c>
      <c r="Y681" s="105">
        <f t="shared" si="337"/>
        <v>0</v>
      </c>
      <c r="Z681" s="105">
        <f>SUM(Z670:Z679)-Z680</f>
        <v>0</v>
      </c>
      <c r="AA681" s="105">
        <f t="shared" ref="AA681:AD681" si="338">SUM(AA670:AA679)-AA680</f>
        <v>0</v>
      </c>
      <c r="AB681" s="105">
        <f t="shared" si="338"/>
        <v>0</v>
      </c>
      <c r="AC681" s="105">
        <f t="shared" si="338"/>
        <v>0</v>
      </c>
      <c r="AD681" s="105">
        <f t="shared" si="338"/>
        <v>0</v>
      </c>
      <c r="AE681" s="105">
        <f>SUM(AE670:AE679)-AE680</f>
        <v>0</v>
      </c>
      <c r="AF681" s="105">
        <f>SUM(AF670:AF679)-AF680</f>
        <v>0</v>
      </c>
      <c r="AG681" s="105">
        <f t="shared" ref="AG681:AP681" si="339">SUM(AG670:AG679)-AG680</f>
        <v>0</v>
      </c>
      <c r="AH681" s="105">
        <f t="shared" si="339"/>
        <v>0</v>
      </c>
      <c r="AI681" s="105">
        <f t="shared" si="339"/>
        <v>0</v>
      </c>
      <c r="AJ681" s="105">
        <f t="shared" si="339"/>
        <v>0</v>
      </c>
      <c r="AK681" s="105">
        <f t="shared" si="339"/>
        <v>0</v>
      </c>
      <c r="AL681" s="105">
        <f t="shared" si="339"/>
        <v>0</v>
      </c>
      <c r="AM681" s="105">
        <f t="shared" si="339"/>
        <v>0</v>
      </c>
      <c r="AN681" s="105">
        <f t="shared" si="339"/>
        <v>0</v>
      </c>
      <c r="AO681" s="105">
        <f t="shared" si="339"/>
        <v>0</v>
      </c>
      <c r="AP681" s="105">
        <f t="shared" si="339"/>
        <v>0</v>
      </c>
      <c r="AQ681" s="105">
        <f t="shared" ref="AQ681:AU681" si="340">SUM(AQ670:AQ679)-AQ680</f>
        <v>0</v>
      </c>
      <c r="AR681" s="105">
        <f t="shared" si="340"/>
        <v>0</v>
      </c>
      <c r="AS681" s="105">
        <f t="shared" si="340"/>
        <v>0</v>
      </c>
      <c r="AT681" s="105">
        <f t="shared" si="340"/>
        <v>0</v>
      </c>
      <c r="AU681" s="105">
        <f t="shared" si="340"/>
        <v>0</v>
      </c>
      <c r="AV681" s="105">
        <f>SUM(AV670:AV679)-AV680</f>
        <v>0</v>
      </c>
      <c r="AW681" s="105">
        <f t="shared" ref="AW681:BA681" si="341">SUM(AW670:AW679)-AW680</f>
        <v>0</v>
      </c>
      <c r="AX681" s="105">
        <f t="shared" si="341"/>
        <v>0</v>
      </c>
      <c r="AY681" s="105">
        <f t="shared" si="341"/>
        <v>0</v>
      </c>
      <c r="AZ681" s="105">
        <f t="shared" si="341"/>
        <v>0</v>
      </c>
      <c r="BA681" s="105">
        <f t="shared" si="341"/>
        <v>0</v>
      </c>
      <c r="BB681" s="105"/>
      <c r="BC681" s="105"/>
      <c r="BD681" s="105"/>
      <c r="BE681" s="105"/>
      <c r="BF681" s="105">
        <f>BF671+BF673+BF677-BF680</f>
        <v>1597.44</v>
      </c>
      <c r="BG681" s="105">
        <f>BG678+BG677</f>
        <v>2929.98</v>
      </c>
      <c r="BH681" s="105"/>
      <c r="BI681" s="105"/>
      <c r="BJ681" s="105"/>
      <c r="BK681" s="105"/>
      <c r="BL681" s="105"/>
      <c r="BM681" s="105"/>
      <c r="BN681" s="105"/>
      <c r="BO681" s="105"/>
      <c r="BP681" s="105"/>
      <c r="BQ681" s="105"/>
      <c r="BR681" s="105"/>
      <c r="BS681" s="105"/>
      <c r="BT681" s="105"/>
      <c r="BU681" s="105"/>
      <c r="BV681" s="105"/>
      <c r="BW681" s="105"/>
      <c r="BX681" s="105">
        <f>SUM(J681:BG681)</f>
        <v>4527.42</v>
      </c>
      <c r="BY681" s="117"/>
      <c r="BZ681" s="117"/>
    </row>
    <row r="682" spans="1:81" ht="15.6" customHeight="1">
      <c r="A682" s="148" t="s">
        <v>346</v>
      </c>
      <c r="B682" s="148" t="s">
        <v>347</v>
      </c>
      <c r="C682" s="145" t="s">
        <v>310</v>
      </c>
      <c r="D682" s="145" t="s">
        <v>311</v>
      </c>
      <c r="E682" s="148" t="s">
        <v>312</v>
      </c>
      <c r="F682" s="148" t="s">
        <v>348</v>
      </c>
      <c r="G682" s="145" t="s">
        <v>314</v>
      </c>
      <c r="H682" s="145" t="s">
        <v>315</v>
      </c>
      <c r="I682" s="145" t="s">
        <v>349</v>
      </c>
      <c r="J682" s="146">
        <v>44105</v>
      </c>
      <c r="K682" s="146">
        <v>44136</v>
      </c>
      <c r="L682" s="146">
        <v>44166</v>
      </c>
      <c r="M682" s="146">
        <v>44197</v>
      </c>
      <c r="N682" s="146">
        <v>44228</v>
      </c>
      <c r="O682" s="146">
        <v>44256</v>
      </c>
      <c r="P682" s="146">
        <v>44287</v>
      </c>
      <c r="Q682" s="146">
        <v>44317</v>
      </c>
      <c r="R682" s="146">
        <v>44348</v>
      </c>
      <c r="S682" s="146">
        <v>44378</v>
      </c>
      <c r="T682" s="146">
        <v>44409</v>
      </c>
      <c r="U682" s="146">
        <v>44440</v>
      </c>
      <c r="V682" s="146">
        <v>44470</v>
      </c>
      <c r="W682" s="146">
        <v>44501</v>
      </c>
      <c r="X682" s="146">
        <v>44531</v>
      </c>
      <c r="Y682" s="146">
        <v>44562</v>
      </c>
      <c r="Z682" s="146">
        <v>44593</v>
      </c>
      <c r="AA682" s="146">
        <v>44621</v>
      </c>
      <c r="AB682" s="146">
        <v>44652</v>
      </c>
      <c r="AC682" s="146">
        <v>44682</v>
      </c>
      <c r="AD682" s="146">
        <v>44713</v>
      </c>
      <c r="AE682" s="146">
        <v>44743</v>
      </c>
      <c r="AF682" s="146">
        <v>44774</v>
      </c>
      <c r="AG682" s="146">
        <v>44805</v>
      </c>
      <c r="AH682" s="146">
        <v>44835</v>
      </c>
      <c r="AI682" s="146">
        <v>44866</v>
      </c>
      <c r="AJ682" s="146">
        <v>44896</v>
      </c>
      <c r="AK682" s="146">
        <v>44927</v>
      </c>
      <c r="AL682" s="146">
        <v>44958</v>
      </c>
      <c r="AM682" s="146">
        <v>44986</v>
      </c>
      <c r="AN682" s="146">
        <v>45017</v>
      </c>
      <c r="AO682" s="146">
        <v>45047</v>
      </c>
      <c r="AP682" s="146">
        <v>45078</v>
      </c>
      <c r="AQ682" s="146">
        <v>45108</v>
      </c>
      <c r="AR682" s="146">
        <v>45139</v>
      </c>
      <c r="AS682" s="146">
        <v>45170</v>
      </c>
      <c r="AT682" s="146">
        <v>45200</v>
      </c>
      <c r="AU682" s="146">
        <v>45231</v>
      </c>
      <c r="AV682" s="146">
        <v>45261</v>
      </c>
      <c r="AW682" s="146">
        <v>45292</v>
      </c>
      <c r="AX682" s="146">
        <v>45323</v>
      </c>
      <c r="AY682" s="146">
        <v>45352</v>
      </c>
      <c r="AZ682" s="146">
        <v>45383</v>
      </c>
      <c r="BA682" s="146">
        <v>45413</v>
      </c>
      <c r="BB682" s="146">
        <v>45444</v>
      </c>
      <c r="BC682" s="146">
        <v>45474</v>
      </c>
      <c r="BD682" s="146">
        <v>45505</v>
      </c>
      <c r="BE682" s="146">
        <v>45536</v>
      </c>
      <c r="BF682" s="146">
        <v>45566</v>
      </c>
      <c r="BG682" s="146">
        <v>45597</v>
      </c>
      <c r="BH682" s="146">
        <v>45627</v>
      </c>
      <c r="BI682" s="146">
        <v>45658</v>
      </c>
      <c r="BJ682" s="146">
        <v>45689</v>
      </c>
      <c r="BK682" s="146">
        <v>45717</v>
      </c>
      <c r="BL682" s="146"/>
      <c r="BM682" s="146"/>
      <c r="BN682" s="146"/>
      <c r="BO682" s="146"/>
      <c r="BP682" s="146"/>
      <c r="BQ682" s="146"/>
      <c r="BR682" s="146"/>
      <c r="BS682" s="146"/>
      <c r="BT682" s="146"/>
      <c r="BU682" s="146"/>
      <c r="BV682" s="146"/>
      <c r="BW682" s="146"/>
      <c r="BX682" s="147" t="s">
        <v>13</v>
      </c>
      <c r="BY682" s="5"/>
      <c r="BZ682" s="5"/>
      <c r="CA682" s="5"/>
    </row>
    <row r="683" spans="1:81" s="107" customFormat="1" ht="15.75" customHeight="1">
      <c r="A683" s="262">
        <v>51</v>
      </c>
      <c r="B683" s="241" t="s">
        <v>172</v>
      </c>
      <c r="C683" s="249" t="s">
        <v>92</v>
      </c>
      <c r="D683" s="249" t="s">
        <v>89</v>
      </c>
      <c r="E683" s="241" t="s">
        <v>394</v>
      </c>
      <c r="F683" s="241" t="s">
        <v>394</v>
      </c>
      <c r="G683" s="263">
        <v>45726</v>
      </c>
      <c r="H683" s="263">
        <v>45743</v>
      </c>
      <c r="I683" s="106" t="s">
        <v>390</v>
      </c>
      <c r="J683" s="106"/>
      <c r="K683" s="106"/>
      <c r="L683" s="106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05"/>
      <c r="BF683" s="105"/>
      <c r="BG683" s="105"/>
      <c r="BH683" s="105"/>
      <c r="BI683" s="105"/>
      <c r="BJ683" s="105"/>
      <c r="BK683" s="105"/>
      <c r="BL683" s="105"/>
      <c r="BM683" s="105"/>
      <c r="BN683" s="105"/>
      <c r="BO683" s="105"/>
      <c r="BP683" s="105"/>
      <c r="BQ683" s="105"/>
      <c r="BR683" s="105"/>
      <c r="BS683" s="105"/>
      <c r="BT683" s="105"/>
      <c r="BU683" s="105"/>
      <c r="BV683" s="105"/>
      <c r="BW683" s="105"/>
      <c r="BX683" s="105"/>
      <c r="BY683" s="117"/>
      <c r="BZ683" s="117"/>
      <c r="CA683" s="117"/>
      <c r="CC683" s="118"/>
    </row>
    <row r="684" spans="1:81" s="107" customFormat="1" ht="15.75" customHeight="1">
      <c r="A684" s="262"/>
      <c r="B684" s="241"/>
      <c r="C684" s="249"/>
      <c r="D684" s="249"/>
      <c r="E684" s="241"/>
      <c r="F684" s="241"/>
      <c r="G684" s="249"/>
      <c r="H684" s="249"/>
      <c r="I684" s="106" t="s">
        <v>351</v>
      </c>
      <c r="J684" s="106"/>
      <c r="K684" s="106"/>
      <c r="L684" s="106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05"/>
      <c r="BF684" s="105"/>
      <c r="BG684" s="105"/>
      <c r="BH684" s="105"/>
      <c r="BI684" s="105"/>
      <c r="BJ684" s="105"/>
      <c r="BK684" s="105"/>
      <c r="BL684" s="105"/>
      <c r="BM684" s="105"/>
      <c r="BN684" s="105"/>
      <c r="BO684" s="105"/>
      <c r="BP684" s="105"/>
      <c r="BQ684" s="105"/>
      <c r="BR684" s="105"/>
      <c r="BS684" s="105"/>
      <c r="BT684" s="105"/>
      <c r="BU684" s="105"/>
      <c r="BV684" s="105"/>
      <c r="BW684" s="105"/>
      <c r="BX684" s="105"/>
      <c r="BY684" s="117"/>
      <c r="BZ684" s="117"/>
      <c r="CA684" s="117"/>
      <c r="CC684" s="118"/>
    </row>
    <row r="685" spans="1:81" s="107" customFormat="1" ht="15.75" customHeight="1">
      <c r="A685" s="262"/>
      <c r="B685" s="241"/>
      <c r="C685" s="249"/>
      <c r="D685" s="249"/>
      <c r="E685" s="241"/>
      <c r="F685" s="241"/>
      <c r="G685" s="249"/>
      <c r="H685" s="249"/>
      <c r="I685" s="106" t="s">
        <v>391</v>
      </c>
      <c r="J685" s="106"/>
      <c r="K685" s="106"/>
      <c r="L685" s="106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9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5"/>
      <c r="BE685" s="105"/>
      <c r="BF685" s="105"/>
      <c r="BG685" s="105"/>
      <c r="BH685" s="105"/>
      <c r="BI685" s="105"/>
      <c r="BJ685" s="105"/>
      <c r="BK685" s="105"/>
      <c r="BL685" s="105"/>
      <c r="BM685" s="105"/>
      <c r="BN685" s="105"/>
      <c r="BO685" s="105"/>
      <c r="BP685" s="105"/>
      <c r="BQ685" s="105"/>
      <c r="BR685" s="105"/>
      <c r="BS685" s="105"/>
      <c r="BT685" s="105"/>
      <c r="BU685" s="105"/>
      <c r="BV685" s="105"/>
      <c r="BW685" s="105"/>
      <c r="BX685" s="105"/>
      <c r="BY685" s="117"/>
      <c r="BZ685" s="117"/>
      <c r="CA685" s="117"/>
      <c r="CC685" s="118"/>
    </row>
    <row r="686" spans="1:81" s="107" customFormat="1" ht="15.75" customHeight="1">
      <c r="A686" s="262"/>
      <c r="B686" s="241"/>
      <c r="C686" s="249"/>
      <c r="D686" s="249"/>
      <c r="E686" s="241"/>
      <c r="F686" s="241"/>
      <c r="G686" s="249"/>
      <c r="H686" s="249"/>
      <c r="I686" s="106" t="s">
        <v>351</v>
      </c>
      <c r="J686" s="106"/>
      <c r="K686" s="106"/>
      <c r="L686" s="106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9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05"/>
      <c r="BF686" s="105"/>
      <c r="BG686" s="105"/>
      <c r="BH686" s="105"/>
      <c r="BI686" s="105"/>
      <c r="BJ686" s="105"/>
      <c r="BK686" s="105"/>
      <c r="BL686" s="105"/>
      <c r="BM686" s="105"/>
      <c r="BN686" s="105"/>
      <c r="BO686" s="105"/>
      <c r="BP686" s="105"/>
      <c r="BQ686" s="105"/>
      <c r="BR686" s="105"/>
      <c r="BS686" s="105"/>
      <c r="BT686" s="105"/>
      <c r="BU686" s="105"/>
      <c r="BV686" s="105"/>
      <c r="BW686" s="105"/>
      <c r="BX686" s="105"/>
      <c r="BY686" s="117"/>
      <c r="BZ686" s="117"/>
      <c r="CA686" s="117"/>
      <c r="CC686" s="118"/>
    </row>
    <row r="687" spans="1:81" s="107" customFormat="1" ht="15.75" customHeight="1">
      <c r="A687" s="262"/>
      <c r="B687" s="241"/>
      <c r="C687" s="249"/>
      <c r="D687" s="249"/>
      <c r="E687" s="241"/>
      <c r="F687" s="241"/>
      <c r="G687" s="249"/>
      <c r="H687" s="249"/>
      <c r="I687" s="106" t="s">
        <v>353</v>
      </c>
      <c r="J687" s="106"/>
      <c r="K687" s="106"/>
      <c r="L687" s="106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5"/>
      <c r="BE687" s="105"/>
      <c r="BF687" s="105"/>
      <c r="BG687" s="105"/>
      <c r="BH687" s="105"/>
      <c r="BI687" s="105"/>
      <c r="BJ687" s="105"/>
      <c r="BK687" s="105"/>
      <c r="BL687" s="105"/>
      <c r="BM687" s="105"/>
      <c r="BN687" s="105"/>
      <c r="BO687" s="105"/>
      <c r="BP687" s="105"/>
      <c r="BQ687" s="105"/>
      <c r="BR687" s="105"/>
      <c r="BS687" s="105"/>
      <c r="BT687" s="105"/>
      <c r="BU687" s="105"/>
      <c r="BV687" s="105"/>
      <c r="BW687" s="105"/>
      <c r="BX687" s="105"/>
      <c r="BY687" s="117"/>
      <c r="BZ687" s="117"/>
      <c r="CA687" s="117"/>
      <c r="CC687" s="118"/>
    </row>
    <row r="688" spans="1:81" s="107" customFormat="1" ht="15.75" customHeight="1">
      <c r="A688" s="262"/>
      <c r="B688" s="241"/>
      <c r="C688" s="249"/>
      <c r="D688" s="249"/>
      <c r="E688" s="241"/>
      <c r="F688" s="241"/>
      <c r="G688" s="249"/>
      <c r="H688" s="249"/>
      <c r="I688" s="106" t="s">
        <v>354</v>
      </c>
      <c r="J688" s="106"/>
      <c r="K688" s="106"/>
      <c r="L688" s="106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05"/>
      <c r="BF688" s="105"/>
      <c r="BG688" s="105"/>
      <c r="BH688" s="105"/>
      <c r="BI688" s="105"/>
      <c r="BJ688" s="105"/>
      <c r="BK688" s="105"/>
      <c r="BL688" s="105"/>
      <c r="BM688" s="105"/>
      <c r="BN688" s="105"/>
      <c r="BO688" s="105"/>
      <c r="BP688" s="105"/>
      <c r="BQ688" s="105"/>
      <c r="BR688" s="105"/>
      <c r="BS688" s="105"/>
      <c r="BT688" s="105"/>
      <c r="BU688" s="105"/>
      <c r="BV688" s="105"/>
      <c r="BW688" s="105"/>
      <c r="BX688" s="105"/>
      <c r="BY688" s="117"/>
      <c r="BZ688" s="117"/>
      <c r="CA688" s="117"/>
      <c r="CC688" s="118"/>
    </row>
    <row r="689" spans="1:81" s="107" customFormat="1" ht="15.75" customHeight="1">
      <c r="A689" s="262"/>
      <c r="B689" s="241"/>
      <c r="C689" s="249"/>
      <c r="D689" s="249"/>
      <c r="E689" s="241"/>
      <c r="F689" s="241"/>
      <c r="G689" s="249"/>
      <c r="H689" s="249"/>
      <c r="I689" s="106" t="s">
        <v>355</v>
      </c>
      <c r="J689" s="106"/>
      <c r="K689" s="106"/>
      <c r="L689" s="106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5"/>
      <c r="BE689" s="105"/>
      <c r="BF689" s="105"/>
      <c r="BG689" s="105"/>
      <c r="BH689" s="105"/>
      <c r="BI689" s="105"/>
      <c r="BJ689" s="105"/>
      <c r="BK689" s="105">
        <v>390.9</v>
      </c>
      <c r="BL689" s="105"/>
      <c r="BM689" s="105"/>
      <c r="BN689" s="105"/>
      <c r="BO689" s="105"/>
      <c r="BP689" s="105"/>
      <c r="BQ689" s="105"/>
      <c r="BR689" s="105"/>
      <c r="BS689" s="105"/>
      <c r="BT689" s="105"/>
      <c r="BU689" s="105"/>
      <c r="BV689" s="105"/>
      <c r="BW689" s="105"/>
      <c r="BX689" s="105"/>
      <c r="BY689" s="117"/>
      <c r="BZ689" s="117"/>
      <c r="CA689" s="117"/>
      <c r="CC689" s="118"/>
    </row>
    <row r="690" spans="1:81" s="107" customFormat="1" ht="15.75" customHeight="1">
      <c r="A690" s="262"/>
      <c r="B690" s="241"/>
      <c r="C690" s="249"/>
      <c r="D690" s="249"/>
      <c r="E690" s="241"/>
      <c r="F690" s="241"/>
      <c r="G690" s="249"/>
      <c r="H690" s="249"/>
      <c r="I690" s="106" t="s">
        <v>356</v>
      </c>
      <c r="J690" s="106"/>
      <c r="K690" s="106"/>
      <c r="L690" s="106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05"/>
      <c r="BF690" s="105"/>
      <c r="BG690" s="105"/>
      <c r="BH690" s="105"/>
      <c r="BI690" s="105"/>
      <c r="BJ690" s="105"/>
      <c r="BK690" s="105">
        <v>150</v>
      </c>
      <c r="BL690" s="105"/>
      <c r="BM690" s="105"/>
      <c r="BN690" s="105"/>
      <c r="BO690" s="105"/>
      <c r="BP690" s="105"/>
      <c r="BQ690" s="105"/>
      <c r="BR690" s="105"/>
      <c r="BS690" s="105"/>
      <c r="BT690" s="105"/>
      <c r="BU690" s="105"/>
      <c r="BV690" s="105"/>
      <c r="BW690" s="105"/>
      <c r="BX690" s="105"/>
      <c r="BY690" s="117"/>
      <c r="BZ690" s="117"/>
      <c r="CA690" s="117"/>
      <c r="CC690" s="118"/>
    </row>
    <row r="691" spans="1:81" s="107" customFormat="1" ht="15.75" customHeight="1">
      <c r="A691" s="262"/>
      <c r="B691" s="241"/>
      <c r="C691" s="249"/>
      <c r="D691" s="249"/>
      <c r="E691" s="241"/>
      <c r="F691" s="241"/>
      <c r="G691" s="249"/>
      <c r="H691" s="249"/>
      <c r="I691" s="131" t="s">
        <v>362</v>
      </c>
      <c r="J691" s="106"/>
      <c r="K691" s="106"/>
      <c r="L691" s="106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05"/>
      <c r="BF691" s="105"/>
      <c r="BG691" s="105"/>
      <c r="BH691" s="105"/>
      <c r="BI691" s="105"/>
      <c r="BJ691" s="105"/>
      <c r="BK691" s="105"/>
      <c r="BL691" s="105"/>
      <c r="BM691" s="105"/>
      <c r="BN691" s="105"/>
      <c r="BO691" s="105"/>
      <c r="BP691" s="105"/>
      <c r="BQ691" s="105"/>
      <c r="BR691" s="105"/>
      <c r="BS691" s="105"/>
      <c r="BT691" s="105"/>
      <c r="BU691" s="105"/>
      <c r="BV691" s="105"/>
      <c r="BW691" s="105"/>
      <c r="BX691" s="105"/>
      <c r="BY691" s="117"/>
      <c r="BZ691" s="117"/>
      <c r="CA691" s="117"/>
      <c r="CC691" s="118"/>
    </row>
    <row r="692" spans="1:81" s="107" customFormat="1">
      <c r="A692" s="262"/>
      <c r="B692" s="241"/>
      <c r="C692" s="249"/>
      <c r="D692" s="249"/>
      <c r="E692" s="241"/>
      <c r="F692" s="241"/>
      <c r="G692" s="249"/>
      <c r="H692" s="249"/>
      <c r="I692" s="132" t="s">
        <v>363</v>
      </c>
      <c r="J692" s="132"/>
      <c r="K692" s="132"/>
      <c r="L692" s="132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05"/>
      <c r="BF692" s="105"/>
      <c r="BG692" s="105"/>
      <c r="BH692" s="105"/>
      <c r="BI692" s="105"/>
      <c r="BJ692" s="105"/>
      <c r="BK692" s="105"/>
      <c r="BL692" s="105"/>
      <c r="BM692" s="105"/>
      <c r="BN692" s="105"/>
      <c r="BO692" s="105"/>
      <c r="BP692" s="105"/>
      <c r="BQ692" s="105"/>
      <c r="BR692" s="105"/>
      <c r="BS692" s="105"/>
      <c r="BT692" s="105"/>
      <c r="BU692" s="105"/>
      <c r="BV692" s="105"/>
      <c r="BW692" s="105"/>
      <c r="BX692" s="105"/>
      <c r="BY692" s="117"/>
      <c r="BZ692" s="117"/>
    </row>
    <row r="693" spans="1:81" s="107" customFormat="1">
      <c r="A693" s="262"/>
      <c r="B693" s="241"/>
      <c r="C693" s="249"/>
      <c r="D693" s="249"/>
      <c r="E693" s="241"/>
      <c r="F693" s="241"/>
      <c r="G693" s="249"/>
      <c r="H693" s="249"/>
      <c r="I693" s="133" t="s">
        <v>373</v>
      </c>
      <c r="J693" s="133"/>
      <c r="K693" s="133"/>
      <c r="L693" s="133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5"/>
      <c r="BE693" s="105"/>
      <c r="BF693" s="105"/>
      <c r="BG693" s="105"/>
      <c r="BH693" s="105"/>
      <c r="BI693" s="105"/>
      <c r="BJ693" s="105"/>
      <c r="BK693" s="105"/>
      <c r="BL693" s="105"/>
      <c r="BM693" s="105"/>
      <c r="BN693" s="105"/>
      <c r="BO693" s="105"/>
      <c r="BP693" s="105"/>
      <c r="BQ693" s="105"/>
      <c r="BR693" s="105"/>
      <c r="BS693" s="105"/>
      <c r="BT693" s="105"/>
      <c r="BU693" s="105"/>
      <c r="BV693" s="105"/>
      <c r="BW693" s="105"/>
      <c r="BX693" s="105"/>
      <c r="BY693" s="117"/>
      <c r="BZ693" s="117"/>
    </row>
    <row r="694" spans="1:81" s="107" customFormat="1">
      <c r="A694" s="262"/>
      <c r="B694" s="241"/>
      <c r="C694" s="249"/>
      <c r="D694" s="249"/>
      <c r="E694" s="241"/>
      <c r="F694" s="241"/>
      <c r="G694" s="249"/>
      <c r="H694" s="249"/>
      <c r="I694" s="132"/>
      <c r="J694" s="105">
        <f>SUM(J683:J692)-J693</f>
        <v>0</v>
      </c>
      <c r="K694" s="105">
        <f t="shared" ref="K694:Y694" si="342">SUM(K683:K692)-K693</f>
        <v>0</v>
      </c>
      <c r="L694" s="105">
        <f t="shared" si="342"/>
        <v>0</v>
      </c>
      <c r="M694" s="105">
        <f t="shared" si="342"/>
        <v>0</v>
      </c>
      <c r="N694" s="105">
        <f t="shared" si="342"/>
        <v>0</v>
      </c>
      <c r="O694" s="105">
        <f t="shared" si="342"/>
        <v>0</v>
      </c>
      <c r="P694" s="105">
        <f t="shared" si="342"/>
        <v>0</v>
      </c>
      <c r="Q694" s="105">
        <f t="shared" si="342"/>
        <v>0</v>
      </c>
      <c r="R694" s="105">
        <f t="shared" si="342"/>
        <v>0</v>
      </c>
      <c r="S694" s="105">
        <f t="shared" si="342"/>
        <v>0</v>
      </c>
      <c r="T694" s="105">
        <f t="shared" si="342"/>
        <v>0</v>
      </c>
      <c r="U694" s="105">
        <f t="shared" si="342"/>
        <v>0</v>
      </c>
      <c r="V694" s="105">
        <f t="shared" si="342"/>
        <v>0</v>
      </c>
      <c r="W694" s="105">
        <f t="shared" si="342"/>
        <v>0</v>
      </c>
      <c r="X694" s="105">
        <f t="shared" si="342"/>
        <v>0</v>
      </c>
      <c r="Y694" s="105">
        <f t="shared" si="342"/>
        <v>0</v>
      </c>
      <c r="Z694" s="105">
        <f>SUM(Z683:Z692)-Z693</f>
        <v>0</v>
      </c>
      <c r="AA694" s="105">
        <f t="shared" ref="AA694:AD694" si="343">SUM(AA683:AA692)-AA693</f>
        <v>0</v>
      </c>
      <c r="AB694" s="105">
        <f t="shared" si="343"/>
        <v>0</v>
      </c>
      <c r="AC694" s="105">
        <f t="shared" si="343"/>
        <v>0</v>
      </c>
      <c r="AD694" s="105">
        <f t="shared" si="343"/>
        <v>0</v>
      </c>
      <c r="AE694" s="105">
        <f>SUM(AE683:AE692)-AE693</f>
        <v>0</v>
      </c>
      <c r="AF694" s="105">
        <f>SUM(AF683:AF692)-AF693</f>
        <v>0</v>
      </c>
      <c r="AG694" s="105">
        <f t="shared" ref="AG694:AP694" si="344">SUM(AG683:AG692)-AG693</f>
        <v>0</v>
      </c>
      <c r="AH694" s="105">
        <f t="shared" si="344"/>
        <v>0</v>
      </c>
      <c r="AI694" s="105">
        <f t="shared" si="344"/>
        <v>0</v>
      </c>
      <c r="AJ694" s="105">
        <f t="shared" si="344"/>
        <v>0</v>
      </c>
      <c r="AK694" s="105">
        <f t="shared" si="344"/>
        <v>0</v>
      </c>
      <c r="AL694" s="105">
        <f t="shared" si="344"/>
        <v>0</v>
      </c>
      <c r="AM694" s="105">
        <f t="shared" si="344"/>
        <v>0</v>
      </c>
      <c r="AN694" s="105">
        <f t="shared" si="344"/>
        <v>0</v>
      </c>
      <c r="AO694" s="105">
        <f t="shared" si="344"/>
        <v>0</v>
      </c>
      <c r="AP694" s="105">
        <f t="shared" si="344"/>
        <v>0</v>
      </c>
      <c r="AQ694" s="105">
        <f t="shared" ref="AQ694:AU694" si="345">SUM(AQ683:AQ692)-AQ693</f>
        <v>0</v>
      </c>
      <c r="AR694" s="105">
        <f t="shared" si="345"/>
        <v>0</v>
      </c>
      <c r="AS694" s="105">
        <f t="shared" si="345"/>
        <v>0</v>
      </c>
      <c r="AT694" s="105">
        <f t="shared" si="345"/>
        <v>0</v>
      </c>
      <c r="AU694" s="105">
        <f t="shared" si="345"/>
        <v>0</v>
      </c>
      <c r="AV694" s="105">
        <f>SUM(AV683:AV692)-AV693</f>
        <v>0</v>
      </c>
      <c r="AW694" s="105">
        <f t="shared" ref="AW694:BA694" si="346">SUM(AW683:AW692)-AW693</f>
        <v>0</v>
      </c>
      <c r="AX694" s="105">
        <f t="shared" si="346"/>
        <v>0</v>
      </c>
      <c r="AY694" s="105">
        <f t="shared" si="346"/>
        <v>0</v>
      </c>
      <c r="AZ694" s="105">
        <f t="shared" si="346"/>
        <v>0</v>
      </c>
      <c r="BA694" s="105">
        <f t="shared" si="346"/>
        <v>0</v>
      </c>
      <c r="BB694" s="105"/>
      <c r="BC694" s="105"/>
      <c r="BD694" s="105"/>
      <c r="BE694" s="105"/>
      <c r="BF694" s="105"/>
      <c r="BG694" s="105"/>
      <c r="BH694" s="105"/>
      <c r="BI694" s="105"/>
      <c r="BJ694" s="105"/>
      <c r="BK694" s="105">
        <f>SUM(BK689:BK693)</f>
        <v>540.9</v>
      </c>
      <c r="BL694" s="105">
        <v>0</v>
      </c>
      <c r="BM694" s="105">
        <v>0</v>
      </c>
      <c r="BN694" s="105"/>
      <c r="BO694" s="105"/>
      <c r="BP694" s="105"/>
      <c r="BQ694" s="105"/>
      <c r="BR694" s="105"/>
      <c r="BS694" s="105"/>
      <c r="BT694" s="105"/>
      <c r="BU694" s="105"/>
      <c r="BV694" s="105"/>
      <c r="BW694" s="105"/>
      <c r="BX694" s="105">
        <f>SUM(BK694)</f>
        <v>540.9</v>
      </c>
      <c r="BY694" s="117"/>
      <c r="BZ694" s="117"/>
    </row>
    <row r="695" spans="1:81" ht="15.6" customHeight="1">
      <c r="A695" s="148" t="s">
        <v>346</v>
      </c>
      <c r="B695" s="148" t="s">
        <v>347</v>
      </c>
      <c r="C695" s="145" t="s">
        <v>310</v>
      </c>
      <c r="D695" s="145" t="s">
        <v>311</v>
      </c>
      <c r="E695" s="148" t="s">
        <v>312</v>
      </c>
      <c r="F695" s="148" t="s">
        <v>348</v>
      </c>
      <c r="G695" s="145" t="s">
        <v>314</v>
      </c>
      <c r="H695" s="145" t="s">
        <v>315</v>
      </c>
      <c r="I695" s="145" t="s">
        <v>349</v>
      </c>
      <c r="J695" s="146">
        <v>44105</v>
      </c>
      <c r="K695" s="146">
        <v>44136</v>
      </c>
      <c r="L695" s="146">
        <v>44166</v>
      </c>
      <c r="M695" s="146">
        <v>44197</v>
      </c>
      <c r="N695" s="146">
        <v>44228</v>
      </c>
      <c r="O695" s="146">
        <v>44256</v>
      </c>
      <c r="P695" s="146">
        <v>44287</v>
      </c>
      <c r="Q695" s="146">
        <v>44317</v>
      </c>
      <c r="R695" s="146">
        <v>44348</v>
      </c>
      <c r="S695" s="146">
        <v>44378</v>
      </c>
      <c r="T695" s="146">
        <v>44409</v>
      </c>
      <c r="U695" s="146">
        <v>44440</v>
      </c>
      <c r="V695" s="146">
        <v>44470</v>
      </c>
      <c r="W695" s="146">
        <v>44501</v>
      </c>
      <c r="X695" s="146">
        <v>44531</v>
      </c>
      <c r="Y695" s="146">
        <v>44562</v>
      </c>
      <c r="Z695" s="146">
        <v>44593</v>
      </c>
      <c r="AA695" s="146">
        <v>44621</v>
      </c>
      <c r="AB695" s="146">
        <v>44652</v>
      </c>
      <c r="AC695" s="146">
        <v>44682</v>
      </c>
      <c r="AD695" s="146">
        <v>44713</v>
      </c>
      <c r="AE695" s="146">
        <v>44743</v>
      </c>
      <c r="AF695" s="146">
        <v>44774</v>
      </c>
      <c r="AG695" s="146">
        <v>44805</v>
      </c>
      <c r="AH695" s="146">
        <v>44835</v>
      </c>
      <c r="AI695" s="146">
        <v>44866</v>
      </c>
      <c r="AJ695" s="146">
        <v>44896</v>
      </c>
      <c r="AK695" s="146">
        <v>44927</v>
      </c>
      <c r="AL695" s="146">
        <v>44958</v>
      </c>
      <c r="AM695" s="146">
        <v>44986</v>
      </c>
      <c r="AN695" s="146">
        <v>45017</v>
      </c>
      <c r="AO695" s="146">
        <v>45047</v>
      </c>
      <c r="AP695" s="146">
        <v>45078</v>
      </c>
      <c r="AQ695" s="146">
        <v>45108</v>
      </c>
      <c r="AR695" s="146">
        <v>45139</v>
      </c>
      <c r="AS695" s="146">
        <v>45170</v>
      </c>
      <c r="AT695" s="146">
        <v>45200</v>
      </c>
      <c r="AU695" s="146">
        <v>45231</v>
      </c>
      <c r="AV695" s="146">
        <v>45261</v>
      </c>
      <c r="AW695" s="146">
        <v>45292</v>
      </c>
      <c r="AX695" s="146">
        <v>45323</v>
      </c>
      <c r="AY695" s="146">
        <v>45352</v>
      </c>
      <c r="AZ695" s="146">
        <v>45383</v>
      </c>
      <c r="BA695" s="146">
        <v>45413</v>
      </c>
      <c r="BB695" s="146">
        <v>45444</v>
      </c>
      <c r="BC695" s="146">
        <v>45474</v>
      </c>
      <c r="BD695" s="146">
        <v>45505</v>
      </c>
      <c r="BE695" s="146">
        <v>45536</v>
      </c>
      <c r="BF695" s="146">
        <v>45566</v>
      </c>
      <c r="BG695" s="146">
        <v>45597</v>
      </c>
      <c r="BH695" s="146">
        <v>45627</v>
      </c>
      <c r="BI695" s="146">
        <v>45658</v>
      </c>
      <c r="BJ695" s="146">
        <v>45689</v>
      </c>
      <c r="BK695" s="146">
        <v>45717</v>
      </c>
      <c r="BL695" s="146"/>
      <c r="BM695" s="146"/>
      <c r="BN695" s="146"/>
      <c r="BO695" s="146"/>
      <c r="BP695" s="146"/>
      <c r="BQ695" s="146"/>
      <c r="BR695" s="146"/>
      <c r="BS695" s="146"/>
      <c r="BT695" s="146"/>
      <c r="BU695" s="146"/>
      <c r="BV695" s="146"/>
      <c r="BW695" s="146"/>
      <c r="BX695" s="147" t="s">
        <v>13</v>
      </c>
      <c r="BY695" s="5"/>
      <c r="BZ695" s="5"/>
      <c r="CA695" s="5"/>
    </row>
    <row r="696" spans="1:81" s="107" customFormat="1" ht="15.75" customHeight="1">
      <c r="A696" s="262">
        <v>52</v>
      </c>
      <c r="B696" s="241" t="s">
        <v>237</v>
      </c>
      <c r="C696" s="249" t="s">
        <v>23</v>
      </c>
      <c r="D696" s="249" t="s">
        <v>89</v>
      </c>
      <c r="E696" s="241" t="s">
        <v>395</v>
      </c>
      <c r="F696" s="241" t="s">
        <v>394</v>
      </c>
      <c r="G696" s="263">
        <v>45726</v>
      </c>
      <c r="H696" s="256"/>
      <c r="I696" s="106" t="s">
        <v>390</v>
      </c>
      <c r="J696" s="106"/>
      <c r="K696" s="106"/>
      <c r="L696" s="106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05"/>
      <c r="BF696" s="105"/>
      <c r="BG696" s="105"/>
      <c r="BH696" s="105"/>
      <c r="BI696" s="105"/>
      <c r="BJ696" s="105"/>
      <c r="BK696" s="105"/>
      <c r="BL696" s="105"/>
      <c r="BM696" s="105"/>
      <c r="BN696" s="105"/>
      <c r="BO696" s="105"/>
      <c r="BP696" s="105"/>
      <c r="BQ696" s="105"/>
      <c r="BR696" s="105"/>
      <c r="BS696" s="105"/>
      <c r="BT696" s="105"/>
      <c r="BU696" s="105"/>
      <c r="BV696" s="105"/>
      <c r="BW696" s="105"/>
      <c r="BX696" s="105"/>
      <c r="BY696" s="117"/>
      <c r="BZ696" s="117"/>
      <c r="CA696" s="117"/>
      <c r="CC696" s="118"/>
    </row>
    <row r="697" spans="1:81" s="107" customFormat="1" ht="15.75" customHeight="1">
      <c r="A697" s="262"/>
      <c r="B697" s="241"/>
      <c r="C697" s="249"/>
      <c r="D697" s="249"/>
      <c r="E697" s="241"/>
      <c r="F697" s="241"/>
      <c r="G697" s="249"/>
      <c r="H697" s="257"/>
      <c r="I697" s="106" t="s">
        <v>351</v>
      </c>
      <c r="J697" s="106"/>
      <c r="K697" s="106"/>
      <c r="L697" s="106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5"/>
      <c r="BE697" s="105"/>
      <c r="BF697" s="105"/>
      <c r="BG697" s="105"/>
      <c r="BH697" s="105"/>
      <c r="BI697" s="105"/>
      <c r="BJ697" s="105"/>
      <c r="BK697" s="105">
        <v>1463.99</v>
      </c>
      <c r="BL697" s="105">
        <v>2091.42</v>
      </c>
      <c r="BM697" s="105">
        <v>2091.42</v>
      </c>
      <c r="BN697" s="105"/>
      <c r="BO697" s="105"/>
      <c r="BP697" s="105"/>
      <c r="BQ697" s="105"/>
      <c r="BR697" s="105"/>
      <c r="BS697" s="105"/>
      <c r="BT697" s="105"/>
      <c r="BU697" s="105"/>
      <c r="BV697" s="105"/>
      <c r="BW697" s="105"/>
      <c r="BX697" s="105"/>
      <c r="BY697" s="117"/>
      <c r="BZ697" s="117"/>
      <c r="CA697" s="117"/>
      <c r="CC697" s="118"/>
    </row>
    <row r="698" spans="1:81" s="107" customFormat="1" ht="15.75" customHeight="1">
      <c r="A698" s="262"/>
      <c r="B698" s="241"/>
      <c r="C698" s="249"/>
      <c r="D698" s="249"/>
      <c r="E698" s="241"/>
      <c r="F698" s="241"/>
      <c r="G698" s="249"/>
      <c r="H698" s="257"/>
      <c r="I698" s="106" t="s">
        <v>391</v>
      </c>
      <c r="J698" s="106"/>
      <c r="K698" s="106"/>
      <c r="L698" s="106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9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05"/>
      <c r="BF698" s="105"/>
      <c r="BG698" s="105"/>
      <c r="BH698" s="105"/>
      <c r="BI698" s="105"/>
      <c r="BJ698" s="105"/>
      <c r="BK698" s="105"/>
      <c r="BL698" s="105"/>
      <c r="BM698" s="105"/>
      <c r="BN698" s="105"/>
      <c r="BO698" s="105"/>
      <c r="BP698" s="105"/>
      <c r="BQ698" s="105"/>
      <c r="BR698" s="105"/>
      <c r="BS698" s="105"/>
      <c r="BT698" s="105"/>
      <c r="BU698" s="105"/>
      <c r="BV698" s="105"/>
      <c r="BW698" s="105"/>
      <c r="BX698" s="105"/>
      <c r="BY698" s="117"/>
      <c r="BZ698" s="117"/>
      <c r="CA698" s="117"/>
      <c r="CC698" s="118"/>
    </row>
    <row r="699" spans="1:81" s="107" customFormat="1" ht="15.75" customHeight="1">
      <c r="A699" s="262"/>
      <c r="B699" s="241"/>
      <c r="C699" s="249"/>
      <c r="D699" s="249"/>
      <c r="E699" s="241"/>
      <c r="F699" s="241"/>
      <c r="G699" s="249"/>
      <c r="H699" s="257"/>
      <c r="I699" s="106" t="s">
        <v>351</v>
      </c>
      <c r="J699" s="106"/>
      <c r="K699" s="106"/>
      <c r="L699" s="106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9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  <c r="BF699" s="105"/>
      <c r="BG699" s="105"/>
      <c r="BH699" s="105"/>
      <c r="BI699" s="105"/>
      <c r="BJ699" s="105"/>
      <c r="BK699" s="105"/>
      <c r="BL699" s="105"/>
      <c r="BM699" s="105"/>
      <c r="BN699" s="105"/>
      <c r="BO699" s="105"/>
      <c r="BP699" s="105"/>
      <c r="BQ699" s="105"/>
      <c r="BR699" s="105"/>
      <c r="BS699" s="105"/>
      <c r="BT699" s="105"/>
      <c r="BU699" s="105"/>
      <c r="BV699" s="105"/>
      <c r="BW699" s="105"/>
      <c r="BX699" s="105"/>
      <c r="BY699" s="117"/>
      <c r="BZ699" s="117"/>
      <c r="CA699" s="117"/>
      <c r="CC699" s="118"/>
    </row>
    <row r="700" spans="1:81" s="107" customFormat="1" ht="15.75" customHeight="1">
      <c r="A700" s="262"/>
      <c r="B700" s="241"/>
      <c r="C700" s="249"/>
      <c r="D700" s="249"/>
      <c r="E700" s="241"/>
      <c r="F700" s="241"/>
      <c r="G700" s="249"/>
      <c r="H700" s="257"/>
      <c r="I700" s="106" t="s">
        <v>353</v>
      </c>
      <c r="J700" s="106"/>
      <c r="K700" s="106"/>
      <c r="L700" s="106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  <c r="BF700" s="105"/>
      <c r="BG700" s="105"/>
      <c r="BH700" s="105"/>
      <c r="BI700" s="105"/>
      <c r="BJ700" s="105"/>
      <c r="BK700" s="105"/>
      <c r="BL700" s="105"/>
      <c r="BM700" s="105"/>
      <c r="BN700" s="105"/>
      <c r="BO700" s="105"/>
      <c r="BP700" s="105"/>
      <c r="BQ700" s="105"/>
      <c r="BR700" s="105"/>
      <c r="BS700" s="105"/>
      <c r="BT700" s="105"/>
      <c r="BU700" s="105"/>
      <c r="BV700" s="105"/>
      <c r="BW700" s="105"/>
      <c r="BX700" s="105"/>
      <c r="BY700" s="117"/>
      <c r="BZ700" s="117"/>
      <c r="CA700" s="117"/>
      <c r="CC700" s="118"/>
    </row>
    <row r="701" spans="1:81" s="107" customFormat="1" ht="15.75" customHeight="1">
      <c r="A701" s="262"/>
      <c r="B701" s="241"/>
      <c r="C701" s="249"/>
      <c r="D701" s="249"/>
      <c r="E701" s="241"/>
      <c r="F701" s="241"/>
      <c r="G701" s="249"/>
      <c r="H701" s="257"/>
      <c r="I701" s="106" t="s">
        <v>354</v>
      </c>
      <c r="J701" s="106"/>
      <c r="K701" s="106"/>
      <c r="L701" s="106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5"/>
      <c r="BE701" s="105"/>
      <c r="BF701" s="105"/>
      <c r="BG701" s="105"/>
      <c r="BH701" s="105"/>
      <c r="BI701" s="105"/>
      <c r="BJ701" s="105"/>
      <c r="BK701" s="105"/>
      <c r="BL701" s="105"/>
      <c r="BM701" s="105"/>
      <c r="BN701" s="105"/>
      <c r="BO701" s="105"/>
      <c r="BP701" s="105"/>
      <c r="BQ701" s="105"/>
      <c r="BR701" s="105"/>
      <c r="BS701" s="105"/>
      <c r="BT701" s="105"/>
      <c r="BU701" s="105"/>
      <c r="BV701" s="105"/>
      <c r="BW701" s="105"/>
      <c r="BX701" s="105"/>
      <c r="BY701" s="117"/>
      <c r="BZ701" s="117"/>
      <c r="CA701" s="117"/>
      <c r="CC701" s="118"/>
    </row>
    <row r="702" spans="1:81" s="107" customFormat="1" ht="15.75" customHeight="1">
      <c r="A702" s="262"/>
      <c r="B702" s="241"/>
      <c r="C702" s="249"/>
      <c r="D702" s="249"/>
      <c r="E702" s="241"/>
      <c r="F702" s="241"/>
      <c r="G702" s="249"/>
      <c r="H702" s="257"/>
      <c r="I702" s="106" t="s">
        <v>355</v>
      </c>
      <c r="J702" s="106"/>
      <c r="K702" s="106"/>
      <c r="L702" s="106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05"/>
      <c r="BF702" s="105"/>
      <c r="BG702" s="105"/>
      <c r="BH702" s="105"/>
      <c r="BI702" s="105"/>
      <c r="BJ702" s="105"/>
      <c r="BK702" s="105">
        <v>390.9</v>
      </c>
      <c r="BL702" s="105">
        <v>547.26</v>
      </c>
      <c r="BM702" s="105">
        <v>547.26</v>
      </c>
      <c r="BN702" s="105"/>
      <c r="BO702" s="105"/>
      <c r="BP702" s="105"/>
      <c r="BQ702" s="105"/>
      <c r="BR702" s="105"/>
      <c r="BS702" s="105"/>
      <c r="BT702" s="105"/>
      <c r="BU702" s="105"/>
      <c r="BV702" s="105"/>
      <c r="BW702" s="105"/>
      <c r="BX702" s="112"/>
      <c r="BY702" s="117"/>
      <c r="BZ702" s="117"/>
      <c r="CA702" s="117"/>
      <c r="CC702" s="118"/>
    </row>
    <row r="703" spans="1:81" s="107" customFormat="1" ht="15.75" customHeight="1">
      <c r="A703" s="262"/>
      <c r="B703" s="241"/>
      <c r="C703" s="249"/>
      <c r="D703" s="249"/>
      <c r="E703" s="241"/>
      <c r="F703" s="241"/>
      <c r="G703" s="249"/>
      <c r="H703" s="257"/>
      <c r="I703" s="106" t="s">
        <v>356</v>
      </c>
      <c r="J703" s="106"/>
      <c r="K703" s="106"/>
      <c r="L703" s="106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5"/>
      <c r="BE703" s="105"/>
      <c r="BF703" s="105"/>
      <c r="BG703" s="105"/>
      <c r="BH703" s="105"/>
      <c r="BI703" s="105"/>
      <c r="BJ703" s="105"/>
      <c r="BK703" s="105">
        <v>330</v>
      </c>
      <c r="BL703" s="169">
        <v>462</v>
      </c>
      <c r="BM703" s="169">
        <v>462</v>
      </c>
      <c r="BN703" s="171"/>
      <c r="BO703" s="171"/>
      <c r="BP703" s="171"/>
      <c r="BQ703" s="171"/>
      <c r="BR703" s="171"/>
      <c r="BS703" s="171"/>
      <c r="BT703" s="171"/>
      <c r="BU703" s="171"/>
      <c r="BV703" s="171"/>
      <c r="BW703" s="171"/>
      <c r="BX703" s="112"/>
      <c r="BY703" s="117"/>
      <c r="BZ703" s="117"/>
      <c r="CA703" s="117"/>
      <c r="CC703" s="118"/>
    </row>
    <row r="704" spans="1:81" s="107" customFormat="1" ht="15.75" customHeight="1">
      <c r="A704" s="262"/>
      <c r="B704" s="241"/>
      <c r="C704" s="249"/>
      <c r="D704" s="249"/>
      <c r="E704" s="241"/>
      <c r="F704" s="241"/>
      <c r="G704" s="249"/>
      <c r="H704" s="257"/>
      <c r="I704" s="131" t="s">
        <v>362</v>
      </c>
      <c r="J704" s="106"/>
      <c r="K704" s="106"/>
      <c r="L704" s="106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05"/>
      <c r="BF704" s="105"/>
      <c r="BG704" s="105"/>
      <c r="BH704" s="105"/>
      <c r="BI704" s="105"/>
      <c r="BJ704" s="105"/>
      <c r="BK704" s="105"/>
      <c r="BL704" s="105"/>
      <c r="BM704" s="105"/>
      <c r="BN704" s="105">
        <v>2.37</v>
      </c>
      <c r="BO704" s="105">
        <v>2.37</v>
      </c>
      <c r="BP704" s="105"/>
      <c r="BQ704" s="105"/>
      <c r="BR704" s="105"/>
      <c r="BS704" s="105"/>
      <c r="BT704" s="105"/>
      <c r="BU704" s="105"/>
      <c r="BV704" s="105"/>
      <c r="BW704" s="105"/>
      <c r="BX704" s="112"/>
      <c r="BY704" s="117"/>
      <c r="BZ704" s="117"/>
      <c r="CA704" s="117"/>
      <c r="CC704" s="118"/>
    </row>
    <row r="705" spans="1:81" s="107" customFormat="1">
      <c r="A705" s="262"/>
      <c r="B705" s="241"/>
      <c r="C705" s="249"/>
      <c r="D705" s="249"/>
      <c r="E705" s="241"/>
      <c r="F705" s="241"/>
      <c r="G705" s="249"/>
      <c r="H705" s="257"/>
      <c r="I705" s="132" t="s">
        <v>363</v>
      </c>
      <c r="J705" s="132"/>
      <c r="K705" s="132"/>
      <c r="L705" s="132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5"/>
      <c r="BE705" s="105"/>
      <c r="BF705" s="105"/>
      <c r="BG705" s="105"/>
      <c r="BH705" s="105"/>
      <c r="BI705" s="105"/>
      <c r="BJ705" s="105"/>
      <c r="BK705" s="105"/>
      <c r="BL705" s="105"/>
      <c r="BM705" s="105"/>
      <c r="BN705" s="105"/>
      <c r="BO705" s="105"/>
      <c r="BP705" s="105"/>
      <c r="BQ705" s="105"/>
      <c r="BR705" s="105"/>
      <c r="BS705" s="105"/>
      <c r="BT705" s="105"/>
      <c r="BU705" s="105"/>
      <c r="BV705" s="105"/>
      <c r="BW705" s="105"/>
      <c r="BX705" s="112"/>
      <c r="BY705" s="117"/>
      <c r="BZ705" s="117"/>
    </row>
    <row r="706" spans="1:81" s="107" customFormat="1">
      <c r="A706" s="262"/>
      <c r="B706" s="241"/>
      <c r="C706" s="249"/>
      <c r="D706" s="249"/>
      <c r="E706" s="241"/>
      <c r="F706" s="241"/>
      <c r="G706" s="249"/>
      <c r="H706" s="257"/>
      <c r="I706" s="133" t="s">
        <v>373</v>
      </c>
      <c r="J706" s="133"/>
      <c r="K706" s="133"/>
      <c r="L706" s="133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05"/>
      <c r="BF706" s="105"/>
      <c r="BG706" s="105"/>
      <c r="BH706" s="105"/>
      <c r="BI706" s="105"/>
      <c r="BJ706" s="105"/>
      <c r="BK706" s="105">
        <v>197.63</v>
      </c>
      <c r="BL706" s="105">
        <v>290.94</v>
      </c>
      <c r="BM706" s="105">
        <v>290.94</v>
      </c>
      <c r="BN706" s="105"/>
      <c r="BO706" s="105"/>
      <c r="BP706" s="105"/>
      <c r="BQ706" s="105"/>
      <c r="BR706" s="105"/>
      <c r="BS706" s="105"/>
      <c r="BT706" s="105"/>
      <c r="BU706" s="105"/>
      <c r="BV706" s="105"/>
      <c r="BW706" s="105"/>
      <c r="BX706" s="112"/>
      <c r="BY706" s="117"/>
      <c r="BZ706" s="117"/>
    </row>
    <row r="707" spans="1:81" s="107" customFormat="1">
      <c r="A707" s="262"/>
      <c r="B707" s="241"/>
      <c r="C707" s="249"/>
      <c r="D707" s="249"/>
      <c r="E707" s="241"/>
      <c r="F707" s="241"/>
      <c r="G707" s="249"/>
      <c r="H707" s="258"/>
      <c r="I707" s="132"/>
      <c r="J707" s="105">
        <f>SUM(J696:J705)-J706</f>
        <v>0</v>
      </c>
      <c r="K707" s="105">
        <f t="shared" ref="K707:Y707" si="347">SUM(K696:K705)-K706</f>
        <v>0</v>
      </c>
      <c r="L707" s="105">
        <f t="shared" si="347"/>
        <v>0</v>
      </c>
      <c r="M707" s="105">
        <f t="shared" si="347"/>
        <v>0</v>
      </c>
      <c r="N707" s="105">
        <f t="shared" si="347"/>
        <v>0</v>
      </c>
      <c r="O707" s="105">
        <f t="shared" si="347"/>
        <v>0</v>
      </c>
      <c r="P707" s="105">
        <f t="shared" si="347"/>
        <v>0</v>
      </c>
      <c r="Q707" s="105">
        <f t="shared" si="347"/>
        <v>0</v>
      </c>
      <c r="R707" s="105">
        <f t="shared" si="347"/>
        <v>0</v>
      </c>
      <c r="S707" s="105">
        <f t="shared" si="347"/>
        <v>0</v>
      </c>
      <c r="T707" s="105">
        <f t="shared" si="347"/>
        <v>0</v>
      </c>
      <c r="U707" s="105">
        <f t="shared" si="347"/>
        <v>0</v>
      </c>
      <c r="V707" s="105">
        <f t="shared" si="347"/>
        <v>0</v>
      </c>
      <c r="W707" s="105">
        <f t="shared" si="347"/>
        <v>0</v>
      </c>
      <c r="X707" s="105">
        <f t="shared" si="347"/>
        <v>0</v>
      </c>
      <c r="Y707" s="105">
        <f t="shared" si="347"/>
        <v>0</v>
      </c>
      <c r="Z707" s="105">
        <f>SUM(Z696:Z705)-Z706</f>
        <v>0</v>
      </c>
      <c r="AA707" s="105">
        <f t="shared" ref="AA707:AD707" si="348">SUM(AA696:AA705)-AA706</f>
        <v>0</v>
      </c>
      <c r="AB707" s="105">
        <f t="shared" si="348"/>
        <v>0</v>
      </c>
      <c r="AC707" s="105">
        <f t="shared" si="348"/>
        <v>0</v>
      </c>
      <c r="AD707" s="105">
        <f t="shared" si="348"/>
        <v>0</v>
      </c>
      <c r="AE707" s="105">
        <f>SUM(AE696:AE705)-AE706</f>
        <v>0</v>
      </c>
      <c r="AF707" s="105">
        <f>SUM(AF696:AF705)-AF706</f>
        <v>0</v>
      </c>
      <c r="AG707" s="105">
        <f t="shared" ref="AG707:AP707" si="349">SUM(AG696:AG705)-AG706</f>
        <v>0</v>
      </c>
      <c r="AH707" s="105">
        <f t="shared" si="349"/>
        <v>0</v>
      </c>
      <c r="AI707" s="105">
        <f t="shared" si="349"/>
        <v>0</v>
      </c>
      <c r="AJ707" s="105">
        <f t="shared" si="349"/>
        <v>0</v>
      </c>
      <c r="AK707" s="105">
        <f t="shared" si="349"/>
        <v>0</v>
      </c>
      <c r="AL707" s="105">
        <f t="shared" si="349"/>
        <v>0</v>
      </c>
      <c r="AM707" s="105">
        <f t="shared" si="349"/>
        <v>0</v>
      </c>
      <c r="AN707" s="105">
        <f t="shared" si="349"/>
        <v>0</v>
      </c>
      <c r="AO707" s="105">
        <f t="shared" si="349"/>
        <v>0</v>
      </c>
      <c r="AP707" s="105">
        <f t="shared" si="349"/>
        <v>0</v>
      </c>
      <c r="AQ707" s="105">
        <f t="shared" ref="AQ707:AU707" si="350">SUM(AQ696:AQ705)-AQ706</f>
        <v>0</v>
      </c>
      <c r="AR707" s="105">
        <f t="shared" si="350"/>
        <v>0</v>
      </c>
      <c r="AS707" s="105">
        <f t="shared" si="350"/>
        <v>0</v>
      </c>
      <c r="AT707" s="105">
        <f t="shared" si="350"/>
        <v>0</v>
      </c>
      <c r="AU707" s="105">
        <f t="shared" si="350"/>
        <v>0</v>
      </c>
      <c r="AV707" s="105">
        <f>SUM(AV696:AV705)-AV706</f>
        <v>0</v>
      </c>
      <c r="AW707" s="105">
        <f t="shared" ref="AW707:BA707" si="351">SUM(AW696:AW705)-AW706</f>
        <v>0</v>
      </c>
      <c r="AX707" s="105">
        <f t="shared" si="351"/>
        <v>0</v>
      </c>
      <c r="AY707" s="105">
        <f t="shared" si="351"/>
        <v>0</v>
      </c>
      <c r="AZ707" s="105">
        <f t="shared" si="351"/>
        <v>0</v>
      </c>
      <c r="BA707" s="105">
        <f t="shared" si="351"/>
        <v>0</v>
      </c>
      <c r="BB707" s="105"/>
      <c r="BC707" s="105"/>
      <c r="BD707" s="105"/>
      <c r="BE707" s="105"/>
      <c r="BF707" s="105"/>
      <c r="BG707" s="105"/>
      <c r="BH707" s="105"/>
      <c r="BI707" s="105"/>
      <c r="BJ707" s="105"/>
      <c r="BK707" s="105">
        <f>BK697+BK702+BK703-BK706</f>
        <v>1987.2599999999998</v>
      </c>
      <c r="BL707" s="105">
        <f>BL697+BL702+BL703-BL706</f>
        <v>2809.7400000000002</v>
      </c>
      <c r="BM707" s="105">
        <f>BM697+BM702+BM703-BM706</f>
        <v>2809.7400000000002</v>
      </c>
      <c r="BN707" s="105">
        <v>2.37</v>
      </c>
      <c r="BO707" s="105">
        <v>2.37</v>
      </c>
      <c r="BP707" s="105"/>
      <c r="BQ707" s="105"/>
      <c r="BR707" s="105"/>
      <c r="BS707" s="105"/>
      <c r="BT707" s="105"/>
      <c r="BU707" s="105"/>
      <c r="BV707" s="105"/>
      <c r="BW707" s="105"/>
      <c r="BX707" s="171">
        <f>SUM(BK707:BN707)</f>
        <v>7609.11</v>
      </c>
      <c r="BY707" s="117"/>
      <c r="BZ707" s="117"/>
    </row>
    <row r="708" spans="1:81" ht="15.6" customHeight="1">
      <c r="A708" s="148" t="s">
        <v>346</v>
      </c>
      <c r="B708" s="148" t="s">
        <v>347</v>
      </c>
      <c r="C708" s="145" t="s">
        <v>310</v>
      </c>
      <c r="D708" s="145" t="s">
        <v>311</v>
      </c>
      <c r="E708" s="148" t="s">
        <v>312</v>
      </c>
      <c r="F708" s="148" t="s">
        <v>348</v>
      </c>
      <c r="G708" s="145" t="s">
        <v>314</v>
      </c>
      <c r="H708" s="145" t="s">
        <v>315</v>
      </c>
      <c r="I708" s="145" t="s">
        <v>349</v>
      </c>
      <c r="J708" s="146">
        <v>44105</v>
      </c>
      <c r="K708" s="146">
        <v>44136</v>
      </c>
      <c r="L708" s="146">
        <v>44166</v>
      </c>
      <c r="M708" s="146">
        <v>44197</v>
      </c>
      <c r="N708" s="146">
        <v>44228</v>
      </c>
      <c r="O708" s="146">
        <v>44256</v>
      </c>
      <c r="P708" s="146">
        <v>44287</v>
      </c>
      <c r="Q708" s="146">
        <v>44317</v>
      </c>
      <c r="R708" s="146">
        <v>44348</v>
      </c>
      <c r="S708" s="146">
        <v>44378</v>
      </c>
      <c r="T708" s="146">
        <v>44409</v>
      </c>
      <c r="U708" s="146">
        <v>44440</v>
      </c>
      <c r="V708" s="146">
        <v>44470</v>
      </c>
      <c r="W708" s="146">
        <v>44501</v>
      </c>
      <c r="X708" s="146">
        <v>44531</v>
      </c>
      <c r="Y708" s="146">
        <v>44562</v>
      </c>
      <c r="Z708" s="146">
        <v>44593</v>
      </c>
      <c r="AA708" s="146">
        <v>44621</v>
      </c>
      <c r="AB708" s="146">
        <v>44652</v>
      </c>
      <c r="AC708" s="146">
        <v>44682</v>
      </c>
      <c r="AD708" s="146">
        <v>44713</v>
      </c>
      <c r="AE708" s="146">
        <v>44743</v>
      </c>
      <c r="AF708" s="146">
        <v>44774</v>
      </c>
      <c r="AG708" s="146">
        <v>44805</v>
      </c>
      <c r="AH708" s="146">
        <v>44835</v>
      </c>
      <c r="AI708" s="146">
        <v>44866</v>
      </c>
      <c r="AJ708" s="146">
        <v>44896</v>
      </c>
      <c r="AK708" s="146">
        <v>44927</v>
      </c>
      <c r="AL708" s="146">
        <v>44958</v>
      </c>
      <c r="AM708" s="146">
        <v>44986</v>
      </c>
      <c r="AN708" s="146">
        <v>45017</v>
      </c>
      <c r="AO708" s="146">
        <v>45047</v>
      </c>
      <c r="AP708" s="146">
        <v>45078</v>
      </c>
      <c r="AQ708" s="146">
        <v>45108</v>
      </c>
      <c r="AR708" s="146">
        <v>45139</v>
      </c>
      <c r="AS708" s="146">
        <v>45170</v>
      </c>
      <c r="AT708" s="146">
        <v>45200</v>
      </c>
      <c r="AU708" s="146">
        <v>45231</v>
      </c>
      <c r="AV708" s="146">
        <v>45261</v>
      </c>
      <c r="AW708" s="146">
        <v>45292</v>
      </c>
      <c r="AX708" s="146">
        <v>45323</v>
      </c>
      <c r="AY708" s="146">
        <v>45352</v>
      </c>
      <c r="AZ708" s="146">
        <v>45383</v>
      </c>
      <c r="BA708" s="146">
        <v>45413</v>
      </c>
      <c r="BB708" s="146">
        <v>45444</v>
      </c>
      <c r="BC708" s="146">
        <v>45474</v>
      </c>
      <c r="BD708" s="146">
        <v>45505</v>
      </c>
      <c r="BE708" s="146">
        <v>45536</v>
      </c>
      <c r="BF708" s="146">
        <v>45566</v>
      </c>
      <c r="BG708" s="146">
        <v>45597</v>
      </c>
      <c r="BH708" s="146">
        <v>45627</v>
      </c>
      <c r="BI708" s="146">
        <v>45658</v>
      </c>
      <c r="BJ708" s="146">
        <v>45689</v>
      </c>
      <c r="BK708" s="146">
        <v>45717</v>
      </c>
      <c r="BL708" s="146">
        <v>45748</v>
      </c>
      <c r="BM708" s="146">
        <v>45778</v>
      </c>
      <c r="BN708" s="146">
        <v>45809</v>
      </c>
      <c r="BO708" s="146">
        <v>45839</v>
      </c>
      <c r="BP708" s="146">
        <v>45870</v>
      </c>
      <c r="BQ708" s="146">
        <v>45901</v>
      </c>
      <c r="BR708" s="146">
        <v>45931</v>
      </c>
      <c r="BS708" s="146">
        <v>45962</v>
      </c>
      <c r="BT708" s="146">
        <v>45992</v>
      </c>
      <c r="BU708" s="146">
        <v>46023</v>
      </c>
      <c r="BV708" s="146">
        <v>46054</v>
      </c>
      <c r="BW708" s="146">
        <v>46082</v>
      </c>
      <c r="BX708" s="147" t="s">
        <v>13</v>
      </c>
      <c r="BY708" s="5"/>
      <c r="BZ708" s="5"/>
      <c r="CA708" s="5"/>
    </row>
    <row r="709" spans="1:81" s="178" customFormat="1" ht="15.75" customHeight="1">
      <c r="A709" s="226">
        <v>53</v>
      </c>
      <c r="B709" s="227" t="s">
        <v>195</v>
      </c>
      <c r="C709" s="229" t="s">
        <v>23</v>
      </c>
      <c r="D709" s="229" t="s">
        <v>89</v>
      </c>
      <c r="E709" s="227" t="s">
        <v>396</v>
      </c>
      <c r="F709" s="227" t="s">
        <v>396</v>
      </c>
      <c r="G709" s="228">
        <v>45729</v>
      </c>
      <c r="H709" s="228"/>
      <c r="I709" s="175" t="s">
        <v>390</v>
      </c>
      <c r="J709" s="175"/>
      <c r="K709" s="175"/>
      <c r="L709" s="175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  <c r="AA709" s="176"/>
      <c r="AB709" s="176"/>
      <c r="AC709" s="176"/>
      <c r="AD709" s="176"/>
      <c r="AE709" s="176"/>
      <c r="AF709" s="176"/>
      <c r="AG709" s="176"/>
      <c r="AH709" s="176"/>
      <c r="AI709" s="176"/>
      <c r="AJ709" s="176"/>
      <c r="AK709" s="176"/>
      <c r="AL709" s="176"/>
      <c r="AM709" s="176"/>
      <c r="AN709" s="176"/>
      <c r="AO709" s="176"/>
      <c r="AP709" s="176"/>
      <c r="AQ709" s="176"/>
      <c r="AR709" s="176"/>
      <c r="AS709" s="176"/>
      <c r="AT709" s="176"/>
      <c r="AU709" s="176"/>
      <c r="AV709" s="176"/>
      <c r="AW709" s="176"/>
      <c r="AX709" s="176"/>
      <c r="AY709" s="176"/>
      <c r="AZ709" s="176"/>
      <c r="BA709" s="176"/>
      <c r="BB709" s="176"/>
      <c r="BC709" s="176"/>
      <c r="BD709" s="176"/>
      <c r="BE709" s="176"/>
      <c r="BF709" s="176"/>
      <c r="BG709" s="176"/>
      <c r="BH709" s="176"/>
      <c r="BI709" s="176"/>
      <c r="BJ709" s="176"/>
      <c r="BK709" s="176"/>
      <c r="BL709" s="176"/>
      <c r="BM709" s="176"/>
      <c r="BN709" s="176"/>
      <c r="BO709" s="176"/>
      <c r="BP709" s="176"/>
      <c r="BQ709" s="176"/>
      <c r="BR709" s="176"/>
      <c r="BS709" s="176"/>
      <c r="BT709" s="176"/>
      <c r="BU709" s="176"/>
      <c r="BV709" s="176"/>
      <c r="BW709" s="176"/>
      <c r="BX709" s="176"/>
      <c r="BY709" s="191"/>
      <c r="BZ709" s="191"/>
      <c r="CA709" s="191"/>
      <c r="CC709" s="182"/>
    </row>
    <row r="710" spans="1:81" s="178" customFormat="1" ht="15.75" customHeight="1">
      <c r="A710" s="226"/>
      <c r="B710" s="227"/>
      <c r="C710" s="229"/>
      <c r="D710" s="229"/>
      <c r="E710" s="227"/>
      <c r="F710" s="227"/>
      <c r="G710" s="229"/>
      <c r="H710" s="229"/>
      <c r="I710" s="175" t="s">
        <v>351</v>
      </c>
      <c r="J710" s="175"/>
      <c r="K710" s="175"/>
      <c r="L710" s="175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  <c r="AA710" s="176"/>
      <c r="AB710" s="176"/>
      <c r="AC710" s="176"/>
      <c r="AD710" s="176"/>
      <c r="AE710" s="176"/>
      <c r="AF710" s="176"/>
      <c r="AG710" s="176"/>
      <c r="AH710" s="176"/>
      <c r="AI710" s="176"/>
      <c r="AJ710" s="176"/>
      <c r="AK710" s="176"/>
      <c r="AL710" s="176"/>
      <c r="AM710" s="176"/>
      <c r="AN710" s="176"/>
      <c r="AO710" s="176"/>
      <c r="AP710" s="176"/>
      <c r="AQ710" s="176"/>
      <c r="AR710" s="176"/>
      <c r="AS710" s="176"/>
      <c r="AT710" s="176"/>
      <c r="AU710" s="176"/>
      <c r="AV710" s="176"/>
      <c r="AW710" s="176"/>
      <c r="AX710" s="176"/>
      <c r="AY710" s="176"/>
      <c r="AZ710" s="176"/>
      <c r="BA710" s="176"/>
      <c r="BB710" s="176"/>
      <c r="BC710" s="176"/>
      <c r="BD710" s="176"/>
      <c r="BE710" s="176"/>
      <c r="BF710" s="176"/>
      <c r="BG710" s="176"/>
      <c r="BH710" s="176"/>
      <c r="BI710" s="176"/>
      <c r="BJ710" s="176"/>
      <c r="BK710" s="176">
        <v>1660.72</v>
      </c>
      <c r="BL710" s="176">
        <v>2767.86</v>
      </c>
      <c r="BM710" s="176">
        <v>2767.86</v>
      </c>
      <c r="BN710" s="176">
        <v>2767.86</v>
      </c>
      <c r="BO710" s="176">
        <v>2767.86</v>
      </c>
      <c r="BP710" s="176">
        <v>2767.86</v>
      </c>
      <c r="BQ710" s="176">
        <v>2767.86</v>
      </c>
      <c r="BR710" s="176">
        <v>2927.01</v>
      </c>
      <c r="BS710" s="176">
        <v>2927.01</v>
      </c>
      <c r="BT710" s="176">
        <f>2927.01+0.03</f>
        <v>2927.0400000000004</v>
      </c>
      <c r="BU710" s="176">
        <v>2927.01</v>
      </c>
      <c r="BV710" s="176">
        <v>2927.01</v>
      </c>
      <c r="BW710" s="176">
        <v>2927.01</v>
      </c>
      <c r="BX710" s="176"/>
      <c r="BY710" s="191"/>
      <c r="BZ710" s="191"/>
      <c r="CA710" s="191"/>
      <c r="CC710" s="182"/>
    </row>
    <row r="711" spans="1:81" s="178" customFormat="1" ht="15.75" customHeight="1">
      <c r="A711" s="226"/>
      <c r="B711" s="227"/>
      <c r="C711" s="229"/>
      <c r="D711" s="229"/>
      <c r="E711" s="227"/>
      <c r="F711" s="227"/>
      <c r="G711" s="229"/>
      <c r="H711" s="229"/>
      <c r="I711" s="175" t="s">
        <v>391</v>
      </c>
      <c r="J711" s="175"/>
      <c r="K711" s="175"/>
      <c r="L711" s="175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7"/>
      <c r="Z711" s="176"/>
      <c r="AA711" s="176"/>
      <c r="AB711" s="176"/>
      <c r="AC711" s="176"/>
      <c r="AD711" s="176"/>
      <c r="AE711" s="176"/>
      <c r="AF711" s="176"/>
      <c r="AG711" s="176"/>
      <c r="AH711" s="176"/>
      <c r="AI711" s="176"/>
      <c r="AJ711" s="176"/>
      <c r="AK711" s="176"/>
      <c r="AL711" s="176"/>
      <c r="AM711" s="176"/>
      <c r="AN711" s="176"/>
      <c r="AO711" s="176"/>
      <c r="AP711" s="176"/>
      <c r="AQ711" s="176"/>
      <c r="AR711" s="176"/>
      <c r="AS711" s="176"/>
      <c r="AT711" s="176"/>
      <c r="AU711" s="176"/>
      <c r="AV711" s="176"/>
      <c r="AW711" s="176"/>
      <c r="AX711" s="176"/>
      <c r="AY711" s="176"/>
      <c r="AZ711" s="176"/>
      <c r="BA711" s="176"/>
      <c r="BB711" s="176"/>
      <c r="BC711" s="176"/>
      <c r="BD711" s="176"/>
      <c r="BE711" s="176"/>
      <c r="BF711" s="176"/>
      <c r="BG711" s="176"/>
      <c r="BH711" s="176"/>
      <c r="BI711" s="176"/>
      <c r="BJ711" s="176"/>
      <c r="BK711" s="176"/>
      <c r="BL711" s="176"/>
      <c r="BM711" s="176"/>
      <c r="BN711" s="176"/>
      <c r="BO711" s="176"/>
      <c r="BP711" s="176"/>
      <c r="BQ711" s="176"/>
      <c r="BR711" s="176"/>
      <c r="BS711" s="176"/>
      <c r="BT711" s="176"/>
      <c r="BU711" s="176"/>
      <c r="BV711" s="176"/>
      <c r="BW711" s="176"/>
      <c r="BX711" s="176"/>
      <c r="BY711" s="191"/>
      <c r="BZ711" s="191"/>
      <c r="CA711" s="191"/>
      <c r="CC711" s="182"/>
    </row>
    <row r="712" spans="1:81" s="178" customFormat="1" ht="15.75" customHeight="1">
      <c r="A712" s="226"/>
      <c r="B712" s="227"/>
      <c r="C712" s="229"/>
      <c r="D712" s="229"/>
      <c r="E712" s="227"/>
      <c r="F712" s="227"/>
      <c r="G712" s="229"/>
      <c r="H712" s="229"/>
      <c r="I712" s="175" t="s">
        <v>397</v>
      </c>
      <c r="J712" s="175"/>
      <c r="K712" s="175"/>
      <c r="L712" s="175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7"/>
      <c r="Z712" s="176"/>
      <c r="AA712" s="176"/>
      <c r="AB712" s="176"/>
      <c r="AC712" s="176"/>
      <c r="AD712" s="176"/>
      <c r="AE712" s="176"/>
      <c r="AF712" s="176"/>
      <c r="AG712" s="176"/>
      <c r="AH712" s="176"/>
      <c r="AI712" s="176"/>
      <c r="AJ712" s="176"/>
      <c r="AK712" s="176"/>
      <c r="AL712" s="176"/>
      <c r="AM712" s="176"/>
      <c r="AN712" s="176"/>
      <c r="AO712" s="176"/>
      <c r="AP712" s="176"/>
      <c r="AQ712" s="176"/>
      <c r="AR712" s="176"/>
      <c r="AS712" s="176"/>
      <c r="AT712" s="176"/>
      <c r="AU712" s="176"/>
      <c r="AV712" s="176"/>
      <c r="AW712" s="176"/>
      <c r="AX712" s="176"/>
      <c r="AY712" s="176"/>
      <c r="AZ712" s="176"/>
      <c r="BA712" s="176"/>
      <c r="BB712" s="176"/>
      <c r="BC712" s="176"/>
      <c r="BD712" s="176"/>
      <c r="BE712" s="176"/>
      <c r="BF712" s="176"/>
      <c r="BG712" s="176"/>
      <c r="BH712" s="176"/>
      <c r="BI712" s="176"/>
      <c r="BJ712" s="176"/>
      <c r="BK712" s="176"/>
      <c r="BL712" s="176"/>
      <c r="BM712" s="176"/>
      <c r="BN712" s="176"/>
      <c r="BO712" s="176"/>
      <c r="BP712" s="176"/>
      <c r="BQ712" s="176"/>
      <c r="BR712" s="176"/>
      <c r="BS712" s="176"/>
      <c r="BT712" s="176"/>
      <c r="BU712" s="176"/>
      <c r="BV712" s="176"/>
      <c r="BW712" s="176"/>
      <c r="BX712" s="176"/>
      <c r="BY712" s="191"/>
      <c r="BZ712" s="191"/>
      <c r="CA712" s="191"/>
      <c r="CC712" s="182"/>
    </row>
    <row r="713" spans="1:81" s="178" customFormat="1" ht="15.75" customHeight="1">
      <c r="A713" s="226"/>
      <c r="B713" s="227"/>
      <c r="C713" s="229"/>
      <c r="D713" s="229"/>
      <c r="E713" s="227"/>
      <c r="F713" s="227"/>
      <c r="G713" s="229"/>
      <c r="H713" s="229"/>
      <c r="I713" s="175" t="s">
        <v>353</v>
      </c>
      <c r="J713" s="175"/>
      <c r="K713" s="175"/>
      <c r="L713" s="175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  <c r="AA713" s="176"/>
      <c r="AB713" s="176"/>
      <c r="AC713" s="176"/>
      <c r="AD713" s="176"/>
      <c r="AE713" s="176"/>
      <c r="AF713" s="176"/>
      <c r="AG713" s="176"/>
      <c r="AH713" s="176"/>
      <c r="AI713" s="176"/>
      <c r="AJ713" s="176"/>
      <c r="AK713" s="176"/>
      <c r="AL713" s="176"/>
      <c r="AM713" s="176"/>
      <c r="AN713" s="176"/>
      <c r="AO713" s="176"/>
      <c r="AP713" s="176"/>
      <c r="AQ713" s="176"/>
      <c r="AR713" s="176"/>
      <c r="AS713" s="176"/>
      <c r="AT713" s="176"/>
      <c r="AU713" s="176"/>
      <c r="AV713" s="176"/>
      <c r="AW713" s="176"/>
      <c r="AX713" s="176"/>
      <c r="AY713" s="176"/>
      <c r="AZ713" s="176"/>
      <c r="BA713" s="176"/>
      <c r="BB713" s="176"/>
      <c r="BC713" s="176"/>
      <c r="BD713" s="176"/>
      <c r="BE713" s="176"/>
      <c r="BF713" s="176"/>
      <c r="BG713" s="176"/>
      <c r="BH713" s="176"/>
      <c r="BI713" s="176"/>
      <c r="BJ713" s="176"/>
      <c r="BK713" s="176"/>
      <c r="BL713" s="176"/>
      <c r="BM713" s="176"/>
      <c r="BN713" s="176"/>
      <c r="BO713" s="176"/>
      <c r="BP713" s="176"/>
      <c r="BQ713" s="176"/>
      <c r="BR713" s="176"/>
      <c r="BS713" s="176"/>
      <c r="BT713" s="176"/>
      <c r="BU713" s="176"/>
      <c r="BV713" s="176"/>
      <c r="BW713" s="176"/>
      <c r="BX713" s="176"/>
      <c r="BY713" s="191"/>
      <c r="BZ713" s="191"/>
      <c r="CA713" s="191"/>
      <c r="CC713" s="182"/>
    </row>
    <row r="714" spans="1:81" s="178" customFormat="1" ht="15.75" customHeight="1">
      <c r="A714" s="226"/>
      <c r="B714" s="227"/>
      <c r="C714" s="229"/>
      <c r="D714" s="229"/>
      <c r="E714" s="227"/>
      <c r="F714" s="227"/>
      <c r="G714" s="229"/>
      <c r="H714" s="229"/>
      <c r="I714" s="175" t="s">
        <v>354</v>
      </c>
      <c r="J714" s="175"/>
      <c r="K714" s="175"/>
      <c r="L714" s="175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  <c r="AA714" s="176"/>
      <c r="AB714" s="176"/>
      <c r="AC714" s="176"/>
      <c r="AD714" s="176"/>
      <c r="AE714" s="176"/>
      <c r="AF714" s="176"/>
      <c r="AG714" s="176"/>
      <c r="AH714" s="176"/>
      <c r="AI714" s="176"/>
      <c r="AJ714" s="176"/>
      <c r="AK714" s="176"/>
      <c r="AL714" s="176"/>
      <c r="AM714" s="176"/>
      <c r="AN714" s="176"/>
      <c r="AO714" s="176"/>
      <c r="AP714" s="176"/>
      <c r="AQ714" s="176"/>
      <c r="AR714" s="176"/>
      <c r="AS714" s="176"/>
      <c r="AT714" s="176"/>
      <c r="AU714" s="176"/>
      <c r="AV714" s="176"/>
      <c r="AW714" s="176"/>
      <c r="AX714" s="176"/>
      <c r="AY714" s="176"/>
      <c r="AZ714" s="176"/>
      <c r="BA714" s="176"/>
      <c r="BB714" s="176"/>
      <c r="BC714" s="176"/>
      <c r="BD714" s="176"/>
      <c r="BE714" s="176"/>
      <c r="BF714" s="176"/>
      <c r="BG714" s="176"/>
      <c r="BH714" s="176"/>
      <c r="BI714" s="176"/>
      <c r="BJ714" s="176"/>
      <c r="BK714" s="176"/>
      <c r="BL714" s="176"/>
      <c r="BM714" s="176"/>
      <c r="BN714" s="176"/>
      <c r="BO714" s="176"/>
      <c r="BP714" s="176"/>
      <c r="BQ714" s="176"/>
      <c r="BR714" s="176"/>
      <c r="BS714" s="176"/>
      <c r="BT714" s="176"/>
      <c r="BU714" s="176"/>
      <c r="BV714" s="176"/>
      <c r="BW714" s="176"/>
      <c r="BX714" s="176"/>
      <c r="BY714" s="191"/>
      <c r="BZ714" s="191"/>
      <c r="CA714" s="191"/>
      <c r="CC714" s="182"/>
    </row>
    <row r="715" spans="1:81" s="178" customFormat="1" ht="15.75" customHeight="1">
      <c r="A715" s="226"/>
      <c r="B715" s="227"/>
      <c r="C715" s="229"/>
      <c r="D715" s="229"/>
      <c r="E715" s="227"/>
      <c r="F715" s="227"/>
      <c r="G715" s="229"/>
      <c r="H715" s="229"/>
      <c r="I715" s="175" t="s">
        <v>355</v>
      </c>
      <c r="J715" s="175"/>
      <c r="K715" s="175"/>
      <c r="L715" s="175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  <c r="AA715" s="176"/>
      <c r="AB715" s="176"/>
      <c r="AC715" s="176"/>
      <c r="AD715" s="176"/>
      <c r="AE715" s="176"/>
      <c r="AF715" s="176"/>
      <c r="AG715" s="176"/>
      <c r="AH715" s="176"/>
      <c r="AI715" s="176"/>
      <c r="AJ715" s="176"/>
      <c r="AK715" s="176"/>
      <c r="AL715" s="176"/>
      <c r="AM715" s="176"/>
      <c r="AN715" s="176"/>
      <c r="AO715" s="176"/>
      <c r="AP715" s="176"/>
      <c r="AQ715" s="176"/>
      <c r="AR715" s="176"/>
      <c r="AS715" s="176"/>
      <c r="AT715" s="176"/>
      <c r="AU715" s="176"/>
      <c r="AV715" s="176"/>
      <c r="AW715" s="176"/>
      <c r="AX715" s="176"/>
      <c r="AY715" s="176"/>
      <c r="AZ715" s="176"/>
      <c r="BA715" s="176"/>
      <c r="BB715" s="176"/>
      <c r="BC715" s="176"/>
      <c r="BD715" s="176"/>
      <c r="BE715" s="176"/>
      <c r="BF715" s="176"/>
      <c r="BG715" s="176"/>
      <c r="BH715" s="176"/>
      <c r="BI715" s="176"/>
      <c r="BJ715" s="176"/>
      <c r="BK715" s="176">
        <v>390.9</v>
      </c>
      <c r="BL715" s="176">
        <v>547.26</v>
      </c>
      <c r="BM715" s="176">
        <v>547.26</v>
      </c>
      <c r="BN715" s="176">
        <v>495.14</v>
      </c>
      <c r="BO715" s="176">
        <v>573.32000000000005</v>
      </c>
      <c r="BP715" s="212">
        <v>547.26</v>
      </c>
      <c r="BQ715" s="212">
        <v>573.32000000000005</v>
      </c>
      <c r="BR715" s="212">
        <v>663.65</v>
      </c>
      <c r="BS715" s="212">
        <v>523.45000000000005</v>
      </c>
      <c r="BT715" s="212">
        <v>523.45000000000005</v>
      </c>
      <c r="BU715" s="213">
        <v>551</v>
      </c>
      <c r="BV715" s="213">
        <v>551</v>
      </c>
      <c r="BW715" s="213">
        <v>606</v>
      </c>
      <c r="BX715" s="176"/>
      <c r="BY715" s="191"/>
      <c r="BZ715" s="191"/>
      <c r="CA715" s="191"/>
      <c r="CC715" s="182"/>
    </row>
    <row r="716" spans="1:81" s="178" customFormat="1" ht="15.75" customHeight="1">
      <c r="A716" s="226"/>
      <c r="B716" s="227"/>
      <c r="C716" s="229"/>
      <c r="D716" s="229"/>
      <c r="E716" s="227"/>
      <c r="F716" s="227"/>
      <c r="G716" s="229"/>
      <c r="H716" s="229"/>
      <c r="I716" s="175" t="s">
        <v>356</v>
      </c>
      <c r="J716" s="175"/>
      <c r="K716" s="175"/>
      <c r="L716" s="175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  <c r="AA716" s="176"/>
      <c r="AB716" s="176"/>
      <c r="AC716" s="176"/>
      <c r="AD716" s="176"/>
      <c r="AE716" s="176"/>
      <c r="AF716" s="176"/>
      <c r="AG716" s="176"/>
      <c r="AH716" s="176"/>
      <c r="AI716" s="176"/>
      <c r="AJ716" s="176"/>
      <c r="AK716" s="176"/>
      <c r="AL716" s="176"/>
      <c r="AM716" s="176"/>
      <c r="AN716" s="176"/>
      <c r="AO716" s="176"/>
      <c r="AP716" s="176"/>
      <c r="AQ716" s="176"/>
      <c r="AR716" s="176"/>
      <c r="AS716" s="176"/>
      <c r="AT716" s="176"/>
      <c r="AU716" s="176"/>
      <c r="AV716" s="176"/>
      <c r="AW716" s="176"/>
      <c r="AX716" s="176"/>
      <c r="AY716" s="176"/>
      <c r="AZ716" s="176"/>
      <c r="BA716" s="176"/>
      <c r="BB716" s="176"/>
      <c r="BC716" s="176"/>
      <c r="BD716" s="176"/>
      <c r="BE716" s="176"/>
      <c r="BF716" s="176"/>
      <c r="BG716" s="176"/>
      <c r="BH716" s="176"/>
      <c r="BI716" s="176"/>
      <c r="BJ716" s="176"/>
      <c r="BK716" s="176">
        <v>278.2</v>
      </c>
      <c r="BL716" s="212">
        <v>449.4</v>
      </c>
      <c r="BM716" s="212">
        <v>449.4</v>
      </c>
      <c r="BN716" s="212">
        <v>406.6</v>
      </c>
      <c r="BO716" s="212">
        <v>470.8</v>
      </c>
      <c r="BP716" s="191">
        <v>449.6</v>
      </c>
      <c r="BQ716" s="176">
        <v>470.8</v>
      </c>
      <c r="BR716" s="176">
        <v>492.2</v>
      </c>
      <c r="BS716" s="176">
        <v>406.6</v>
      </c>
      <c r="BT716" s="176">
        <v>406.6</v>
      </c>
      <c r="BU716" s="186">
        <v>428</v>
      </c>
      <c r="BV716" s="186">
        <v>436</v>
      </c>
      <c r="BW716" s="186">
        <v>501.6</v>
      </c>
      <c r="BX716" s="176"/>
      <c r="BY716" s="191"/>
      <c r="BZ716" s="191"/>
      <c r="CA716" s="191"/>
      <c r="CC716" s="182"/>
    </row>
    <row r="717" spans="1:81" s="178" customFormat="1" ht="15.75" customHeight="1">
      <c r="A717" s="226"/>
      <c r="B717" s="227"/>
      <c r="C717" s="229"/>
      <c r="D717" s="229"/>
      <c r="E717" s="227"/>
      <c r="F717" s="227"/>
      <c r="G717" s="229"/>
      <c r="H717" s="229"/>
      <c r="I717" s="184" t="s">
        <v>362</v>
      </c>
      <c r="J717" s="175"/>
      <c r="K717" s="175"/>
      <c r="L717" s="175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  <c r="AA717" s="176"/>
      <c r="AB717" s="176"/>
      <c r="AC717" s="176"/>
      <c r="AD717" s="176"/>
      <c r="AE717" s="176"/>
      <c r="AF717" s="176"/>
      <c r="AG717" s="176"/>
      <c r="AH717" s="176"/>
      <c r="AI717" s="176"/>
      <c r="AJ717" s="176"/>
      <c r="AK717" s="176"/>
      <c r="AL717" s="176"/>
      <c r="AM717" s="176"/>
      <c r="AN717" s="176"/>
      <c r="AO717" s="176"/>
      <c r="AP717" s="176"/>
      <c r="AQ717" s="176"/>
      <c r="AR717" s="176"/>
      <c r="AS717" s="176"/>
      <c r="AT717" s="176"/>
      <c r="AU717" s="176"/>
      <c r="AV717" s="176"/>
      <c r="AW717" s="176"/>
      <c r="AX717" s="176"/>
      <c r="AY717" s="176"/>
      <c r="AZ717" s="176"/>
      <c r="BA717" s="176"/>
      <c r="BB717" s="176"/>
      <c r="BC717" s="176"/>
      <c r="BD717" s="176"/>
      <c r="BE717" s="176"/>
      <c r="BF717" s="176"/>
      <c r="BG717" s="176"/>
      <c r="BH717" s="176"/>
      <c r="BI717" s="176"/>
      <c r="BJ717" s="176"/>
      <c r="BK717" s="176"/>
      <c r="BL717" s="176"/>
      <c r="BM717" s="176"/>
      <c r="BN717" s="176"/>
      <c r="BO717" s="176"/>
      <c r="BP717" s="176"/>
      <c r="BQ717" s="176"/>
      <c r="BR717" s="176">
        <v>315</v>
      </c>
      <c r="BS717" s="176">
        <v>315</v>
      </c>
      <c r="BT717" s="176">
        <v>315</v>
      </c>
      <c r="BU717" s="176">
        <v>315</v>
      </c>
      <c r="BV717" s="176">
        <v>315</v>
      </c>
      <c r="BW717" s="176">
        <v>315</v>
      </c>
      <c r="BX717" s="176"/>
      <c r="BY717" s="191"/>
      <c r="BZ717" s="191"/>
      <c r="CA717" s="191"/>
      <c r="CC717" s="182"/>
    </row>
    <row r="718" spans="1:81" s="178" customFormat="1">
      <c r="A718" s="226"/>
      <c r="B718" s="227"/>
      <c r="C718" s="229"/>
      <c r="D718" s="229"/>
      <c r="E718" s="227"/>
      <c r="F718" s="227"/>
      <c r="G718" s="229"/>
      <c r="H718" s="229"/>
      <c r="I718" s="190" t="s">
        <v>363</v>
      </c>
      <c r="J718" s="190"/>
      <c r="K718" s="190"/>
      <c r="L718" s="190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  <c r="AA718" s="176"/>
      <c r="AB718" s="176"/>
      <c r="AC718" s="176"/>
      <c r="AD718" s="176"/>
      <c r="AE718" s="176"/>
      <c r="AF718" s="176"/>
      <c r="AG718" s="176"/>
      <c r="AH718" s="176"/>
      <c r="AI718" s="176"/>
      <c r="AJ718" s="176"/>
      <c r="AK718" s="176"/>
      <c r="AL718" s="176"/>
      <c r="AM718" s="176"/>
      <c r="AN718" s="176"/>
      <c r="AO718" s="176"/>
      <c r="AP718" s="176"/>
      <c r="AQ718" s="176"/>
      <c r="AR718" s="176"/>
      <c r="AS718" s="176"/>
      <c r="AT718" s="176"/>
      <c r="AU718" s="176"/>
      <c r="AV718" s="176"/>
      <c r="AW718" s="176"/>
      <c r="AX718" s="176"/>
      <c r="AY718" s="176"/>
      <c r="AZ718" s="176"/>
      <c r="BA718" s="176"/>
      <c r="BB718" s="176"/>
      <c r="BC718" s="176"/>
      <c r="BD718" s="176"/>
      <c r="BE718" s="176"/>
      <c r="BF718" s="176"/>
      <c r="BG718" s="176"/>
      <c r="BH718" s="176"/>
      <c r="BI718" s="176"/>
      <c r="BJ718" s="176"/>
      <c r="BK718" s="176"/>
      <c r="BL718" s="176"/>
      <c r="BM718" s="176"/>
      <c r="BN718" s="176"/>
      <c r="BO718" s="176"/>
      <c r="BP718" s="176"/>
      <c r="BQ718" s="176"/>
      <c r="BR718" s="176"/>
      <c r="BS718" s="176"/>
      <c r="BT718" s="176"/>
      <c r="BU718" s="176"/>
      <c r="BV718" s="176"/>
      <c r="BW718" s="176"/>
      <c r="BX718" s="176"/>
      <c r="BY718" s="191"/>
      <c r="BZ718" s="191"/>
    </row>
    <row r="719" spans="1:81" s="178" customFormat="1">
      <c r="A719" s="226"/>
      <c r="B719" s="227"/>
      <c r="C719" s="229"/>
      <c r="D719" s="229"/>
      <c r="E719" s="227"/>
      <c r="F719" s="227"/>
      <c r="G719" s="229"/>
      <c r="H719" s="229"/>
      <c r="I719" s="193" t="s">
        <v>373</v>
      </c>
      <c r="J719" s="193"/>
      <c r="K719" s="193"/>
      <c r="L719" s="193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  <c r="AA719" s="176"/>
      <c r="AB719" s="176"/>
      <c r="AC719" s="176"/>
      <c r="AD719" s="176"/>
      <c r="AE719" s="176"/>
      <c r="AF719" s="176"/>
      <c r="AG719" s="176"/>
      <c r="AH719" s="176"/>
      <c r="AI719" s="176"/>
      <c r="AJ719" s="176"/>
      <c r="AK719" s="176"/>
      <c r="AL719" s="176"/>
      <c r="AM719" s="176"/>
      <c r="AN719" s="176"/>
      <c r="AO719" s="176"/>
      <c r="AP719" s="176"/>
      <c r="AQ719" s="176"/>
      <c r="AR719" s="176"/>
      <c r="AS719" s="176"/>
      <c r="AT719" s="176"/>
      <c r="AU719" s="176"/>
      <c r="AV719" s="176"/>
      <c r="AW719" s="176"/>
      <c r="AX719" s="176"/>
      <c r="AY719" s="176"/>
      <c r="AZ719" s="176"/>
      <c r="BA719" s="176"/>
      <c r="BB719" s="176"/>
      <c r="BC719" s="176"/>
      <c r="BD719" s="176"/>
      <c r="BE719" s="176"/>
      <c r="BF719" s="176"/>
      <c r="BG719" s="176"/>
      <c r="BH719" s="176"/>
      <c r="BI719" s="176"/>
      <c r="BJ719" s="176"/>
      <c r="BK719" s="176">
        <v>686.54</v>
      </c>
      <c r="BL719" s="176">
        <v>1154.8599999999999</v>
      </c>
      <c r="BM719" s="176">
        <v>1154.8599999999999</v>
      </c>
      <c r="BN719" s="176">
        <v>1154.8599999999999</v>
      </c>
      <c r="BO719" s="176">
        <v>1154.8599999999999</v>
      </c>
      <c r="BP719" s="176">
        <v>1154.8599999999999</v>
      </c>
      <c r="BQ719" s="176">
        <v>1154.8599999999999</v>
      </c>
      <c r="BR719" s="176">
        <v>1154.8599999999999</v>
      </c>
      <c r="BS719" s="176">
        <v>1154.8599999999999</v>
      </c>
      <c r="BT719" s="176">
        <v>1225.32</v>
      </c>
      <c r="BU719" s="176">
        <v>1225.32</v>
      </c>
      <c r="BV719" s="176">
        <v>1225.32</v>
      </c>
      <c r="BW719" s="176">
        <f>2392.4-1170.8</f>
        <v>1221.6000000000001</v>
      </c>
      <c r="BX719" s="176"/>
      <c r="BY719" s="191"/>
      <c r="BZ719" s="191"/>
    </row>
    <row r="720" spans="1:81" s="178" customFormat="1">
      <c r="A720" s="226"/>
      <c r="B720" s="227"/>
      <c r="C720" s="229"/>
      <c r="D720" s="229"/>
      <c r="E720" s="227"/>
      <c r="F720" s="227"/>
      <c r="G720" s="229"/>
      <c r="H720" s="229"/>
      <c r="I720" s="190"/>
      <c r="J720" s="176">
        <f>SUM(J709:J718)-J719</f>
        <v>0</v>
      </c>
      <c r="K720" s="176">
        <f t="shared" ref="K720:Y720" si="352">SUM(K709:K718)-K719</f>
        <v>0</v>
      </c>
      <c r="L720" s="176">
        <f t="shared" si="352"/>
        <v>0</v>
      </c>
      <c r="M720" s="176">
        <f t="shared" si="352"/>
        <v>0</v>
      </c>
      <c r="N720" s="176">
        <f t="shared" si="352"/>
        <v>0</v>
      </c>
      <c r="O720" s="176">
        <f t="shared" si="352"/>
        <v>0</v>
      </c>
      <c r="P720" s="176">
        <f t="shared" si="352"/>
        <v>0</v>
      </c>
      <c r="Q720" s="176">
        <f t="shared" si="352"/>
        <v>0</v>
      </c>
      <c r="R720" s="176">
        <f t="shared" si="352"/>
        <v>0</v>
      </c>
      <c r="S720" s="176">
        <f t="shared" si="352"/>
        <v>0</v>
      </c>
      <c r="T720" s="176">
        <f t="shared" si="352"/>
        <v>0</v>
      </c>
      <c r="U720" s="176">
        <f t="shared" si="352"/>
        <v>0</v>
      </c>
      <c r="V720" s="176">
        <f t="shared" si="352"/>
        <v>0</v>
      </c>
      <c r="W720" s="176">
        <f t="shared" si="352"/>
        <v>0</v>
      </c>
      <c r="X720" s="176">
        <f t="shared" si="352"/>
        <v>0</v>
      </c>
      <c r="Y720" s="176">
        <f t="shared" si="352"/>
        <v>0</v>
      </c>
      <c r="Z720" s="176">
        <f>SUM(Z709:Z718)-Z719</f>
        <v>0</v>
      </c>
      <c r="AA720" s="176">
        <f t="shared" ref="AA720:AD720" si="353">SUM(AA709:AA718)-AA719</f>
        <v>0</v>
      </c>
      <c r="AB720" s="176">
        <f t="shared" si="353"/>
        <v>0</v>
      </c>
      <c r="AC720" s="176">
        <f t="shared" si="353"/>
        <v>0</v>
      </c>
      <c r="AD720" s="176">
        <f t="shared" si="353"/>
        <v>0</v>
      </c>
      <c r="AE720" s="176">
        <f>SUM(AE709:AE718)-AE719</f>
        <v>0</v>
      </c>
      <c r="AF720" s="176">
        <f>SUM(AF709:AF718)-AF719</f>
        <v>0</v>
      </c>
      <c r="AG720" s="176">
        <f t="shared" ref="AG720:AP720" si="354">SUM(AG709:AG718)-AG719</f>
        <v>0</v>
      </c>
      <c r="AH720" s="176">
        <f t="shared" si="354"/>
        <v>0</v>
      </c>
      <c r="AI720" s="176">
        <f t="shared" si="354"/>
        <v>0</v>
      </c>
      <c r="AJ720" s="176">
        <f t="shared" si="354"/>
        <v>0</v>
      </c>
      <c r="AK720" s="176">
        <f t="shared" si="354"/>
        <v>0</v>
      </c>
      <c r="AL720" s="176">
        <f t="shared" si="354"/>
        <v>0</v>
      </c>
      <c r="AM720" s="176">
        <f t="shared" si="354"/>
        <v>0</v>
      </c>
      <c r="AN720" s="176">
        <f t="shared" si="354"/>
        <v>0</v>
      </c>
      <c r="AO720" s="176">
        <f t="shared" si="354"/>
        <v>0</v>
      </c>
      <c r="AP720" s="176">
        <f t="shared" si="354"/>
        <v>0</v>
      </c>
      <c r="AQ720" s="176">
        <f t="shared" ref="AQ720:AU720" si="355">SUM(AQ709:AQ718)-AQ719</f>
        <v>0</v>
      </c>
      <c r="AR720" s="176">
        <f t="shared" si="355"/>
        <v>0</v>
      </c>
      <c r="AS720" s="176">
        <f t="shared" si="355"/>
        <v>0</v>
      </c>
      <c r="AT720" s="176">
        <f t="shared" si="355"/>
        <v>0</v>
      </c>
      <c r="AU720" s="176">
        <f t="shared" si="355"/>
        <v>0</v>
      </c>
      <c r="AV720" s="176">
        <f>SUM(AV709:AV718)-AV719</f>
        <v>0</v>
      </c>
      <c r="AW720" s="176">
        <f t="shared" ref="AW720:BA720" si="356">SUM(AW709:AW718)-AW719</f>
        <v>0</v>
      </c>
      <c r="AX720" s="176">
        <f t="shared" si="356"/>
        <v>0</v>
      </c>
      <c r="AY720" s="176">
        <f t="shared" si="356"/>
        <v>0</v>
      </c>
      <c r="AZ720" s="176">
        <f t="shared" si="356"/>
        <v>0</v>
      </c>
      <c r="BA720" s="176">
        <f t="shared" si="356"/>
        <v>0</v>
      </c>
      <c r="BB720" s="176"/>
      <c r="BC720" s="176"/>
      <c r="BD720" s="176"/>
      <c r="BE720" s="176"/>
      <c r="BF720" s="176"/>
      <c r="BG720" s="176"/>
      <c r="BH720" s="176"/>
      <c r="BI720" s="176"/>
      <c r="BJ720" s="176"/>
      <c r="BK720" s="176">
        <f>BK710+BK715+BK716</f>
        <v>2329.8199999999997</v>
      </c>
      <c r="BL720" s="176">
        <f t="shared" ref="BL720:BP720" si="357">BL710+BL712+BL715+BL716-BL719</f>
        <v>2609.66</v>
      </c>
      <c r="BM720" s="176">
        <f t="shared" si="357"/>
        <v>2609.66</v>
      </c>
      <c r="BN720" s="176">
        <f t="shared" si="357"/>
        <v>2514.7399999999998</v>
      </c>
      <c r="BO720" s="176">
        <f t="shared" si="357"/>
        <v>2657.1200000000008</v>
      </c>
      <c r="BP720" s="176">
        <f t="shared" si="357"/>
        <v>2609.8599999999997</v>
      </c>
      <c r="BQ720" s="176">
        <f t="shared" ref="BQ720" si="358">BQ710+BQ712+BQ715+BQ716-BQ719</f>
        <v>2657.1200000000008</v>
      </c>
      <c r="BR720" s="176">
        <f t="shared" ref="BR720:BW720" si="359">BR710+BR712+BR715+BR716-BR719+BR717</f>
        <v>3243</v>
      </c>
      <c r="BS720" s="176">
        <f t="shared" si="359"/>
        <v>3017.2</v>
      </c>
      <c r="BT720" s="176">
        <f t="shared" si="359"/>
        <v>2946.7700000000004</v>
      </c>
      <c r="BU720" s="176">
        <f t="shared" si="359"/>
        <v>2995.6900000000005</v>
      </c>
      <c r="BV720" s="176">
        <f t="shared" si="359"/>
        <v>3003.6900000000005</v>
      </c>
      <c r="BW720" s="176">
        <f t="shared" si="359"/>
        <v>3128.01</v>
      </c>
      <c r="BX720" s="176">
        <f>SUM(BL720:BW720)</f>
        <v>33992.520000000011</v>
      </c>
      <c r="BY720" s="191"/>
      <c r="BZ720" s="191"/>
    </row>
    <row r="721" spans="1:81" ht="15.6" customHeight="1">
      <c r="A721" s="148" t="s">
        <v>346</v>
      </c>
      <c r="B721" s="148" t="s">
        <v>347</v>
      </c>
      <c r="C721" s="145" t="s">
        <v>310</v>
      </c>
      <c r="D721" s="145" t="s">
        <v>311</v>
      </c>
      <c r="E721" s="148" t="s">
        <v>312</v>
      </c>
      <c r="F721" s="148" t="s">
        <v>348</v>
      </c>
      <c r="G721" s="145" t="s">
        <v>314</v>
      </c>
      <c r="H721" s="145" t="s">
        <v>315</v>
      </c>
      <c r="I721" s="145" t="s">
        <v>349</v>
      </c>
      <c r="J721" s="146">
        <v>44105</v>
      </c>
      <c r="K721" s="146">
        <v>44136</v>
      </c>
      <c r="L721" s="146">
        <v>44166</v>
      </c>
      <c r="M721" s="146">
        <v>44197</v>
      </c>
      <c r="N721" s="146">
        <v>44228</v>
      </c>
      <c r="O721" s="146">
        <v>44256</v>
      </c>
      <c r="P721" s="146">
        <v>44287</v>
      </c>
      <c r="Q721" s="146">
        <v>44317</v>
      </c>
      <c r="R721" s="146">
        <v>44348</v>
      </c>
      <c r="S721" s="146">
        <v>44378</v>
      </c>
      <c r="T721" s="146">
        <v>44409</v>
      </c>
      <c r="U721" s="146">
        <v>44440</v>
      </c>
      <c r="V721" s="146">
        <v>44470</v>
      </c>
      <c r="W721" s="146">
        <v>44501</v>
      </c>
      <c r="X721" s="146">
        <v>44531</v>
      </c>
      <c r="Y721" s="146">
        <v>44562</v>
      </c>
      <c r="Z721" s="146">
        <v>44593</v>
      </c>
      <c r="AA721" s="146">
        <v>44621</v>
      </c>
      <c r="AB721" s="146">
        <v>44652</v>
      </c>
      <c r="AC721" s="146">
        <v>44682</v>
      </c>
      <c r="AD721" s="146">
        <v>44713</v>
      </c>
      <c r="AE721" s="146">
        <v>44743</v>
      </c>
      <c r="AF721" s="146">
        <v>44774</v>
      </c>
      <c r="AG721" s="146">
        <v>44805</v>
      </c>
      <c r="AH721" s="146">
        <v>44835</v>
      </c>
      <c r="AI721" s="146">
        <v>44866</v>
      </c>
      <c r="AJ721" s="146">
        <v>44896</v>
      </c>
      <c r="AK721" s="146">
        <v>44927</v>
      </c>
      <c r="AL721" s="146">
        <v>44958</v>
      </c>
      <c r="AM721" s="146">
        <v>44986</v>
      </c>
      <c r="AN721" s="146">
        <v>45017</v>
      </c>
      <c r="AO721" s="146">
        <v>45047</v>
      </c>
      <c r="AP721" s="146">
        <v>45078</v>
      </c>
      <c r="AQ721" s="146">
        <v>45108</v>
      </c>
      <c r="AR721" s="146">
        <v>45139</v>
      </c>
      <c r="AS721" s="146">
        <v>45170</v>
      </c>
      <c r="AT721" s="146">
        <v>45200</v>
      </c>
      <c r="AU721" s="146">
        <v>45231</v>
      </c>
      <c r="AV721" s="146">
        <v>45261</v>
      </c>
      <c r="AW721" s="146">
        <v>45292</v>
      </c>
      <c r="AX721" s="146">
        <v>45323</v>
      </c>
      <c r="AY721" s="146">
        <v>45352</v>
      </c>
      <c r="AZ721" s="146">
        <v>45383</v>
      </c>
      <c r="BA721" s="146">
        <v>45413</v>
      </c>
      <c r="BB721" s="146">
        <v>45444</v>
      </c>
      <c r="BC721" s="146">
        <v>45474</v>
      </c>
      <c r="BD721" s="146">
        <v>45505</v>
      </c>
      <c r="BE721" s="146">
        <v>45536</v>
      </c>
      <c r="BF721" s="146">
        <v>45566</v>
      </c>
      <c r="BG721" s="146">
        <v>45597</v>
      </c>
      <c r="BH721" s="146">
        <v>45627</v>
      </c>
      <c r="BI721" s="146">
        <v>45658</v>
      </c>
      <c r="BJ721" s="146">
        <v>45689</v>
      </c>
      <c r="BK721" s="146">
        <v>45717</v>
      </c>
      <c r="BL721" s="146">
        <v>45748</v>
      </c>
      <c r="BM721" s="146">
        <v>45778</v>
      </c>
      <c r="BN721" s="146">
        <v>45809</v>
      </c>
      <c r="BO721" s="146">
        <v>45839</v>
      </c>
      <c r="BP721" s="146">
        <v>45870</v>
      </c>
      <c r="BQ721" s="146">
        <v>45901</v>
      </c>
      <c r="BR721" s="146">
        <v>45931</v>
      </c>
      <c r="BS721" s="146"/>
      <c r="BT721" s="146"/>
      <c r="BU721" s="146"/>
      <c r="BV721" s="146"/>
      <c r="BW721" s="146"/>
      <c r="BX721" s="147" t="s">
        <v>13</v>
      </c>
      <c r="BY721" s="5"/>
      <c r="BZ721" s="5"/>
      <c r="CA721" s="5"/>
    </row>
    <row r="722" spans="1:81" s="107" customFormat="1" ht="15.75" customHeight="1">
      <c r="A722" s="262">
        <v>54</v>
      </c>
      <c r="B722" s="241" t="s">
        <v>182</v>
      </c>
      <c r="C722" s="249" t="s">
        <v>23</v>
      </c>
      <c r="D722" s="249" t="s">
        <v>89</v>
      </c>
      <c r="E722" s="241" t="s">
        <v>396</v>
      </c>
      <c r="F722" s="241" t="s">
        <v>396</v>
      </c>
      <c r="G722" s="263">
        <v>45726</v>
      </c>
      <c r="H722" s="263"/>
      <c r="I722" s="106" t="s">
        <v>390</v>
      </c>
      <c r="J722" s="106"/>
      <c r="K722" s="106"/>
      <c r="L722" s="106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05"/>
      <c r="BF722" s="105"/>
      <c r="BG722" s="105"/>
      <c r="BH722" s="105"/>
      <c r="BI722" s="105"/>
      <c r="BJ722" s="105"/>
      <c r="BK722" s="105"/>
      <c r="BL722" s="105"/>
      <c r="BM722" s="105"/>
      <c r="BN722" s="105"/>
      <c r="BO722" s="105"/>
      <c r="BP722" s="105"/>
      <c r="BQ722" s="105"/>
      <c r="BR722" s="105"/>
      <c r="BS722" s="105"/>
      <c r="BT722" s="105"/>
      <c r="BU722" s="105"/>
      <c r="BV722" s="105"/>
      <c r="BW722" s="105"/>
      <c r="BX722" s="105"/>
      <c r="BY722" s="117"/>
      <c r="BZ722" s="117"/>
      <c r="CA722" s="117"/>
      <c r="CC722" s="118"/>
    </row>
    <row r="723" spans="1:81" s="107" customFormat="1" ht="15.75" customHeight="1">
      <c r="A723" s="262"/>
      <c r="B723" s="241"/>
      <c r="C723" s="249"/>
      <c r="D723" s="249"/>
      <c r="E723" s="241"/>
      <c r="F723" s="241"/>
      <c r="G723" s="249"/>
      <c r="H723" s="249"/>
      <c r="I723" s="106" t="s">
        <v>351</v>
      </c>
      <c r="J723" s="106"/>
      <c r="K723" s="106"/>
      <c r="L723" s="106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5"/>
      <c r="BE723" s="105"/>
      <c r="BF723" s="105"/>
      <c r="BG723" s="105"/>
      <c r="BH723" s="105"/>
      <c r="BI723" s="105"/>
      <c r="BJ723" s="105"/>
      <c r="BK723" s="105">
        <v>1937.5</v>
      </c>
      <c r="BL723" s="105">
        <v>2767.86</v>
      </c>
      <c r="BM723" s="105">
        <v>2767.86</v>
      </c>
      <c r="BN723" s="105">
        <v>2767.86</v>
      </c>
      <c r="BO723" s="105">
        <v>2767.86</v>
      </c>
      <c r="BP723" s="105">
        <v>2767.86</v>
      </c>
      <c r="BQ723" s="105">
        <v>2767.86</v>
      </c>
      <c r="BR723" s="105">
        <v>2767.86</v>
      </c>
      <c r="BS723" s="105"/>
      <c r="BT723" s="105"/>
      <c r="BU723" s="105"/>
      <c r="BV723" s="105"/>
      <c r="BW723" s="105"/>
      <c r="BX723" s="105"/>
      <c r="BY723" s="117"/>
      <c r="BZ723" s="117"/>
      <c r="CA723" s="117"/>
      <c r="CC723" s="118"/>
    </row>
    <row r="724" spans="1:81" s="107" customFormat="1" ht="15.75" customHeight="1">
      <c r="A724" s="262"/>
      <c r="B724" s="241"/>
      <c r="C724" s="249"/>
      <c r="D724" s="249"/>
      <c r="E724" s="241"/>
      <c r="F724" s="241"/>
      <c r="G724" s="249"/>
      <c r="H724" s="249"/>
      <c r="I724" s="106" t="s">
        <v>391</v>
      </c>
      <c r="J724" s="106"/>
      <c r="K724" s="106"/>
      <c r="L724" s="106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9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05"/>
      <c r="BF724" s="105"/>
      <c r="BG724" s="105"/>
      <c r="BH724" s="105"/>
      <c r="BI724" s="105"/>
      <c r="BJ724" s="105"/>
      <c r="BK724" s="105"/>
      <c r="BL724" s="105"/>
      <c r="BM724" s="105"/>
      <c r="BN724" s="105"/>
      <c r="BO724" s="105"/>
      <c r="BP724" s="105"/>
      <c r="BQ724" s="105"/>
      <c r="BR724" s="105"/>
      <c r="BS724" s="105"/>
      <c r="BT724" s="105"/>
      <c r="BU724" s="105"/>
      <c r="BV724" s="105"/>
      <c r="BW724" s="105"/>
      <c r="BX724" s="105"/>
      <c r="BY724" s="117"/>
      <c r="BZ724" s="117"/>
      <c r="CA724" s="117"/>
      <c r="CC724" s="118"/>
    </row>
    <row r="725" spans="1:81" s="107" customFormat="1" ht="15.75" customHeight="1">
      <c r="A725" s="262"/>
      <c r="B725" s="241"/>
      <c r="C725" s="249"/>
      <c r="D725" s="249"/>
      <c r="E725" s="241"/>
      <c r="F725" s="241"/>
      <c r="G725" s="249"/>
      <c r="H725" s="249"/>
      <c r="I725" s="106" t="s">
        <v>351</v>
      </c>
      <c r="J725" s="106"/>
      <c r="K725" s="106"/>
      <c r="L725" s="106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9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  <c r="AU725" s="105"/>
      <c r="AV725" s="105"/>
      <c r="AW725" s="105"/>
      <c r="AX725" s="105"/>
      <c r="AY725" s="105"/>
      <c r="AZ725" s="105"/>
      <c r="BA725" s="105"/>
      <c r="BB725" s="105"/>
      <c r="BC725" s="105"/>
      <c r="BD725" s="105"/>
      <c r="BE725" s="105"/>
      <c r="BF725" s="105"/>
      <c r="BG725" s="105"/>
      <c r="BH725" s="105"/>
      <c r="BI725" s="105"/>
      <c r="BJ725" s="105"/>
      <c r="BK725" s="105"/>
      <c r="BL725" s="105"/>
      <c r="BM725" s="105"/>
      <c r="BN725" s="105"/>
      <c r="BO725" s="105"/>
      <c r="BP725" s="105"/>
      <c r="BQ725" s="105"/>
      <c r="BR725" s="105"/>
      <c r="BS725" s="105"/>
      <c r="BT725" s="105"/>
      <c r="BU725" s="105"/>
      <c r="BV725" s="105"/>
      <c r="BW725" s="105"/>
      <c r="BX725" s="105"/>
      <c r="BY725" s="117"/>
      <c r="BZ725" s="117"/>
      <c r="CA725" s="117"/>
      <c r="CC725" s="118"/>
    </row>
    <row r="726" spans="1:81" s="107" customFormat="1" ht="15.75" customHeight="1">
      <c r="A726" s="262"/>
      <c r="B726" s="241"/>
      <c r="C726" s="249"/>
      <c r="D726" s="249"/>
      <c r="E726" s="241"/>
      <c r="F726" s="241"/>
      <c r="G726" s="249"/>
      <c r="H726" s="249"/>
      <c r="I726" s="106" t="s">
        <v>353</v>
      </c>
      <c r="J726" s="106"/>
      <c r="K726" s="106"/>
      <c r="L726" s="106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05"/>
      <c r="BF726" s="105"/>
      <c r="BG726" s="105"/>
      <c r="BH726" s="105"/>
      <c r="BI726" s="105"/>
      <c r="BJ726" s="105"/>
      <c r="BK726" s="105"/>
      <c r="BL726" s="105"/>
      <c r="BM726" s="105"/>
      <c r="BN726" s="105"/>
      <c r="BO726" s="105"/>
      <c r="BP726" s="105"/>
      <c r="BQ726" s="105"/>
      <c r="BR726" s="105"/>
      <c r="BS726" s="105"/>
      <c r="BT726" s="105"/>
      <c r="BU726" s="105"/>
      <c r="BV726" s="105"/>
      <c r="BW726" s="105"/>
      <c r="BX726" s="105"/>
      <c r="BY726" s="117"/>
      <c r="BZ726" s="117"/>
      <c r="CA726" s="117"/>
      <c r="CC726" s="118"/>
    </row>
    <row r="727" spans="1:81" s="107" customFormat="1" ht="15.75" customHeight="1">
      <c r="A727" s="262"/>
      <c r="B727" s="241"/>
      <c r="C727" s="249"/>
      <c r="D727" s="249"/>
      <c r="E727" s="241"/>
      <c r="F727" s="241"/>
      <c r="G727" s="249"/>
      <c r="H727" s="249"/>
      <c r="I727" s="106" t="s">
        <v>354</v>
      </c>
      <c r="J727" s="106"/>
      <c r="K727" s="106"/>
      <c r="L727" s="106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  <c r="AU727" s="105"/>
      <c r="AV727" s="105"/>
      <c r="AW727" s="105"/>
      <c r="AX727" s="105"/>
      <c r="AY727" s="105"/>
      <c r="AZ727" s="105"/>
      <c r="BA727" s="105"/>
      <c r="BB727" s="105"/>
      <c r="BC727" s="105"/>
      <c r="BD727" s="105"/>
      <c r="BE727" s="105"/>
      <c r="BF727" s="105"/>
      <c r="BG727" s="105"/>
      <c r="BH727" s="105"/>
      <c r="BI727" s="105"/>
      <c r="BJ727" s="105"/>
      <c r="BK727" s="105"/>
      <c r="BL727" s="105"/>
      <c r="BM727" s="105"/>
      <c r="BN727" s="105"/>
      <c r="BO727" s="105"/>
      <c r="BP727" s="105"/>
      <c r="BQ727" s="105"/>
      <c r="BR727" s="105"/>
      <c r="BS727" s="105"/>
      <c r="BT727" s="105"/>
      <c r="BU727" s="105"/>
      <c r="BV727" s="105"/>
      <c r="BW727" s="105"/>
      <c r="BX727" s="105"/>
      <c r="BY727" s="117"/>
      <c r="BZ727" s="117"/>
      <c r="CA727" s="117"/>
      <c r="CC727" s="118"/>
    </row>
    <row r="728" spans="1:81" s="107" customFormat="1" ht="15.75" customHeight="1">
      <c r="A728" s="262"/>
      <c r="B728" s="241"/>
      <c r="C728" s="249"/>
      <c r="D728" s="249"/>
      <c r="E728" s="241"/>
      <c r="F728" s="241"/>
      <c r="G728" s="249"/>
      <c r="H728" s="249"/>
      <c r="I728" s="106" t="s">
        <v>355</v>
      </c>
      <c r="J728" s="106"/>
      <c r="K728" s="106"/>
      <c r="L728" s="106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05"/>
      <c r="BF728" s="105"/>
      <c r="BG728" s="105"/>
      <c r="BH728" s="105"/>
      <c r="BI728" s="105"/>
      <c r="BJ728" s="105"/>
      <c r="BK728" s="105">
        <v>390.99</v>
      </c>
      <c r="BL728" s="105">
        <v>547.26</v>
      </c>
      <c r="BM728" s="105">
        <v>547.26</v>
      </c>
      <c r="BN728" s="105">
        <v>495.14</v>
      </c>
      <c r="BO728" s="105">
        <v>573.32000000000005</v>
      </c>
      <c r="BP728" s="105">
        <v>547.26</v>
      </c>
      <c r="BQ728" s="105">
        <v>573.32000000000005</v>
      </c>
      <c r="BR728" s="105">
        <v>663.65</v>
      </c>
      <c r="BS728" s="105"/>
      <c r="BT728" s="105"/>
      <c r="BU728" s="105"/>
      <c r="BV728" s="105"/>
      <c r="BW728" s="105"/>
      <c r="BX728" s="105"/>
      <c r="BY728" s="117"/>
      <c r="BZ728" s="117"/>
      <c r="CA728" s="117"/>
      <c r="CC728" s="118"/>
    </row>
    <row r="729" spans="1:81" s="107" customFormat="1" ht="15.75" customHeight="1">
      <c r="A729" s="262"/>
      <c r="B729" s="241"/>
      <c r="C729" s="249"/>
      <c r="D729" s="249"/>
      <c r="E729" s="241"/>
      <c r="F729" s="241"/>
      <c r="G729" s="249"/>
      <c r="H729" s="249"/>
      <c r="I729" s="106" t="s">
        <v>356</v>
      </c>
      <c r="J729" s="106"/>
      <c r="K729" s="106"/>
      <c r="L729" s="106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  <c r="AU729" s="105"/>
      <c r="AV729" s="105"/>
      <c r="AW729" s="105"/>
      <c r="AX729" s="105"/>
      <c r="AY729" s="105"/>
      <c r="AZ729" s="105"/>
      <c r="BA729" s="105"/>
      <c r="BB729" s="105"/>
      <c r="BC729" s="105"/>
      <c r="BD729" s="105"/>
      <c r="BE729" s="105"/>
      <c r="BF729" s="105"/>
      <c r="BG729" s="105"/>
      <c r="BH729" s="105"/>
      <c r="BI729" s="105"/>
      <c r="BJ729" s="105"/>
      <c r="BK729" s="105">
        <v>267</v>
      </c>
      <c r="BL729" s="169">
        <v>373.8</v>
      </c>
      <c r="BM729" s="169">
        <v>373.8</v>
      </c>
      <c r="BN729" s="169">
        <v>338.2</v>
      </c>
      <c r="BO729" s="169">
        <v>391.6</v>
      </c>
      <c r="BP729" s="169">
        <v>373.8</v>
      </c>
      <c r="BQ729" s="169">
        <v>391.6</v>
      </c>
      <c r="BR729" s="169">
        <v>409.4</v>
      </c>
      <c r="BS729" s="169"/>
      <c r="BT729" s="169"/>
      <c r="BU729" s="169"/>
      <c r="BV729" s="169"/>
      <c r="BW729" s="169"/>
      <c r="BX729" s="105"/>
      <c r="BY729" s="117"/>
      <c r="BZ729" s="117"/>
      <c r="CA729" s="117"/>
      <c r="CC729" s="118"/>
    </row>
    <row r="730" spans="1:81" s="107" customFormat="1" ht="15.75" customHeight="1">
      <c r="A730" s="262"/>
      <c r="B730" s="241"/>
      <c r="C730" s="249"/>
      <c r="D730" s="249"/>
      <c r="E730" s="241"/>
      <c r="F730" s="241"/>
      <c r="G730" s="249"/>
      <c r="H730" s="249"/>
      <c r="I730" s="131" t="s">
        <v>362</v>
      </c>
      <c r="J730" s="106"/>
      <c r="K730" s="106"/>
      <c r="L730" s="106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05"/>
      <c r="BF730" s="105"/>
      <c r="BG730" s="105"/>
      <c r="BH730" s="105"/>
      <c r="BI730" s="105"/>
      <c r="BJ730" s="105"/>
      <c r="BK730" s="105"/>
      <c r="BL730" s="105"/>
      <c r="BM730" s="105"/>
      <c r="BN730" s="105"/>
      <c r="BO730" s="105"/>
      <c r="BP730" s="105"/>
      <c r="BQ730" s="105"/>
      <c r="BR730" s="105">
        <v>315</v>
      </c>
      <c r="BS730" s="105"/>
      <c r="BT730" s="105"/>
      <c r="BU730" s="105"/>
      <c r="BV730" s="105"/>
      <c r="BW730" s="105"/>
      <c r="BX730" s="105"/>
      <c r="BY730" s="117"/>
      <c r="BZ730" s="117"/>
      <c r="CA730" s="117"/>
      <c r="CC730" s="118"/>
    </row>
    <row r="731" spans="1:81" s="107" customFormat="1">
      <c r="A731" s="262"/>
      <c r="B731" s="241"/>
      <c r="C731" s="249"/>
      <c r="D731" s="249"/>
      <c r="E731" s="241"/>
      <c r="F731" s="241"/>
      <c r="G731" s="249"/>
      <c r="H731" s="249"/>
      <c r="I731" s="132" t="s">
        <v>363</v>
      </c>
      <c r="J731" s="132"/>
      <c r="K731" s="132"/>
      <c r="L731" s="132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5"/>
      <c r="BE731" s="105"/>
      <c r="BF731" s="105"/>
      <c r="BG731" s="105"/>
      <c r="BH731" s="105"/>
      <c r="BI731" s="105"/>
      <c r="BJ731" s="105"/>
      <c r="BK731" s="105"/>
      <c r="BL731" s="105"/>
      <c r="BM731" s="105"/>
      <c r="BN731" s="105"/>
      <c r="BO731" s="105"/>
      <c r="BP731" s="105"/>
      <c r="BQ731" s="105"/>
      <c r="BR731" s="105"/>
      <c r="BS731" s="105"/>
      <c r="BT731" s="105"/>
      <c r="BU731" s="105"/>
      <c r="BV731" s="105"/>
      <c r="BW731" s="105"/>
      <c r="BX731" s="105"/>
      <c r="BY731" s="117"/>
      <c r="BZ731" s="117"/>
    </row>
    <row r="732" spans="1:81" s="107" customFormat="1">
      <c r="A732" s="262"/>
      <c r="B732" s="241"/>
      <c r="C732" s="249"/>
      <c r="D732" s="249"/>
      <c r="E732" s="241"/>
      <c r="F732" s="241"/>
      <c r="G732" s="249"/>
      <c r="H732" s="249"/>
      <c r="I732" s="133" t="s">
        <v>373</v>
      </c>
      <c r="J732" s="133"/>
      <c r="K732" s="133"/>
      <c r="L732" s="133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05"/>
      <c r="BF732" s="105"/>
      <c r="BG732" s="105"/>
      <c r="BH732" s="105"/>
      <c r="BI732" s="105"/>
      <c r="BJ732" s="105"/>
      <c r="BK732" s="105">
        <v>278.11</v>
      </c>
      <c r="BL732" s="105">
        <v>392.4</v>
      </c>
      <c r="BM732" s="105">
        <v>392.4</v>
      </c>
      <c r="BN732" s="105">
        <v>392.4</v>
      </c>
      <c r="BO732" s="105">
        <v>392.4</v>
      </c>
      <c r="BP732" s="105">
        <v>393.4</v>
      </c>
      <c r="BQ732" s="105">
        <v>393.4</v>
      </c>
      <c r="BR732" s="105">
        <v>393.4</v>
      </c>
      <c r="BS732" s="105"/>
      <c r="BT732" s="105"/>
      <c r="BU732" s="105"/>
      <c r="BV732" s="105"/>
      <c r="BW732" s="105"/>
      <c r="BX732" s="105"/>
      <c r="BY732" s="117"/>
      <c r="BZ732" s="117"/>
    </row>
    <row r="733" spans="1:81" s="107" customFormat="1">
      <c r="A733" s="262"/>
      <c r="B733" s="241"/>
      <c r="C733" s="249"/>
      <c r="D733" s="249"/>
      <c r="E733" s="241"/>
      <c r="F733" s="241"/>
      <c r="G733" s="249"/>
      <c r="H733" s="249"/>
      <c r="I733" s="132"/>
      <c r="J733" s="105">
        <f>SUM(J722:J731)-J732</f>
        <v>0</v>
      </c>
      <c r="K733" s="105">
        <f t="shared" ref="K733:Y733" si="360">SUM(K722:K731)-K732</f>
        <v>0</v>
      </c>
      <c r="L733" s="105">
        <f t="shared" si="360"/>
        <v>0</v>
      </c>
      <c r="M733" s="105">
        <f t="shared" si="360"/>
        <v>0</v>
      </c>
      <c r="N733" s="105">
        <f t="shared" si="360"/>
        <v>0</v>
      </c>
      <c r="O733" s="105">
        <f t="shared" si="360"/>
        <v>0</v>
      </c>
      <c r="P733" s="105">
        <f t="shared" si="360"/>
        <v>0</v>
      </c>
      <c r="Q733" s="105">
        <f t="shared" si="360"/>
        <v>0</v>
      </c>
      <c r="R733" s="105">
        <f t="shared" si="360"/>
        <v>0</v>
      </c>
      <c r="S733" s="105">
        <f t="shared" si="360"/>
        <v>0</v>
      </c>
      <c r="T733" s="105">
        <f t="shared" si="360"/>
        <v>0</v>
      </c>
      <c r="U733" s="105">
        <f t="shared" si="360"/>
        <v>0</v>
      </c>
      <c r="V733" s="105">
        <f t="shared" si="360"/>
        <v>0</v>
      </c>
      <c r="W733" s="105">
        <f t="shared" si="360"/>
        <v>0</v>
      </c>
      <c r="X733" s="105">
        <f t="shared" si="360"/>
        <v>0</v>
      </c>
      <c r="Y733" s="105">
        <f t="shared" si="360"/>
        <v>0</v>
      </c>
      <c r="Z733" s="105">
        <f>SUM(Z722:Z731)-Z732</f>
        <v>0</v>
      </c>
      <c r="AA733" s="105">
        <f t="shared" ref="AA733:AD733" si="361">SUM(AA722:AA731)-AA732</f>
        <v>0</v>
      </c>
      <c r="AB733" s="105">
        <f t="shared" si="361"/>
        <v>0</v>
      </c>
      <c r="AC733" s="105">
        <f t="shared" si="361"/>
        <v>0</v>
      </c>
      <c r="AD733" s="105">
        <f t="shared" si="361"/>
        <v>0</v>
      </c>
      <c r="AE733" s="105">
        <f>SUM(AE722:AE731)-AE732</f>
        <v>0</v>
      </c>
      <c r="AF733" s="105">
        <f>SUM(AF722:AF731)-AF732</f>
        <v>0</v>
      </c>
      <c r="AG733" s="105">
        <f t="shared" ref="AG733:AP733" si="362">SUM(AG722:AG731)-AG732</f>
        <v>0</v>
      </c>
      <c r="AH733" s="105">
        <f t="shared" si="362"/>
        <v>0</v>
      </c>
      <c r="AI733" s="105">
        <f t="shared" si="362"/>
        <v>0</v>
      </c>
      <c r="AJ733" s="105">
        <f t="shared" si="362"/>
        <v>0</v>
      </c>
      <c r="AK733" s="105">
        <f t="shared" si="362"/>
        <v>0</v>
      </c>
      <c r="AL733" s="105">
        <f t="shared" si="362"/>
        <v>0</v>
      </c>
      <c r="AM733" s="105">
        <f t="shared" si="362"/>
        <v>0</v>
      </c>
      <c r="AN733" s="105">
        <f t="shared" si="362"/>
        <v>0</v>
      </c>
      <c r="AO733" s="105">
        <f t="shared" si="362"/>
        <v>0</v>
      </c>
      <c r="AP733" s="105">
        <f t="shared" si="362"/>
        <v>0</v>
      </c>
      <c r="AQ733" s="105">
        <f t="shared" ref="AQ733:AU733" si="363">SUM(AQ722:AQ731)-AQ732</f>
        <v>0</v>
      </c>
      <c r="AR733" s="105">
        <f t="shared" si="363"/>
        <v>0</v>
      </c>
      <c r="AS733" s="105">
        <f t="shared" si="363"/>
        <v>0</v>
      </c>
      <c r="AT733" s="105">
        <f t="shared" si="363"/>
        <v>0</v>
      </c>
      <c r="AU733" s="105">
        <f t="shared" si="363"/>
        <v>0</v>
      </c>
      <c r="AV733" s="105">
        <f>SUM(AV722:AV731)-AV732</f>
        <v>0</v>
      </c>
      <c r="AW733" s="105">
        <f t="shared" ref="AW733:BA733" si="364">SUM(AW722:AW731)-AW732</f>
        <v>0</v>
      </c>
      <c r="AX733" s="105">
        <f t="shared" si="364"/>
        <v>0</v>
      </c>
      <c r="AY733" s="105">
        <f t="shared" si="364"/>
        <v>0</v>
      </c>
      <c r="AZ733" s="105">
        <f t="shared" si="364"/>
        <v>0</v>
      </c>
      <c r="BA733" s="105">
        <f t="shared" si="364"/>
        <v>0</v>
      </c>
      <c r="BB733" s="105"/>
      <c r="BC733" s="105"/>
      <c r="BD733" s="105"/>
      <c r="BE733" s="105"/>
      <c r="BF733" s="105"/>
      <c r="BG733" s="105"/>
      <c r="BH733" s="105"/>
      <c r="BI733" s="105"/>
      <c r="BJ733" s="105"/>
      <c r="BK733" s="105">
        <f t="shared" ref="BK733:BP733" si="365">BK723+BK728+BK729-BK732</f>
        <v>2317.3799999999997</v>
      </c>
      <c r="BL733" s="105">
        <f t="shared" si="365"/>
        <v>3296.52</v>
      </c>
      <c r="BM733" s="105">
        <f t="shared" si="365"/>
        <v>3296.52</v>
      </c>
      <c r="BN733" s="105">
        <f t="shared" si="365"/>
        <v>3208.7999999999997</v>
      </c>
      <c r="BO733" s="105">
        <f t="shared" si="365"/>
        <v>3340.38</v>
      </c>
      <c r="BP733" s="105">
        <f t="shared" si="365"/>
        <v>3295.52</v>
      </c>
      <c r="BQ733" s="105">
        <f t="shared" ref="BQ733" si="366">BQ723+BQ728+BQ729-BQ732</f>
        <v>3339.38</v>
      </c>
      <c r="BR733" s="105">
        <f>BR723+BR728+BR729-BR732+BR730</f>
        <v>3762.51</v>
      </c>
      <c r="BS733" s="105"/>
      <c r="BT733" s="105"/>
      <c r="BU733" s="105"/>
      <c r="BV733" s="105"/>
      <c r="BW733" s="105"/>
      <c r="BX733" s="105">
        <f>SUM(BK733:BR733)</f>
        <v>25857.010000000002</v>
      </c>
      <c r="BY733" s="117"/>
      <c r="BZ733" s="117"/>
    </row>
    <row r="734" spans="1:81" ht="15.6" customHeight="1">
      <c r="A734" s="148" t="s">
        <v>346</v>
      </c>
      <c r="B734" s="148" t="s">
        <v>347</v>
      </c>
      <c r="C734" s="145" t="s">
        <v>310</v>
      </c>
      <c r="D734" s="145" t="s">
        <v>311</v>
      </c>
      <c r="E734" s="148" t="s">
        <v>312</v>
      </c>
      <c r="F734" s="148" t="s">
        <v>348</v>
      </c>
      <c r="G734" s="145" t="s">
        <v>314</v>
      </c>
      <c r="H734" s="145" t="s">
        <v>315</v>
      </c>
      <c r="I734" s="145" t="s">
        <v>349</v>
      </c>
      <c r="J734" s="146">
        <v>44105</v>
      </c>
      <c r="K734" s="146">
        <v>44136</v>
      </c>
      <c r="L734" s="146">
        <v>44166</v>
      </c>
      <c r="M734" s="146">
        <v>44197</v>
      </c>
      <c r="N734" s="146">
        <v>44228</v>
      </c>
      <c r="O734" s="146">
        <v>44256</v>
      </c>
      <c r="P734" s="146">
        <v>44287</v>
      </c>
      <c r="Q734" s="146">
        <v>44317</v>
      </c>
      <c r="R734" s="146">
        <v>44348</v>
      </c>
      <c r="S734" s="146">
        <v>44378</v>
      </c>
      <c r="T734" s="146">
        <v>44409</v>
      </c>
      <c r="U734" s="146">
        <v>44440</v>
      </c>
      <c r="V734" s="146">
        <v>44470</v>
      </c>
      <c r="W734" s="146">
        <v>44501</v>
      </c>
      <c r="X734" s="146">
        <v>44531</v>
      </c>
      <c r="Y734" s="146">
        <v>44562</v>
      </c>
      <c r="Z734" s="146">
        <v>44593</v>
      </c>
      <c r="AA734" s="146">
        <v>44621</v>
      </c>
      <c r="AB734" s="146">
        <v>44652</v>
      </c>
      <c r="AC734" s="146">
        <v>44682</v>
      </c>
      <c r="AD734" s="146">
        <v>44713</v>
      </c>
      <c r="AE734" s="146">
        <v>44743</v>
      </c>
      <c r="AF734" s="146">
        <v>44774</v>
      </c>
      <c r="AG734" s="146">
        <v>44805</v>
      </c>
      <c r="AH734" s="146">
        <v>44835</v>
      </c>
      <c r="AI734" s="146">
        <v>44866</v>
      </c>
      <c r="AJ734" s="146">
        <v>44896</v>
      </c>
      <c r="AK734" s="146">
        <v>44927</v>
      </c>
      <c r="AL734" s="146">
        <v>44958</v>
      </c>
      <c r="AM734" s="146">
        <v>44986</v>
      </c>
      <c r="AN734" s="146">
        <v>45017</v>
      </c>
      <c r="AO734" s="146">
        <v>45047</v>
      </c>
      <c r="AP734" s="146">
        <v>45078</v>
      </c>
      <c r="AQ734" s="146">
        <v>45108</v>
      </c>
      <c r="AR734" s="146">
        <v>45139</v>
      </c>
      <c r="AS734" s="146">
        <v>45170</v>
      </c>
      <c r="AT734" s="146">
        <v>45200</v>
      </c>
      <c r="AU734" s="146">
        <v>45231</v>
      </c>
      <c r="AV734" s="146">
        <v>45261</v>
      </c>
      <c r="AW734" s="146">
        <v>45292</v>
      </c>
      <c r="AX734" s="146">
        <v>45323</v>
      </c>
      <c r="AY734" s="146">
        <v>45352</v>
      </c>
      <c r="AZ734" s="146">
        <v>45383</v>
      </c>
      <c r="BA734" s="146">
        <v>45413</v>
      </c>
      <c r="BB734" s="146">
        <v>45444</v>
      </c>
      <c r="BC734" s="146">
        <v>45474</v>
      </c>
      <c r="BD734" s="146">
        <v>45505</v>
      </c>
      <c r="BE734" s="146">
        <v>45536</v>
      </c>
      <c r="BF734" s="146">
        <v>45566</v>
      </c>
      <c r="BG734" s="146">
        <v>45597</v>
      </c>
      <c r="BH734" s="146">
        <v>45627</v>
      </c>
      <c r="BI734" s="146">
        <v>45658</v>
      </c>
      <c r="BJ734" s="146">
        <v>45689</v>
      </c>
      <c r="BK734" s="146">
        <v>45717</v>
      </c>
      <c r="BL734" s="146">
        <v>45748</v>
      </c>
      <c r="BM734" s="146">
        <v>45778</v>
      </c>
      <c r="BN734" s="146">
        <v>45809</v>
      </c>
      <c r="BO734" s="146">
        <v>45839</v>
      </c>
      <c r="BP734" s="146">
        <v>45870</v>
      </c>
      <c r="BQ734" s="146">
        <v>45901</v>
      </c>
      <c r="BR734" s="146">
        <v>45931</v>
      </c>
      <c r="BS734" s="146">
        <v>45962</v>
      </c>
      <c r="BT734" s="146">
        <v>45992</v>
      </c>
      <c r="BU734" s="146">
        <v>46023</v>
      </c>
      <c r="BV734" s="146">
        <v>46054</v>
      </c>
      <c r="BW734" s="146">
        <v>46082</v>
      </c>
      <c r="BX734" s="147" t="s">
        <v>13</v>
      </c>
      <c r="BY734" s="5"/>
      <c r="BZ734" s="5"/>
      <c r="CA734" s="5"/>
    </row>
    <row r="735" spans="1:81" s="178" customFormat="1" ht="15.75" customHeight="1">
      <c r="A735" s="226">
        <v>55</v>
      </c>
      <c r="B735" s="227" t="s">
        <v>185</v>
      </c>
      <c r="C735" s="229" t="s">
        <v>23</v>
      </c>
      <c r="D735" s="229" t="s">
        <v>89</v>
      </c>
      <c r="E735" s="227" t="s">
        <v>398</v>
      </c>
      <c r="F735" s="227" t="s">
        <v>399</v>
      </c>
      <c r="G735" s="228">
        <v>45726</v>
      </c>
      <c r="H735" s="228"/>
      <c r="I735" s="175" t="s">
        <v>390</v>
      </c>
      <c r="J735" s="175"/>
      <c r="K735" s="175"/>
      <c r="L735" s="175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  <c r="AA735" s="176"/>
      <c r="AB735" s="176"/>
      <c r="AC735" s="176"/>
      <c r="AD735" s="176"/>
      <c r="AE735" s="176"/>
      <c r="AF735" s="176"/>
      <c r="AG735" s="176"/>
      <c r="AH735" s="176"/>
      <c r="AI735" s="176"/>
      <c r="AJ735" s="176"/>
      <c r="AK735" s="176"/>
      <c r="AL735" s="176"/>
      <c r="AM735" s="176"/>
      <c r="AN735" s="176"/>
      <c r="AO735" s="176"/>
      <c r="AP735" s="176"/>
      <c r="AQ735" s="176"/>
      <c r="AR735" s="176"/>
      <c r="AS735" s="176"/>
      <c r="AT735" s="176"/>
      <c r="AU735" s="176"/>
      <c r="AV735" s="176"/>
      <c r="AW735" s="176"/>
      <c r="AX735" s="176"/>
      <c r="AY735" s="176"/>
      <c r="AZ735" s="176"/>
      <c r="BA735" s="176"/>
      <c r="BB735" s="176"/>
      <c r="BC735" s="176"/>
      <c r="BD735" s="176"/>
      <c r="BE735" s="176"/>
      <c r="BF735" s="176"/>
      <c r="BG735" s="176"/>
      <c r="BH735" s="176"/>
      <c r="BI735" s="176"/>
      <c r="BJ735" s="176"/>
      <c r="BK735" s="176"/>
      <c r="BL735" s="176"/>
      <c r="BM735" s="176"/>
      <c r="BN735" s="176"/>
      <c r="BO735" s="176"/>
      <c r="BP735" s="176"/>
      <c r="BQ735" s="176"/>
      <c r="BR735" s="176"/>
      <c r="BS735" s="176"/>
      <c r="BT735" s="176"/>
      <c r="BU735" s="176"/>
      <c r="BV735" s="176"/>
      <c r="BW735" s="176"/>
      <c r="BX735" s="176"/>
      <c r="BY735" s="191"/>
      <c r="BZ735" s="191"/>
      <c r="CA735" s="191"/>
      <c r="CC735" s="182"/>
    </row>
    <row r="736" spans="1:81" s="178" customFormat="1" ht="15.75" customHeight="1">
      <c r="A736" s="226"/>
      <c r="B736" s="227"/>
      <c r="C736" s="229"/>
      <c r="D736" s="229"/>
      <c r="E736" s="227"/>
      <c r="F736" s="227"/>
      <c r="G736" s="229"/>
      <c r="H736" s="229"/>
      <c r="I736" s="175" t="s">
        <v>351</v>
      </c>
      <c r="J736" s="175"/>
      <c r="K736" s="175"/>
      <c r="L736" s="175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  <c r="AA736" s="176"/>
      <c r="AB736" s="176"/>
      <c r="AC736" s="176"/>
      <c r="AD736" s="176"/>
      <c r="AE736" s="176"/>
      <c r="AF736" s="176"/>
      <c r="AG736" s="176"/>
      <c r="AH736" s="176"/>
      <c r="AI736" s="176"/>
      <c r="AJ736" s="176"/>
      <c r="AK736" s="176"/>
      <c r="AL736" s="176"/>
      <c r="AM736" s="176"/>
      <c r="AN736" s="176"/>
      <c r="AO736" s="176"/>
      <c r="AP736" s="176"/>
      <c r="AQ736" s="176"/>
      <c r="AR736" s="176"/>
      <c r="AS736" s="176"/>
      <c r="AT736" s="176"/>
      <c r="AU736" s="176"/>
      <c r="AV736" s="176"/>
      <c r="AW736" s="176"/>
      <c r="AX736" s="176"/>
      <c r="AY736" s="176"/>
      <c r="AZ736" s="176"/>
      <c r="BA736" s="176"/>
      <c r="BB736" s="176"/>
      <c r="BC736" s="176"/>
      <c r="BD736" s="176"/>
      <c r="BE736" s="176"/>
      <c r="BF736" s="176"/>
      <c r="BG736" s="176"/>
      <c r="BH736" s="176"/>
      <c r="BI736" s="176"/>
      <c r="BJ736" s="176"/>
      <c r="BK736" s="176">
        <v>2130.88</v>
      </c>
      <c r="BL736" s="176">
        <v>3044.11</v>
      </c>
      <c r="BM736" s="176">
        <v>3044.11</v>
      </c>
      <c r="BN736" s="176">
        <v>3044.11</v>
      </c>
      <c r="BO736" s="176">
        <v>3044.11</v>
      </c>
      <c r="BP736" s="176">
        <v>3044.11</v>
      </c>
      <c r="BQ736" s="176">
        <v>3044.11</v>
      </c>
      <c r="BR736" s="176">
        <v>3219.15</v>
      </c>
      <c r="BS736" s="176">
        <v>3219.15</v>
      </c>
      <c r="BT736" s="176">
        <v>3219.15</v>
      </c>
      <c r="BU736" s="176">
        <v>3219.15</v>
      </c>
      <c r="BV736" s="176">
        <v>3219.15</v>
      </c>
      <c r="BW736" s="176">
        <v>3219.15</v>
      </c>
      <c r="BX736" s="176"/>
      <c r="BY736" s="191"/>
      <c r="BZ736" s="191"/>
      <c r="CA736" s="191"/>
      <c r="CC736" s="182"/>
    </row>
    <row r="737" spans="1:81" s="178" customFormat="1" ht="15.75" customHeight="1">
      <c r="A737" s="226"/>
      <c r="B737" s="227"/>
      <c r="C737" s="229"/>
      <c r="D737" s="229"/>
      <c r="E737" s="227"/>
      <c r="F737" s="227"/>
      <c r="G737" s="229"/>
      <c r="H737" s="229"/>
      <c r="I737" s="175" t="s">
        <v>391</v>
      </c>
      <c r="J737" s="175"/>
      <c r="K737" s="175"/>
      <c r="L737" s="175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7"/>
      <c r="Z737" s="176"/>
      <c r="AA737" s="176"/>
      <c r="AB737" s="176"/>
      <c r="AC737" s="176"/>
      <c r="AD737" s="176"/>
      <c r="AE737" s="176"/>
      <c r="AF737" s="176"/>
      <c r="AG737" s="176"/>
      <c r="AH737" s="176"/>
      <c r="AI737" s="176"/>
      <c r="AJ737" s="176"/>
      <c r="AK737" s="176"/>
      <c r="AL737" s="176"/>
      <c r="AM737" s="176"/>
      <c r="AN737" s="176"/>
      <c r="AO737" s="176"/>
      <c r="AP737" s="176"/>
      <c r="AQ737" s="176"/>
      <c r="AR737" s="176"/>
      <c r="AS737" s="176"/>
      <c r="AT737" s="176"/>
      <c r="AU737" s="176"/>
      <c r="AV737" s="176"/>
      <c r="AW737" s="176"/>
      <c r="AX737" s="176"/>
      <c r="AY737" s="176"/>
      <c r="AZ737" s="176"/>
      <c r="BA737" s="176"/>
      <c r="BB737" s="176"/>
      <c r="BC737" s="176"/>
      <c r="BD737" s="176"/>
      <c r="BE737" s="176"/>
      <c r="BF737" s="176"/>
      <c r="BG737" s="176"/>
      <c r="BH737" s="176"/>
      <c r="BI737" s="176"/>
      <c r="BJ737" s="176"/>
      <c r="BK737" s="176"/>
      <c r="BL737" s="176"/>
      <c r="BM737" s="176"/>
      <c r="BN737" s="176"/>
      <c r="BO737" s="176"/>
      <c r="BP737" s="176"/>
      <c r="BQ737" s="176"/>
      <c r="BR737" s="176"/>
      <c r="BS737" s="176"/>
      <c r="BT737" s="176"/>
      <c r="BU737" s="176"/>
      <c r="BV737" s="176"/>
      <c r="BW737" s="176"/>
      <c r="BX737" s="176"/>
      <c r="BY737" s="191"/>
      <c r="BZ737" s="191"/>
      <c r="CA737" s="191"/>
      <c r="CC737" s="182"/>
    </row>
    <row r="738" spans="1:81" s="178" customFormat="1" ht="15.75" customHeight="1">
      <c r="A738" s="226"/>
      <c r="B738" s="227"/>
      <c r="C738" s="229"/>
      <c r="D738" s="229"/>
      <c r="E738" s="227"/>
      <c r="F738" s="227"/>
      <c r="G738" s="229"/>
      <c r="H738" s="229"/>
      <c r="I738" s="175" t="s">
        <v>351</v>
      </c>
      <c r="J738" s="175"/>
      <c r="K738" s="175"/>
      <c r="L738" s="175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7"/>
      <c r="Z738" s="176"/>
      <c r="AA738" s="176"/>
      <c r="AB738" s="176"/>
      <c r="AC738" s="176"/>
      <c r="AD738" s="176"/>
      <c r="AE738" s="176"/>
      <c r="AF738" s="176"/>
      <c r="AG738" s="176"/>
      <c r="AH738" s="176"/>
      <c r="AI738" s="176"/>
      <c r="AJ738" s="176"/>
      <c r="AK738" s="176"/>
      <c r="AL738" s="176"/>
      <c r="AM738" s="176"/>
      <c r="AN738" s="176"/>
      <c r="AO738" s="176"/>
      <c r="AP738" s="176"/>
      <c r="AQ738" s="176"/>
      <c r="AR738" s="176"/>
      <c r="AS738" s="176"/>
      <c r="AT738" s="176"/>
      <c r="AU738" s="176"/>
      <c r="AV738" s="176"/>
      <c r="AW738" s="176"/>
      <c r="AX738" s="176"/>
      <c r="AY738" s="176"/>
      <c r="AZ738" s="176"/>
      <c r="BA738" s="176"/>
      <c r="BB738" s="176"/>
      <c r="BC738" s="176"/>
      <c r="BD738" s="176"/>
      <c r="BE738" s="176"/>
      <c r="BF738" s="176"/>
      <c r="BG738" s="176"/>
      <c r="BH738" s="176"/>
      <c r="BI738" s="176"/>
      <c r="BJ738" s="176"/>
      <c r="BK738" s="176"/>
      <c r="BL738" s="176"/>
      <c r="BM738" s="176"/>
      <c r="BN738" s="176"/>
      <c r="BO738" s="176"/>
      <c r="BP738" s="176"/>
      <c r="BQ738" s="176"/>
      <c r="BR738" s="176"/>
      <c r="BS738" s="176"/>
      <c r="BT738" s="176"/>
      <c r="BU738" s="176"/>
      <c r="BV738" s="176"/>
      <c r="BW738" s="176"/>
      <c r="BX738" s="176"/>
      <c r="BY738" s="191"/>
      <c r="BZ738" s="191"/>
      <c r="CA738" s="191"/>
      <c r="CC738" s="182"/>
    </row>
    <row r="739" spans="1:81" s="178" customFormat="1" ht="15.75" customHeight="1">
      <c r="A739" s="226"/>
      <c r="B739" s="227"/>
      <c r="C739" s="229"/>
      <c r="D739" s="229"/>
      <c r="E739" s="227"/>
      <c r="F739" s="227"/>
      <c r="G739" s="229"/>
      <c r="H739" s="229"/>
      <c r="I739" s="175" t="s">
        <v>353</v>
      </c>
      <c r="J739" s="175"/>
      <c r="K739" s="175"/>
      <c r="L739" s="175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  <c r="AA739" s="176"/>
      <c r="AB739" s="176"/>
      <c r="AC739" s="176"/>
      <c r="AD739" s="176"/>
      <c r="AE739" s="176"/>
      <c r="AF739" s="176"/>
      <c r="AG739" s="176"/>
      <c r="AH739" s="176"/>
      <c r="AI739" s="176"/>
      <c r="AJ739" s="176"/>
      <c r="AK739" s="176"/>
      <c r="AL739" s="176"/>
      <c r="AM739" s="176"/>
      <c r="AN739" s="176"/>
      <c r="AO739" s="176"/>
      <c r="AP739" s="176"/>
      <c r="AQ739" s="176"/>
      <c r="AR739" s="176"/>
      <c r="AS739" s="176"/>
      <c r="AT739" s="176"/>
      <c r="AU739" s="176"/>
      <c r="AV739" s="176"/>
      <c r="AW739" s="176"/>
      <c r="AX739" s="176"/>
      <c r="AY739" s="176"/>
      <c r="AZ739" s="176"/>
      <c r="BA739" s="176"/>
      <c r="BB739" s="176"/>
      <c r="BC739" s="176"/>
      <c r="BD739" s="176"/>
      <c r="BE739" s="176"/>
      <c r="BF739" s="176"/>
      <c r="BG739" s="176"/>
      <c r="BH739" s="176"/>
      <c r="BI739" s="176"/>
      <c r="BJ739" s="176"/>
      <c r="BK739" s="176"/>
      <c r="BL739" s="176"/>
      <c r="BM739" s="176"/>
      <c r="BN739" s="176"/>
      <c r="BO739" s="176"/>
      <c r="BP739" s="176"/>
      <c r="BQ739" s="176"/>
      <c r="BR739" s="176"/>
      <c r="BS739" s="176"/>
      <c r="BT739" s="176"/>
      <c r="BU739" s="176"/>
      <c r="BV739" s="176"/>
      <c r="BW739" s="176"/>
      <c r="BX739" s="176"/>
      <c r="BY739" s="191"/>
      <c r="BZ739" s="191"/>
      <c r="CA739" s="191"/>
      <c r="CC739" s="182"/>
    </row>
    <row r="740" spans="1:81" s="178" customFormat="1" ht="15.75" customHeight="1">
      <c r="A740" s="226"/>
      <c r="B740" s="227"/>
      <c r="C740" s="229"/>
      <c r="D740" s="229"/>
      <c r="E740" s="227"/>
      <c r="F740" s="227"/>
      <c r="G740" s="229"/>
      <c r="H740" s="229"/>
      <c r="I740" s="175" t="s">
        <v>354</v>
      </c>
      <c r="J740" s="175"/>
      <c r="K740" s="175"/>
      <c r="L740" s="175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  <c r="AA740" s="176"/>
      <c r="AB740" s="176"/>
      <c r="AC740" s="176"/>
      <c r="AD740" s="176"/>
      <c r="AE740" s="176"/>
      <c r="AF740" s="176"/>
      <c r="AG740" s="176"/>
      <c r="AH740" s="176"/>
      <c r="AI740" s="176"/>
      <c r="AJ740" s="176"/>
      <c r="AK740" s="176"/>
      <c r="AL740" s="176"/>
      <c r="AM740" s="176"/>
      <c r="AN740" s="176"/>
      <c r="AO740" s="176"/>
      <c r="AP740" s="176"/>
      <c r="AQ740" s="176"/>
      <c r="AR740" s="176"/>
      <c r="AS740" s="176"/>
      <c r="AT740" s="176"/>
      <c r="AU740" s="176"/>
      <c r="AV740" s="176"/>
      <c r="AW740" s="176"/>
      <c r="AX740" s="176"/>
      <c r="AY740" s="176"/>
      <c r="AZ740" s="176"/>
      <c r="BA740" s="176"/>
      <c r="BB740" s="176"/>
      <c r="BC740" s="176"/>
      <c r="BD740" s="176"/>
      <c r="BE740" s="176"/>
      <c r="BF740" s="176"/>
      <c r="BG740" s="176"/>
      <c r="BH740" s="176"/>
      <c r="BI740" s="176"/>
      <c r="BJ740" s="176"/>
      <c r="BK740" s="176"/>
      <c r="BL740" s="176"/>
      <c r="BM740" s="176"/>
      <c r="BN740" s="176"/>
      <c r="BO740" s="176"/>
      <c r="BP740" s="176"/>
      <c r="BQ740" s="176"/>
      <c r="BR740" s="176"/>
      <c r="BS740" s="176"/>
      <c r="BT740" s="176"/>
      <c r="BU740" s="176"/>
      <c r="BV740" s="176"/>
      <c r="BW740" s="176"/>
      <c r="BX740" s="176"/>
      <c r="BY740" s="191"/>
      <c r="BZ740" s="191"/>
      <c r="CA740" s="191"/>
      <c r="CC740" s="182"/>
    </row>
    <row r="741" spans="1:81" s="178" customFormat="1" ht="15.75" customHeight="1">
      <c r="A741" s="226"/>
      <c r="B741" s="227"/>
      <c r="C741" s="229"/>
      <c r="D741" s="229"/>
      <c r="E741" s="227"/>
      <c r="F741" s="227"/>
      <c r="G741" s="229"/>
      <c r="H741" s="229"/>
      <c r="I741" s="175" t="s">
        <v>355</v>
      </c>
      <c r="J741" s="175"/>
      <c r="K741" s="175"/>
      <c r="L741" s="175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  <c r="AA741" s="176"/>
      <c r="AB741" s="176"/>
      <c r="AC741" s="176"/>
      <c r="AD741" s="176"/>
      <c r="AE741" s="176"/>
      <c r="AF741" s="176"/>
      <c r="AG741" s="176"/>
      <c r="AH741" s="176"/>
      <c r="AI741" s="176"/>
      <c r="AJ741" s="176"/>
      <c r="AK741" s="176"/>
      <c r="AL741" s="176"/>
      <c r="AM741" s="176"/>
      <c r="AN741" s="176"/>
      <c r="AO741" s="176"/>
      <c r="AP741" s="176"/>
      <c r="AQ741" s="176"/>
      <c r="AR741" s="176"/>
      <c r="AS741" s="176"/>
      <c r="AT741" s="176"/>
      <c r="AU741" s="176"/>
      <c r="AV741" s="176"/>
      <c r="AW741" s="176"/>
      <c r="AX741" s="176"/>
      <c r="AY741" s="176"/>
      <c r="AZ741" s="176"/>
      <c r="BA741" s="176"/>
      <c r="BB741" s="176"/>
      <c r="BC741" s="176"/>
      <c r="BD741" s="176"/>
      <c r="BE741" s="176"/>
      <c r="BF741" s="176"/>
      <c r="BG741" s="176"/>
      <c r="BH741" s="176"/>
      <c r="BI741" s="176"/>
      <c r="BJ741" s="176"/>
      <c r="BK741" s="176">
        <v>390.9</v>
      </c>
      <c r="BL741" s="176">
        <v>547.26</v>
      </c>
      <c r="BM741" s="176">
        <v>547.26</v>
      </c>
      <c r="BN741" s="176">
        <v>495.14</v>
      </c>
      <c r="BO741" s="176">
        <v>573.23</v>
      </c>
      <c r="BP741" s="176">
        <v>547.26</v>
      </c>
      <c r="BQ741" s="176">
        <v>573.32000000000005</v>
      </c>
      <c r="BR741" s="176">
        <v>663.65</v>
      </c>
      <c r="BS741" s="176">
        <v>523.45000000000005</v>
      </c>
      <c r="BT741" s="176">
        <v>523.45000000000005</v>
      </c>
      <c r="BU741" s="176">
        <v>551</v>
      </c>
      <c r="BV741" s="176">
        <v>551</v>
      </c>
      <c r="BW741" s="176">
        <v>606.1</v>
      </c>
      <c r="BX741" s="176"/>
      <c r="BY741" s="191"/>
      <c r="BZ741" s="191"/>
      <c r="CA741" s="191"/>
      <c r="CC741" s="182"/>
    </row>
    <row r="742" spans="1:81" s="178" customFormat="1" ht="15.75" customHeight="1">
      <c r="A742" s="226"/>
      <c r="B742" s="227"/>
      <c r="C742" s="229"/>
      <c r="D742" s="229"/>
      <c r="E742" s="227"/>
      <c r="F742" s="227"/>
      <c r="G742" s="229"/>
      <c r="H742" s="229"/>
      <c r="I742" s="175" t="s">
        <v>356</v>
      </c>
      <c r="J742" s="175"/>
      <c r="K742" s="175"/>
      <c r="L742" s="175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  <c r="AA742" s="176"/>
      <c r="AB742" s="176"/>
      <c r="AC742" s="176"/>
      <c r="AD742" s="176"/>
      <c r="AE742" s="176"/>
      <c r="AF742" s="176"/>
      <c r="AG742" s="176"/>
      <c r="AH742" s="176"/>
      <c r="AI742" s="176"/>
      <c r="AJ742" s="176"/>
      <c r="AK742" s="176"/>
      <c r="AL742" s="176"/>
      <c r="AM742" s="176"/>
      <c r="AN742" s="176"/>
      <c r="AO742" s="176"/>
      <c r="AP742" s="176"/>
      <c r="AQ742" s="176"/>
      <c r="AR742" s="176"/>
      <c r="AS742" s="176"/>
      <c r="AT742" s="176"/>
      <c r="AU742" s="176"/>
      <c r="AV742" s="176"/>
      <c r="AW742" s="176"/>
      <c r="AX742" s="176"/>
      <c r="AY742" s="176"/>
      <c r="AZ742" s="176"/>
      <c r="BA742" s="176"/>
      <c r="BB742" s="176"/>
      <c r="BC742" s="176"/>
      <c r="BD742" s="176"/>
      <c r="BE742" s="176"/>
      <c r="BF742" s="176"/>
      <c r="BG742" s="176"/>
      <c r="BH742" s="176"/>
      <c r="BI742" s="176"/>
      <c r="BJ742" s="176"/>
      <c r="BK742" s="176">
        <v>267</v>
      </c>
      <c r="BL742" s="212">
        <v>373.8</v>
      </c>
      <c r="BM742" s="212">
        <v>373.8</v>
      </c>
      <c r="BN742" s="212">
        <v>338.2</v>
      </c>
      <c r="BO742" s="212">
        <v>391.6</v>
      </c>
      <c r="BP742" s="212">
        <v>373.8</v>
      </c>
      <c r="BQ742" s="212">
        <v>391.6</v>
      </c>
      <c r="BR742" s="212">
        <v>409.4</v>
      </c>
      <c r="BS742" s="212">
        <v>338.2</v>
      </c>
      <c r="BT742" s="212">
        <v>338.2</v>
      </c>
      <c r="BU742" s="212">
        <v>356</v>
      </c>
      <c r="BV742" s="212">
        <v>375.2</v>
      </c>
      <c r="BW742" s="212">
        <v>412.72</v>
      </c>
      <c r="BX742" s="176"/>
      <c r="BY742" s="191"/>
      <c r="BZ742" s="191"/>
      <c r="CA742" s="191"/>
      <c r="CC742" s="182"/>
    </row>
    <row r="743" spans="1:81" s="178" customFormat="1" ht="15.75" customHeight="1">
      <c r="A743" s="226"/>
      <c r="B743" s="227"/>
      <c r="C743" s="229"/>
      <c r="D743" s="229"/>
      <c r="E743" s="227"/>
      <c r="F743" s="227"/>
      <c r="G743" s="229"/>
      <c r="H743" s="229"/>
      <c r="I743" s="184" t="s">
        <v>362</v>
      </c>
      <c r="J743" s="175"/>
      <c r="K743" s="175"/>
      <c r="L743" s="175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  <c r="AA743" s="176"/>
      <c r="AB743" s="176"/>
      <c r="AC743" s="176"/>
      <c r="AD743" s="176"/>
      <c r="AE743" s="176"/>
      <c r="AF743" s="176"/>
      <c r="AG743" s="176"/>
      <c r="AH743" s="176"/>
      <c r="AI743" s="176"/>
      <c r="AJ743" s="176"/>
      <c r="AK743" s="176"/>
      <c r="AL743" s="176"/>
      <c r="AM743" s="176"/>
      <c r="AN743" s="176"/>
      <c r="AO743" s="176"/>
      <c r="AP743" s="176"/>
      <c r="AQ743" s="176"/>
      <c r="AR743" s="176"/>
      <c r="AS743" s="176"/>
      <c r="AT743" s="176"/>
      <c r="AU743" s="176"/>
      <c r="AV743" s="176"/>
      <c r="AW743" s="176"/>
      <c r="AX743" s="176"/>
      <c r="AY743" s="176"/>
      <c r="AZ743" s="176"/>
      <c r="BA743" s="176"/>
      <c r="BB743" s="176"/>
      <c r="BC743" s="176"/>
      <c r="BD743" s="176"/>
      <c r="BE743" s="176"/>
      <c r="BF743" s="176"/>
      <c r="BG743" s="176"/>
      <c r="BH743" s="176"/>
      <c r="BI743" s="176"/>
      <c r="BJ743" s="176"/>
      <c r="BK743" s="176"/>
      <c r="BL743" s="176"/>
      <c r="BM743" s="176"/>
      <c r="BN743" s="176"/>
      <c r="BO743" s="176"/>
      <c r="BP743" s="176"/>
      <c r="BQ743" s="176"/>
      <c r="BR743" s="176">
        <v>315</v>
      </c>
      <c r="BS743" s="176">
        <v>315</v>
      </c>
      <c r="BT743" s="176">
        <v>315</v>
      </c>
      <c r="BU743" s="176">
        <v>315</v>
      </c>
      <c r="BV743" s="176">
        <v>315</v>
      </c>
      <c r="BW743" s="176">
        <v>315</v>
      </c>
      <c r="BX743" s="176"/>
      <c r="BY743" s="191"/>
      <c r="BZ743" s="191"/>
      <c r="CA743" s="191"/>
      <c r="CC743" s="182"/>
    </row>
    <row r="744" spans="1:81" s="178" customFormat="1">
      <c r="A744" s="226"/>
      <c r="B744" s="227"/>
      <c r="C744" s="229"/>
      <c r="D744" s="229"/>
      <c r="E744" s="227"/>
      <c r="F744" s="227"/>
      <c r="G744" s="229"/>
      <c r="H744" s="229"/>
      <c r="I744" s="190" t="s">
        <v>363</v>
      </c>
      <c r="J744" s="190"/>
      <c r="K744" s="190"/>
      <c r="L744" s="190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  <c r="AA744" s="176"/>
      <c r="AB744" s="176"/>
      <c r="AC744" s="176"/>
      <c r="AD744" s="176"/>
      <c r="AE744" s="176"/>
      <c r="AF744" s="176"/>
      <c r="AG744" s="176"/>
      <c r="AH744" s="176"/>
      <c r="AI744" s="176"/>
      <c r="AJ744" s="176"/>
      <c r="AK744" s="176"/>
      <c r="AL744" s="176"/>
      <c r="AM744" s="176"/>
      <c r="AN744" s="176"/>
      <c r="AO744" s="176"/>
      <c r="AP744" s="176"/>
      <c r="AQ744" s="176"/>
      <c r="AR744" s="176"/>
      <c r="AS744" s="176"/>
      <c r="AT744" s="176"/>
      <c r="AU744" s="176"/>
      <c r="AV744" s="176"/>
      <c r="AW744" s="176"/>
      <c r="AX744" s="176"/>
      <c r="AY744" s="176"/>
      <c r="AZ744" s="176"/>
      <c r="BA744" s="176"/>
      <c r="BB744" s="176"/>
      <c r="BC744" s="176"/>
      <c r="BD744" s="176"/>
      <c r="BE744" s="176"/>
      <c r="BF744" s="176"/>
      <c r="BG744" s="176"/>
      <c r="BH744" s="176"/>
      <c r="BI744" s="176"/>
      <c r="BJ744" s="176"/>
      <c r="BK744" s="176"/>
      <c r="BL744" s="176"/>
      <c r="BM744" s="176"/>
      <c r="BN744" s="176"/>
      <c r="BO744" s="176"/>
      <c r="BP744" s="176"/>
      <c r="BQ744" s="176"/>
      <c r="BR744" s="176"/>
      <c r="BS744" s="176"/>
      <c r="BT744" s="176"/>
      <c r="BU744" s="176"/>
      <c r="BV744" s="176"/>
      <c r="BW744" s="176"/>
      <c r="BX744" s="176"/>
      <c r="BY744" s="191"/>
      <c r="BZ744" s="191"/>
    </row>
    <row r="745" spans="1:81" s="178" customFormat="1">
      <c r="A745" s="226"/>
      <c r="B745" s="227"/>
      <c r="C745" s="229"/>
      <c r="D745" s="229"/>
      <c r="E745" s="227"/>
      <c r="F745" s="227"/>
      <c r="G745" s="229"/>
      <c r="H745" s="229"/>
      <c r="I745" s="193" t="s">
        <v>373</v>
      </c>
      <c r="J745" s="193"/>
      <c r="K745" s="193"/>
      <c r="L745" s="193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  <c r="AA745" s="176"/>
      <c r="AB745" s="176"/>
      <c r="AC745" s="176"/>
      <c r="AD745" s="176"/>
      <c r="AE745" s="176"/>
      <c r="AF745" s="176"/>
      <c r="AG745" s="176"/>
      <c r="AH745" s="176"/>
      <c r="AI745" s="176"/>
      <c r="AJ745" s="176"/>
      <c r="AK745" s="176"/>
      <c r="AL745" s="176"/>
      <c r="AM745" s="176"/>
      <c r="AN745" s="176"/>
      <c r="AO745" s="176"/>
      <c r="AP745" s="176"/>
      <c r="AQ745" s="176"/>
      <c r="AR745" s="176"/>
      <c r="AS745" s="176"/>
      <c r="AT745" s="176"/>
      <c r="AU745" s="176"/>
      <c r="AV745" s="176"/>
      <c r="AW745" s="176"/>
      <c r="AX745" s="176"/>
      <c r="AY745" s="176"/>
      <c r="AZ745" s="176"/>
      <c r="BA745" s="176"/>
      <c r="BB745" s="176"/>
      <c r="BC745" s="176"/>
      <c r="BD745" s="176"/>
      <c r="BE745" s="176"/>
      <c r="BF745" s="176"/>
      <c r="BG745" s="176"/>
      <c r="BH745" s="176"/>
      <c r="BI745" s="176"/>
      <c r="BJ745" s="176"/>
      <c r="BK745" s="176">
        <v>296.85000000000002</v>
      </c>
      <c r="BL745" s="176">
        <v>441.34</v>
      </c>
      <c r="BM745" s="176">
        <v>441.34</v>
      </c>
      <c r="BN745" s="176">
        <v>441.34</v>
      </c>
      <c r="BO745" s="176">
        <v>441.34</v>
      </c>
      <c r="BP745" s="176">
        <v>442.34</v>
      </c>
      <c r="BQ745" s="176">
        <v>442.34</v>
      </c>
      <c r="BR745" s="176">
        <v>442.34</v>
      </c>
      <c r="BS745" s="176">
        <v>442.34</v>
      </c>
      <c r="BT745" s="176">
        <f>1759.98-1287</f>
        <v>472.98</v>
      </c>
      <c r="BU745" s="176">
        <f>1759.98-1287</f>
        <v>472.98</v>
      </c>
      <c r="BV745" s="176">
        <f>1759.98-1287</f>
        <v>472.98</v>
      </c>
      <c r="BW745" s="176">
        <f>2470.46-1287.66-714.77</f>
        <v>468.03</v>
      </c>
      <c r="BX745" s="176"/>
      <c r="BY745" s="191"/>
      <c r="BZ745" s="191"/>
    </row>
    <row r="746" spans="1:81" s="178" customFormat="1">
      <c r="A746" s="226"/>
      <c r="B746" s="227"/>
      <c r="C746" s="229"/>
      <c r="D746" s="229"/>
      <c r="E746" s="227"/>
      <c r="F746" s="227"/>
      <c r="G746" s="229"/>
      <c r="H746" s="229"/>
      <c r="I746" s="190"/>
      <c r="J746" s="176">
        <f>SUM(J735:J744)-J745</f>
        <v>0</v>
      </c>
      <c r="K746" s="176">
        <f t="shared" ref="K746:Y746" si="367">SUM(K735:K744)-K745</f>
        <v>0</v>
      </c>
      <c r="L746" s="176">
        <f t="shared" si="367"/>
        <v>0</v>
      </c>
      <c r="M746" s="176">
        <f t="shared" si="367"/>
        <v>0</v>
      </c>
      <c r="N746" s="176">
        <f t="shared" si="367"/>
        <v>0</v>
      </c>
      <c r="O746" s="176">
        <f t="shared" si="367"/>
        <v>0</v>
      </c>
      <c r="P746" s="176">
        <f t="shared" si="367"/>
        <v>0</v>
      </c>
      <c r="Q746" s="176">
        <f t="shared" si="367"/>
        <v>0</v>
      </c>
      <c r="R746" s="176">
        <f t="shared" si="367"/>
        <v>0</v>
      </c>
      <c r="S746" s="176">
        <f t="shared" si="367"/>
        <v>0</v>
      </c>
      <c r="T746" s="176">
        <f t="shared" si="367"/>
        <v>0</v>
      </c>
      <c r="U746" s="176">
        <f t="shared" si="367"/>
        <v>0</v>
      </c>
      <c r="V746" s="176">
        <f t="shared" si="367"/>
        <v>0</v>
      </c>
      <c r="W746" s="176">
        <f t="shared" si="367"/>
        <v>0</v>
      </c>
      <c r="X746" s="176">
        <f t="shared" si="367"/>
        <v>0</v>
      </c>
      <c r="Y746" s="176">
        <f t="shared" si="367"/>
        <v>0</v>
      </c>
      <c r="Z746" s="176">
        <f>SUM(Z735:Z744)-Z745</f>
        <v>0</v>
      </c>
      <c r="AA746" s="176">
        <f t="shared" ref="AA746:AD746" si="368">SUM(AA735:AA744)-AA745</f>
        <v>0</v>
      </c>
      <c r="AB746" s="176">
        <f t="shared" si="368"/>
        <v>0</v>
      </c>
      <c r="AC746" s="176">
        <f t="shared" si="368"/>
        <v>0</v>
      </c>
      <c r="AD746" s="176">
        <f t="shared" si="368"/>
        <v>0</v>
      </c>
      <c r="AE746" s="176">
        <f>SUM(AE735:AE744)-AE745</f>
        <v>0</v>
      </c>
      <c r="AF746" s="176">
        <f>SUM(AF735:AF744)-AF745</f>
        <v>0</v>
      </c>
      <c r="AG746" s="176">
        <f t="shared" ref="AG746:AP746" si="369">SUM(AG735:AG744)-AG745</f>
        <v>0</v>
      </c>
      <c r="AH746" s="176">
        <f t="shared" si="369"/>
        <v>0</v>
      </c>
      <c r="AI746" s="176">
        <f t="shared" si="369"/>
        <v>0</v>
      </c>
      <c r="AJ746" s="176">
        <f t="shared" si="369"/>
        <v>0</v>
      </c>
      <c r="AK746" s="176">
        <f t="shared" si="369"/>
        <v>0</v>
      </c>
      <c r="AL746" s="176">
        <f t="shared" si="369"/>
        <v>0</v>
      </c>
      <c r="AM746" s="176">
        <f t="shared" si="369"/>
        <v>0</v>
      </c>
      <c r="AN746" s="176">
        <f t="shared" si="369"/>
        <v>0</v>
      </c>
      <c r="AO746" s="176">
        <f t="shared" si="369"/>
        <v>0</v>
      </c>
      <c r="AP746" s="176">
        <f t="shared" si="369"/>
        <v>0</v>
      </c>
      <c r="AQ746" s="176">
        <f t="shared" ref="AQ746:AU746" si="370">SUM(AQ735:AQ744)-AQ745</f>
        <v>0</v>
      </c>
      <c r="AR746" s="176">
        <f t="shared" si="370"/>
        <v>0</v>
      </c>
      <c r="AS746" s="176">
        <f t="shared" si="370"/>
        <v>0</v>
      </c>
      <c r="AT746" s="176">
        <f t="shared" si="370"/>
        <v>0</v>
      </c>
      <c r="AU746" s="176">
        <f t="shared" si="370"/>
        <v>0</v>
      </c>
      <c r="AV746" s="176">
        <f>SUM(AV735:AV744)-AV745</f>
        <v>0</v>
      </c>
      <c r="AW746" s="176">
        <f t="shared" ref="AW746:BA746" si="371">SUM(AW735:AW744)-AW745</f>
        <v>0</v>
      </c>
      <c r="AX746" s="176">
        <f t="shared" si="371"/>
        <v>0</v>
      </c>
      <c r="AY746" s="176">
        <f t="shared" si="371"/>
        <v>0</v>
      </c>
      <c r="AZ746" s="176">
        <f t="shared" si="371"/>
        <v>0</v>
      </c>
      <c r="BA746" s="176">
        <f t="shared" si="371"/>
        <v>0</v>
      </c>
      <c r="BB746" s="176"/>
      <c r="BC746" s="176"/>
      <c r="BD746" s="176"/>
      <c r="BE746" s="176"/>
      <c r="BF746" s="176"/>
      <c r="BG746" s="176"/>
      <c r="BH746" s="176"/>
      <c r="BI746" s="176"/>
      <c r="BJ746" s="176"/>
      <c r="BK746" s="176">
        <f t="shared" ref="BK746:BP746" si="372">BK736+BK741+BK742-BK745</f>
        <v>2491.9300000000003</v>
      </c>
      <c r="BL746" s="176">
        <f t="shared" si="372"/>
        <v>3523.83</v>
      </c>
      <c r="BM746" s="176">
        <f t="shared" si="372"/>
        <v>3523.83</v>
      </c>
      <c r="BN746" s="176">
        <f t="shared" si="372"/>
        <v>3436.1099999999997</v>
      </c>
      <c r="BO746" s="176">
        <f t="shared" si="372"/>
        <v>3567.6</v>
      </c>
      <c r="BP746" s="176">
        <f t="shared" si="372"/>
        <v>3522.83</v>
      </c>
      <c r="BQ746" s="176">
        <f t="shared" ref="BQ746" si="373">BQ736+BQ741+BQ742-BQ745</f>
        <v>3566.69</v>
      </c>
      <c r="BR746" s="176">
        <f t="shared" ref="BR746:BW746" si="374">BR736+BR741+BR742-BR745+BR743</f>
        <v>4164.8599999999997</v>
      </c>
      <c r="BS746" s="176">
        <f t="shared" si="374"/>
        <v>3953.46</v>
      </c>
      <c r="BT746" s="176">
        <f t="shared" si="374"/>
        <v>3922.82</v>
      </c>
      <c r="BU746" s="176">
        <f t="shared" si="374"/>
        <v>3968.1699999999996</v>
      </c>
      <c r="BV746" s="176">
        <f t="shared" si="374"/>
        <v>3987.3700000000003</v>
      </c>
      <c r="BW746" s="176">
        <f t="shared" si="374"/>
        <v>4084.9400000000005</v>
      </c>
      <c r="BX746" s="176">
        <f>SUM(BK746:BW746)</f>
        <v>47714.44</v>
      </c>
      <c r="BY746" s="191"/>
      <c r="BZ746" s="191"/>
    </row>
    <row r="747" spans="1:81" ht="15.6" customHeight="1">
      <c r="A747" s="148" t="s">
        <v>346</v>
      </c>
      <c r="B747" s="148" t="s">
        <v>347</v>
      </c>
      <c r="C747" s="145" t="s">
        <v>310</v>
      </c>
      <c r="D747" s="145" t="s">
        <v>311</v>
      </c>
      <c r="E747" s="148" t="s">
        <v>312</v>
      </c>
      <c r="F747" s="148" t="s">
        <v>348</v>
      </c>
      <c r="G747" s="145" t="s">
        <v>314</v>
      </c>
      <c r="H747" s="145" t="s">
        <v>315</v>
      </c>
      <c r="I747" s="145" t="s">
        <v>349</v>
      </c>
      <c r="J747" s="146">
        <v>44105</v>
      </c>
      <c r="K747" s="146">
        <v>44136</v>
      </c>
      <c r="L747" s="146">
        <v>44166</v>
      </c>
      <c r="M747" s="146">
        <v>44197</v>
      </c>
      <c r="N747" s="146">
        <v>44228</v>
      </c>
      <c r="O747" s="146">
        <v>44256</v>
      </c>
      <c r="P747" s="146">
        <v>44287</v>
      </c>
      <c r="Q747" s="146">
        <v>44317</v>
      </c>
      <c r="R747" s="146">
        <v>44348</v>
      </c>
      <c r="S747" s="146">
        <v>44378</v>
      </c>
      <c r="T747" s="146">
        <v>44409</v>
      </c>
      <c r="U747" s="146">
        <v>44440</v>
      </c>
      <c r="V747" s="146">
        <v>44470</v>
      </c>
      <c r="W747" s="146">
        <v>44501</v>
      </c>
      <c r="X747" s="146">
        <v>44531</v>
      </c>
      <c r="Y747" s="146">
        <v>44562</v>
      </c>
      <c r="Z747" s="146">
        <v>44593</v>
      </c>
      <c r="AA747" s="146">
        <v>44621</v>
      </c>
      <c r="AB747" s="146">
        <v>44652</v>
      </c>
      <c r="AC747" s="146">
        <v>44682</v>
      </c>
      <c r="AD747" s="146">
        <v>44713</v>
      </c>
      <c r="AE747" s="146">
        <v>44743</v>
      </c>
      <c r="AF747" s="146">
        <v>44774</v>
      </c>
      <c r="AG747" s="146">
        <v>44805</v>
      </c>
      <c r="AH747" s="146">
        <v>44835</v>
      </c>
      <c r="AI747" s="146">
        <v>44866</v>
      </c>
      <c r="AJ747" s="146">
        <v>44896</v>
      </c>
      <c r="AK747" s="146">
        <v>44927</v>
      </c>
      <c r="AL747" s="146">
        <v>44958</v>
      </c>
      <c r="AM747" s="146">
        <v>44986</v>
      </c>
      <c r="AN747" s="146">
        <v>45017</v>
      </c>
      <c r="AO747" s="146">
        <v>45047</v>
      </c>
      <c r="AP747" s="146">
        <v>45078</v>
      </c>
      <c r="AQ747" s="146">
        <v>45108</v>
      </c>
      <c r="AR747" s="146">
        <v>45139</v>
      </c>
      <c r="AS747" s="146">
        <v>45170</v>
      </c>
      <c r="AT747" s="146">
        <v>45200</v>
      </c>
      <c r="AU747" s="146">
        <v>45231</v>
      </c>
      <c r="AV747" s="146">
        <v>45261</v>
      </c>
      <c r="AW747" s="146">
        <v>45292</v>
      </c>
      <c r="AX747" s="146">
        <v>45323</v>
      </c>
      <c r="AY747" s="146">
        <v>45352</v>
      </c>
      <c r="AZ747" s="146">
        <v>45383</v>
      </c>
      <c r="BA747" s="146">
        <v>45413</v>
      </c>
      <c r="BB747" s="146">
        <v>45444</v>
      </c>
      <c r="BC747" s="146">
        <v>45474</v>
      </c>
      <c r="BD747" s="146">
        <v>45505</v>
      </c>
      <c r="BE747" s="146">
        <v>45536</v>
      </c>
      <c r="BF747" s="146">
        <v>45566</v>
      </c>
      <c r="BG747" s="146">
        <v>45597</v>
      </c>
      <c r="BH747" s="146">
        <v>45627</v>
      </c>
      <c r="BI747" s="146">
        <v>45658</v>
      </c>
      <c r="BJ747" s="146">
        <v>45689</v>
      </c>
      <c r="BK747" s="146">
        <v>45717</v>
      </c>
      <c r="BL747" s="146">
        <v>45748</v>
      </c>
      <c r="BM747" s="146">
        <v>45778</v>
      </c>
      <c r="BN747" s="146">
        <v>45809</v>
      </c>
      <c r="BO747" s="146">
        <v>45839</v>
      </c>
      <c r="BP747" s="146">
        <v>45870</v>
      </c>
      <c r="BQ747" s="146">
        <v>45901</v>
      </c>
      <c r="BR747" s="146">
        <v>45931</v>
      </c>
      <c r="BS747" s="146">
        <v>45962</v>
      </c>
      <c r="BT747" s="146">
        <v>45992</v>
      </c>
      <c r="BU747" s="146">
        <v>46023</v>
      </c>
      <c r="BV747" s="146">
        <v>46054</v>
      </c>
      <c r="BW747" s="146">
        <v>46082</v>
      </c>
      <c r="BX747" s="147" t="s">
        <v>13</v>
      </c>
      <c r="BY747" s="5"/>
      <c r="BZ747" s="5"/>
      <c r="CA747" s="5"/>
    </row>
    <row r="748" spans="1:81" s="178" customFormat="1" ht="15.75" customHeight="1">
      <c r="A748" s="226">
        <v>56</v>
      </c>
      <c r="B748" s="227" t="s">
        <v>196</v>
      </c>
      <c r="C748" s="229" t="s">
        <v>23</v>
      </c>
      <c r="D748" s="229" t="s">
        <v>89</v>
      </c>
      <c r="E748" s="227" t="s">
        <v>396</v>
      </c>
      <c r="F748" s="227" t="s">
        <v>396</v>
      </c>
      <c r="G748" s="228">
        <v>45729</v>
      </c>
      <c r="H748" s="228"/>
      <c r="I748" s="175" t="s">
        <v>390</v>
      </c>
      <c r="J748" s="175"/>
      <c r="K748" s="175"/>
      <c r="L748" s="175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  <c r="AA748" s="176"/>
      <c r="AB748" s="176"/>
      <c r="AC748" s="176"/>
      <c r="AD748" s="176"/>
      <c r="AE748" s="176"/>
      <c r="AF748" s="176"/>
      <c r="AG748" s="176"/>
      <c r="AH748" s="176"/>
      <c r="AI748" s="176"/>
      <c r="AJ748" s="176"/>
      <c r="AK748" s="176"/>
      <c r="AL748" s="176"/>
      <c r="AM748" s="176"/>
      <c r="AN748" s="176"/>
      <c r="AO748" s="176"/>
      <c r="AP748" s="176"/>
      <c r="AQ748" s="176"/>
      <c r="AR748" s="176"/>
      <c r="AS748" s="176"/>
      <c r="AT748" s="176"/>
      <c r="AU748" s="176"/>
      <c r="AV748" s="176"/>
      <c r="AW748" s="176"/>
      <c r="AX748" s="176"/>
      <c r="AY748" s="176"/>
      <c r="AZ748" s="176"/>
      <c r="BA748" s="176"/>
      <c r="BB748" s="176"/>
      <c r="BC748" s="176"/>
      <c r="BD748" s="176"/>
      <c r="BE748" s="176"/>
      <c r="BF748" s="176"/>
      <c r="BG748" s="176"/>
      <c r="BH748" s="176"/>
      <c r="BI748" s="176"/>
      <c r="BJ748" s="176"/>
      <c r="BK748" s="176"/>
      <c r="BL748" s="176"/>
      <c r="BM748" s="176"/>
      <c r="BN748" s="176"/>
      <c r="BO748" s="176"/>
      <c r="BP748" s="176"/>
      <c r="BQ748" s="176"/>
      <c r="BR748" s="176"/>
      <c r="BS748" s="176"/>
      <c r="BT748" s="176"/>
      <c r="BU748" s="176"/>
      <c r="BV748" s="176"/>
      <c r="BW748" s="176"/>
      <c r="BX748" s="176"/>
      <c r="BY748" s="191"/>
      <c r="BZ748" s="191"/>
      <c r="CA748" s="191"/>
      <c r="CC748" s="182"/>
    </row>
    <row r="749" spans="1:81" s="178" customFormat="1" ht="15.75" customHeight="1">
      <c r="A749" s="226"/>
      <c r="B749" s="227"/>
      <c r="C749" s="229"/>
      <c r="D749" s="229"/>
      <c r="E749" s="227"/>
      <c r="F749" s="227"/>
      <c r="G749" s="229"/>
      <c r="H749" s="229"/>
      <c r="I749" s="175" t="s">
        <v>351</v>
      </c>
      <c r="J749" s="175"/>
      <c r="K749" s="175"/>
      <c r="L749" s="175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  <c r="AA749" s="176"/>
      <c r="AB749" s="176"/>
      <c r="AC749" s="176"/>
      <c r="AD749" s="176"/>
      <c r="AE749" s="176"/>
      <c r="AF749" s="176"/>
      <c r="AG749" s="176"/>
      <c r="AH749" s="176"/>
      <c r="AI749" s="176"/>
      <c r="AJ749" s="176"/>
      <c r="AK749" s="176"/>
      <c r="AL749" s="176"/>
      <c r="AM749" s="176"/>
      <c r="AN749" s="176"/>
      <c r="AO749" s="176"/>
      <c r="AP749" s="176"/>
      <c r="AQ749" s="176"/>
      <c r="AR749" s="176"/>
      <c r="AS749" s="176"/>
      <c r="AT749" s="176"/>
      <c r="AU749" s="176"/>
      <c r="AV749" s="176"/>
      <c r="AW749" s="176"/>
      <c r="AX749" s="176"/>
      <c r="AY749" s="176"/>
      <c r="AZ749" s="176"/>
      <c r="BA749" s="176"/>
      <c r="BB749" s="176"/>
      <c r="BC749" s="176"/>
      <c r="BD749" s="176"/>
      <c r="BE749" s="176"/>
      <c r="BF749" s="176"/>
      <c r="BG749" s="176"/>
      <c r="BH749" s="176"/>
      <c r="BI749" s="176"/>
      <c r="BJ749" s="176"/>
      <c r="BK749" s="176">
        <v>1660.72</v>
      </c>
      <c r="BL749" s="176">
        <v>2767.86</v>
      </c>
      <c r="BM749" s="176">
        <v>2767.86</v>
      </c>
      <c r="BN749" s="176">
        <v>2767.86</v>
      </c>
      <c r="BO749" s="176">
        <v>2767.86</v>
      </c>
      <c r="BP749" s="176">
        <v>2767.86</v>
      </c>
      <c r="BQ749" s="176">
        <v>2767.86</v>
      </c>
      <c r="BR749" s="176">
        <v>2767.86</v>
      </c>
      <c r="BS749" s="176">
        <v>2927.01</v>
      </c>
      <c r="BT749" s="176">
        <v>2927.01</v>
      </c>
      <c r="BU749" s="176">
        <v>2927.01</v>
      </c>
      <c r="BV749" s="176">
        <v>2927.01</v>
      </c>
      <c r="BW749" s="176">
        <v>2927.01</v>
      </c>
      <c r="BX749" s="176"/>
      <c r="BY749" s="191"/>
      <c r="BZ749" s="191"/>
      <c r="CA749" s="191"/>
      <c r="CC749" s="182"/>
    </row>
    <row r="750" spans="1:81" s="178" customFormat="1" ht="15.75" customHeight="1">
      <c r="A750" s="226"/>
      <c r="B750" s="227"/>
      <c r="C750" s="229"/>
      <c r="D750" s="229"/>
      <c r="E750" s="227"/>
      <c r="F750" s="227"/>
      <c r="G750" s="229"/>
      <c r="H750" s="229"/>
      <c r="I750" s="175" t="s">
        <v>391</v>
      </c>
      <c r="J750" s="175"/>
      <c r="K750" s="175"/>
      <c r="L750" s="175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7"/>
      <c r="Z750" s="176"/>
      <c r="AA750" s="176"/>
      <c r="AB750" s="176"/>
      <c r="AC750" s="176"/>
      <c r="AD750" s="176"/>
      <c r="AE750" s="176"/>
      <c r="AF750" s="176"/>
      <c r="AG750" s="176"/>
      <c r="AH750" s="176"/>
      <c r="AI750" s="176"/>
      <c r="AJ750" s="176"/>
      <c r="AK750" s="176"/>
      <c r="AL750" s="176"/>
      <c r="AM750" s="176"/>
      <c r="AN750" s="176"/>
      <c r="AO750" s="176"/>
      <c r="AP750" s="176"/>
      <c r="AQ750" s="176"/>
      <c r="AR750" s="176"/>
      <c r="AS750" s="176"/>
      <c r="AT750" s="176"/>
      <c r="AU750" s="176"/>
      <c r="AV750" s="176"/>
      <c r="AW750" s="176"/>
      <c r="AX750" s="176"/>
      <c r="AY750" s="176"/>
      <c r="AZ750" s="176"/>
      <c r="BA750" s="176"/>
      <c r="BB750" s="176"/>
      <c r="BC750" s="176"/>
      <c r="BD750" s="176"/>
      <c r="BE750" s="176"/>
      <c r="BF750" s="176"/>
      <c r="BG750" s="176"/>
      <c r="BH750" s="176"/>
      <c r="BI750" s="176"/>
      <c r="BJ750" s="176"/>
      <c r="BK750" s="176"/>
      <c r="BL750" s="176"/>
      <c r="BM750" s="176"/>
      <c r="BN750" s="176"/>
      <c r="BO750" s="176"/>
      <c r="BP750" s="176"/>
      <c r="BQ750" s="176"/>
      <c r="BR750" s="176"/>
      <c r="BS750" s="176"/>
      <c r="BT750" s="176"/>
      <c r="BU750" s="176"/>
      <c r="BV750" s="176"/>
      <c r="BW750" s="176"/>
      <c r="BX750" s="176"/>
      <c r="BY750" s="191"/>
      <c r="BZ750" s="191"/>
      <c r="CA750" s="191"/>
      <c r="CC750" s="182"/>
    </row>
    <row r="751" spans="1:81" s="178" customFormat="1" ht="15.75" customHeight="1">
      <c r="A751" s="226"/>
      <c r="B751" s="227"/>
      <c r="C751" s="229"/>
      <c r="D751" s="229"/>
      <c r="E751" s="227"/>
      <c r="F751" s="227"/>
      <c r="G751" s="229"/>
      <c r="H751" s="229"/>
      <c r="I751" s="175" t="s">
        <v>351</v>
      </c>
      <c r="J751" s="175"/>
      <c r="K751" s="175"/>
      <c r="L751" s="175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7"/>
      <c r="Z751" s="176"/>
      <c r="AA751" s="176"/>
      <c r="AB751" s="176"/>
      <c r="AC751" s="176"/>
      <c r="AD751" s="176"/>
      <c r="AE751" s="176"/>
      <c r="AF751" s="176"/>
      <c r="AG751" s="176"/>
      <c r="AH751" s="176"/>
      <c r="AI751" s="176"/>
      <c r="AJ751" s="176"/>
      <c r="AK751" s="176"/>
      <c r="AL751" s="176"/>
      <c r="AM751" s="176"/>
      <c r="AN751" s="176"/>
      <c r="AO751" s="176"/>
      <c r="AP751" s="176"/>
      <c r="AQ751" s="176"/>
      <c r="AR751" s="176"/>
      <c r="AS751" s="176"/>
      <c r="AT751" s="176"/>
      <c r="AU751" s="176"/>
      <c r="AV751" s="176"/>
      <c r="AW751" s="176"/>
      <c r="AX751" s="176"/>
      <c r="AY751" s="176"/>
      <c r="AZ751" s="176"/>
      <c r="BA751" s="176"/>
      <c r="BB751" s="176"/>
      <c r="BC751" s="176"/>
      <c r="BD751" s="176"/>
      <c r="BE751" s="176"/>
      <c r="BF751" s="176"/>
      <c r="BG751" s="176"/>
      <c r="BH751" s="176"/>
      <c r="BI751" s="176"/>
      <c r="BJ751" s="176"/>
      <c r="BK751" s="176"/>
      <c r="BL751" s="176"/>
      <c r="BM751" s="176"/>
      <c r="BN751" s="176"/>
      <c r="BO751" s="176"/>
      <c r="BP751" s="176"/>
      <c r="BQ751" s="176"/>
      <c r="BR751" s="176"/>
      <c r="BS751" s="176"/>
      <c r="BT751" s="176"/>
      <c r="BU751" s="176"/>
      <c r="BV751" s="176"/>
      <c r="BW751" s="176"/>
      <c r="BX751" s="176"/>
      <c r="BY751" s="191"/>
      <c r="BZ751" s="191"/>
      <c r="CA751" s="191"/>
      <c r="CC751" s="182"/>
    </row>
    <row r="752" spans="1:81" s="178" customFormat="1" ht="15.75" customHeight="1">
      <c r="A752" s="226"/>
      <c r="B752" s="227"/>
      <c r="C752" s="229"/>
      <c r="D752" s="229"/>
      <c r="E752" s="227"/>
      <c r="F752" s="227"/>
      <c r="G752" s="229"/>
      <c r="H752" s="229"/>
      <c r="I752" s="175" t="s">
        <v>353</v>
      </c>
      <c r="J752" s="175"/>
      <c r="K752" s="175"/>
      <c r="L752" s="175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  <c r="AA752" s="176"/>
      <c r="AB752" s="176"/>
      <c r="AC752" s="176"/>
      <c r="AD752" s="176"/>
      <c r="AE752" s="176"/>
      <c r="AF752" s="176"/>
      <c r="AG752" s="176"/>
      <c r="AH752" s="176"/>
      <c r="AI752" s="176"/>
      <c r="AJ752" s="176"/>
      <c r="AK752" s="176"/>
      <c r="AL752" s="176"/>
      <c r="AM752" s="176"/>
      <c r="AN752" s="176"/>
      <c r="AO752" s="176"/>
      <c r="AP752" s="176"/>
      <c r="AQ752" s="176"/>
      <c r="AR752" s="176"/>
      <c r="AS752" s="176"/>
      <c r="AT752" s="176"/>
      <c r="AU752" s="176"/>
      <c r="AV752" s="176"/>
      <c r="AW752" s="176"/>
      <c r="AX752" s="176"/>
      <c r="AY752" s="176"/>
      <c r="AZ752" s="176"/>
      <c r="BA752" s="176"/>
      <c r="BB752" s="176"/>
      <c r="BC752" s="176"/>
      <c r="BD752" s="176"/>
      <c r="BE752" s="176"/>
      <c r="BF752" s="176"/>
      <c r="BG752" s="176"/>
      <c r="BH752" s="176"/>
      <c r="BI752" s="176"/>
      <c r="BJ752" s="176"/>
      <c r="BK752" s="176"/>
      <c r="BL752" s="176"/>
      <c r="BM752" s="176"/>
      <c r="BN752" s="176"/>
      <c r="BO752" s="176"/>
      <c r="BP752" s="176"/>
      <c r="BQ752" s="176"/>
      <c r="BR752" s="176"/>
      <c r="BS752" s="176"/>
      <c r="BT752" s="176"/>
      <c r="BU752" s="176"/>
      <c r="BV752" s="176"/>
      <c r="BW752" s="176"/>
      <c r="BX752" s="176"/>
      <c r="BY752" s="191"/>
      <c r="BZ752" s="191"/>
      <c r="CA752" s="191"/>
      <c r="CC752" s="182"/>
    </row>
    <row r="753" spans="1:81" s="178" customFormat="1" ht="15.75" customHeight="1">
      <c r="A753" s="226"/>
      <c r="B753" s="227"/>
      <c r="C753" s="229"/>
      <c r="D753" s="229"/>
      <c r="E753" s="227"/>
      <c r="F753" s="227"/>
      <c r="G753" s="229"/>
      <c r="H753" s="229"/>
      <c r="I753" s="175" t="s">
        <v>354</v>
      </c>
      <c r="J753" s="175"/>
      <c r="K753" s="175"/>
      <c r="L753" s="175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  <c r="AA753" s="176"/>
      <c r="AB753" s="176"/>
      <c r="AC753" s="176"/>
      <c r="AD753" s="176"/>
      <c r="AE753" s="176"/>
      <c r="AF753" s="176"/>
      <c r="AG753" s="176"/>
      <c r="AH753" s="176"/>
      <c r="AI753" s="176"/>
      <c r="AJ753" s="176"/>
      <c r="AK753" s="176"/>
      <c r="AL753" s="176"/>
      <c r="AM753" s="176"/>
      <c r="AN753" s="176"/>
      <c r="AO753" s="176"/>
      <c r="AP753" s="176"/>
      <c r="AQ753" s="176"/>
      <c r="AR753" s="176"/>
      <c r="AS753" s="176"/>
      <c r="AT753" s="176"/>
      <c r="AU753" s="176"/>
      <c r="AV753" s="176"/>
      <c r="AW753" s="176"/>
      <c r="AX753" s="176"/>
      <c r="AY753" s="176"/>
      <c r="AZ753" s="176"/>
      <c r="BA753" s="176"/>
      <c r="BB753" s="176"/>
      <c r="BC753" s="176"/>
      <c r="BD753" s="176"/>
      <c r="BE753" s="176"/>
      <c r="BF753" s="176"/>
      <c r="BG753" s="176"/>
      <c r="BH753" s="176"/>
      <c r="BI753" s="176"/>
      <c r="BJ753" s="176"/>
      <c r="BK753" s="176"/>
      <c r="BL753" s="176"/>
      <c r="BM753" s="176"/>
      <c r="BN753" s="176"/>
      <c r="BO753" s="176"/>
      <c r="BP753" s="176"/>
      <c r="BQ753" s="176"/>
      <c r="BR753" s="176"/>
      <c r="BS753" s="176"/>
      <c r="BT753" s="176"/>
      <c r="BU753" s="176"/>
      <c r="BV753" s="176"/>
      <c r="BW753" s="176"/>
      <c r="BX753" s="176"/>
      <c r="BY753" s="191"/>
      <c r="BZ753" s="191"/>
      <c r="CA753" s="191"/>
      <c r="CC753" s="182"/>
    </row>
    <row r="754" spans="1:81" s="178" customFormat="1" ht="15.75" customHeight="1">
      <c r="A754" s="226"/>
      <c r="B754" s="227"/>
      <c r="C754" s="229"/>
      <c r="D754" s="229"/>
      <c r="E754" s="227"/>
      <c r="F754" s="227"/>
      <c r="G754" s="229"/>
      <c r="H754" s="229"/>
      <c r="I754" s="175" t="s">
        <v>356</v>
      </c>
      <c r="J754" s="175"/>
      <c r="K754" s="175"/>
      <c r="L754" s="175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  <c r="AA754" s="176"/>
      <c r="AB754" s="176"/>
      <c r="AC754" s="176"/>
      <c r="AD754" s="176"/>
      <c r="AE754" s="176"/>
      <c r="AF754" s="176"/>
      <c r="AG754" s="176"/>
      <c r="AH754" s="176"/>
      <c r="AI754" s="176"/>
      <c r="AJ754" s="176"/>
      <c r="AK754" s="176"/>
      <c r="AL754" s="176"/>
      <c r="AM754" s="176"/>
      <c r="AN754" s="176"/>
      <c r="AO754" s="176"/>
      <c r="AP754" s="176"/>
      <c r="AQ754" s="176"/>
      <c r="AR754" s="176"/>
      <c r="AS754" s="176"/>
      <c r="AT754" s="176"/>
      <c r="AU754" s="176"/>
      <c r="AV754" s="176"/>
      <c r="AW754" s="176"/>
      <c r="AX754" s="176"/>
      <c r="AY754" s="176"/>
      <c r="AZ754" s="176"/>
      <c r="BA754" s="176"/>
      <c r="BB754" s="176"/>
      <c r="BC754" s="176"/>
      <c r="BD754" s="176"/>
      <c r="BE754" s="176"/>
      <c r="BF754" s="176"/>
      <c r="BG754" s="176"/>
      <c r="BH754" s="176"/>
      <c r="BI754" s="176"/>
      <c r="BJ754" s="176"/>
      <c r="BK754" s="176">
        <v>231.4</v>
      </c>
      <c r="BL754" s="176">
        <v>547.26</v>
      </c>
      <c r="BM754" s="176">
        <v>547.26</v>
      </c>
      <c r="BN754" s="176">
        <v>495.14</v>
      </c>
      <c r="BO754" s="176">
        <v>573.23</v>
      </c>
      <c r="BP754" s="176">
        <v>547.26</v>
      </c>
      <c r="BQ754" s="176">
        <v>573.32000000000005</v>
      </c>
      <c r="BR754" s="176">
        <v>663.65</v>
      </c>
      <c r="BS754" s="176">
        <v>523.45000000000005</v>
      </c>
      <c r="BT754" s="176">
        <v>523.45000000000005</v>
      </c>
      <c r="BU754" s="176">
        <v>551</v>
      </c>
      <c r="BV754" s="176">
        <v>551</v>
      </c>
      <c r="BW754" s="176">
        <v>606</v>
      </c>
      <c r="BX754" s="176"/>
      <c r="BY754" s="191"/>
      <c r="BZ754" s="191"/>
      <c r="CA754" s="191"/>
      <c r="CC754" s="182"/>
    </row>
    <row r="755" spans="1:81" s="178" customFormat="1" ht="15.75" customHeight="1">
      <c r="A755" s="226"/>
      <c r="B755" s="227"/>
      <c r="C755" s="229"/>
      <c r="D755" s="229"/>
      <c r="E755" s="227"/>
      <c r="F755" s="227"/>
      <c r="G755" s="229"/>
      <c r="H755" s="229"/>
      <c r="I755" s="175" t="s">
        <v>355</v>
      </c>
      <c r="J755" s="175"/>
      <c r="K755" s="175"/>
      <c r="L755" s="175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  <c r="AA755" s="176"/>
      <c r="AB755" s="176"/>
      <c r="AC755" s="176"/>
      <c r="AD755" s="176"/>
      <c r="AE755" s="176"/>
      <c r="AF755" s="176"/>
      <c r="AG755" s="176"/>
      <c r="AH755" s="176"/>
      <c r="AI755" s="176"/>
      <c r="AJ755" s="176"/>
      <c r="AK755" s="176"/>
      <c r="AL755" s="176"/>
      <c r="AM755" s="176"/>
      <c r="AN755" s="176"/>
      <c r="AO755" s="176"/>
      <c r="AP755" s="176"/>
      <c r="AQ755" s="176"/>
      <c r="AR755" s="176"/>
      <c r="AS755" s="176"/>
      <c r="AT755" s="176"/>
      <c r="AU755" s="176"/>
      <c r="AV755" s="176"/>
      <c r="AW755" s="176"/>
      <c r="AX755" s="176"/>
      <c r="AY755" s="176"/>
      <c r="AZ755" s="176"/>
      <c r="BA755" s="176"/>
      <c r="BB755" s="176"/>
      <c r="BC755" s="176"/>
      <c r="BD755" s="176"/>
      <c r="BE755" s="176"/>
      <c r="BF755" s="176"/>
      <c r="BG755" s="176"/>
      <c r="BH755" s="176"/>
      <c r="BI755" s="176"/>
      <c r="BJ755" s="176"/>
      <c r="BK755" s="176">
        <v>390.9</v>
      </c>
      <c r="BL755" s="212">
        <v>373.8</v>
      </c>
      <c r="BM755" s="212">
        <v>373.8</v>
      </c>
      <c r="BN755" s="212">
        <v>338.2</v>
      </c>
      <c r="BO755" s="212">
        <v>391.6</v>
      </c>
      <c r="BP755" s="212">
        <v>373.8</v>
      </c>
      <c r="BQ755" s="212">
        <v>391.6</v>
      </c>
      <c r="BR755" s="212">
        <v>409.4</v>
      </c>
      <c r="BS755" s="212">
        <v>338.2</v>
      </c>
      <c r="BT755" s="212">
        <v>338.2</v>
      </c>
      <c r="BU755" s="212">
        <v>356</v>
      </c>
      <c r="BV755" s="212">
        <v>375.2</v>
      </c>
      <c r="BW755" s="212">
        <v>375.2</v>
      </c>
      <c r="BX755" s="176"/>
      <c r="BY755" s="191"/>
      <c r="BZ755" s="191"/>
      <c r="CA755" s="191"/>
      <c r="CC755" s="182"/>
    </row>
    <row r="756" spans="1:81" s="178" customFormat="1" ht="15.75" customHeight="1">
      <c r="A756" s="226"/>
      <c r="B756" s="227"/>
      <c r="C756" s="229"/>
      <c r="D756" s="229"/>
      <c r="E756" s="227"/>
      <c r="F756" s="227"/>
      <c r="G756" s="229"/>
      <c r="H756" s="229"/>
      <c r="I756" s="184" t="s">
        <v>362</v>
      </c>
      <c r="J756" s="175"/>
      <c r="K756" s="175"/>
      <c r="L756" s="175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  <c r="AA756" s="176"/>
      <c r="AB756" s="176"/>
      <c r="AC756" s="176"/>
      <c r="AD756" s="176"/>
      <c r="AE756" s="176"/>
      <c r="AF756" s="176"/>
      <c r="AG756" s="176"/>
      <c r="AH756" s="176"/>
      <c r="AI756" s="176"/>
      <c r="AJ756" s="176"/>
      <c r="AK756" s="176"/>
      <c r="AL756" s="176"/>
      <c r="AM756" s="176"/>
      <c r="AN756" s="176"/>
      <c r="AO756" s="176"/>
      <c r="AP756" s="176"/>
      <c r="AQ756" s="176"/>
      <c r="AR756" s="176"/>
      <c r="AS756" s="176"/>
      <c r="AT756" s="176"/>
      <c r="AU756" s="176"/>
      <c r="AV756" s="176"/>
      <c r="AW756" s="176"/>
      <c r="AX756" s="176"/>
      <c r="AY756" s="176"/>
      <c r="AZ756" s="176"/>
      <c r="BA756" s="176"/>
      <c r="BB756" s="176"/>
      <c r="BC756" s="176"/>
      <c r="BD756" s="176"/>
      <c r="BE756" s="176"/>
      <c r="BF756" s="176"/>
      <c r="BG756" s="176"/>
      <c r="BH756" s="176"/>
      <c r="BI756" s="176"/>
      <c r="BJ756" s="176"/>
      <c r="BK756" s="176"/>
      <c r="BL756" s="176"/>
      <c r="BM756" s="176"/>
      <c r="BN756" s="176"/>
      <c r="BO756" s="176"/>
      <c r="BP756" s="176"/>
      <c r="BQ756" s="176"/>
      <c r="BR756" s="176">
        <v>315</v>
      </c>
      <c r="BS756" s="176">
        <v>315</v>
      </c>
      <c r="BT756" s="176">
        <v>315</v>
      </c>
      <c r="BU756" s="176">
        <v>315</v>
      </c>
      <c r="BV756" s="176">
        <v>315</v>
      </c>
      <c r="BW756" s="176">
        <v>412.72</v>
      </c>
      <c r="BX756" s="176"/>
      <c r="BY756" s="191"/>
      <c r="BZ756" s="191"/>
      <c r="CA756" s="191"/>
      <c r="CC756" s="182"/>
    </row>
    <row r="757" spans="1:81" s="178" customFormat="1">
      <c r="A757" s="226"/>
      <c r="B757" s="227"/>
      <c r="C757" s="229"/>
      <c r="D757" s="229"/>
      <c r="E757" s="227"/>
      <c r="F757" s="227"/>
      <c r="G757" s="229"/>
      <c r="H757" s="229"/>
      <c r="I757" s="190" t="s">
        <v>363</v>
      </c>
      <c r="J757" s="190"/>
      <c r="K757" s="190"/>
      <c r="L757" s="190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  <c r="AA757" s="176"/>
      <c r="AB757" s="176"/>
      <c r="AC757" s="176"/>
      <c r="AD757" s="176"/>
      <c r="AE757" s="176"/>
      <c r="AF757" s="176"/>
      <c r="AG757" s="176"/>
      <c r="AH757" s="176"/>
      <c r="AI757" s="176"/>
      <c r="AJ757" s="176"/>
      <c r="AK757" s="176"/>
      <c r="AL757" s="176"/>
      <c r="AM757" s="176"/>
      <c r="AN757" s="176"/>
      <c r="AO757" s="176"/>
      <c r="AP757" s="176"/>
      <c r="AQ757" s="176"/>
      <c r="AR757" s="176"/>
      <c r="AS757" s="176"/>
      <c r="AT757" s="176"/>
      <c r="AU757" s="176"/>
      <c r="AV757" s="176"/>
      <c r="AW757" s="176"/>
      <c r="AX757" s="176"/>
      <c r="AY757" s="176"/>
      <c r="AZ757" s="176"/>
      <c r="BA757" s="176"/>
      <c r="BB757" s="176"/>
      <c r="BC757" s="176"/>
      <c r="BD757" s="176"/>
      <c r="BE757" s="176"/>
      <c r="BF757" s="176"/>
      <c r="BG757" s="176"/>
      <c r="BH757" s="176"/>
      <c r="BI757" s="176"/>
      <c r="BJ757" s="176"/>
      <c r="BK757" s="176"/>
      <c r="BL757" s="176"/>
      <c r="BM757" s="176"/>
      <c r="BN757" s="176"/>
      <c r="BO757" s="176"/>
      <c r="BP757" s="176"/>
      <c r="BQ757" s="176"/>
      <c r="BR757" s="176"/>
      <c r="BS757" s="176"/>
      <c r="BT757" s="176"/>
      <c r="BU757" s="176"/>
      <c r="BV757" s="176"/>
      <c r="BW757" s="176"/>
      <c r="BX757" s="176"/>
      <c r="BY757" s="191"/>
      <c r="BZ757" s="191"/>
    </row>
    <row r="758" spans="1:81" s="178" customFormat="1">
      <c r="A758" s="226"/>
      <c r="B758" s="227"/>
      <c r="C758" s="229"/>
      <c r="D758" s="229"/>
      <c r="E758" s="227"/>
      <c r="F758" s="227"/>
      <c r="G758" s="229"/>
      <c r="H758" s="229"/>
      <c r="I758" s="193" t="s">
        <v>373</v>
      </c>
      <c r="J758" s="193"/>
      <c r="K758" s="193"/>
      <c r="L758" s="193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  <c r="AA758" s="176"/>
      <c r="AB758" s="176"/>
      <c r="AC758" s="176"/>
      <c r="AD758" s="176"/>
      <c r="AE758" s="176"/>
      <c r="AF758" s="176"/>
      <c r="AG758" s="176"/>
      <c r="AH758" s="176"/>
      <c r="AI758" s="176"/>
      <c r="AJ758" s="176"/>
      <c r="AK758" s="176"/>
      <c r="AL758" s="176"/>
      <c r="AM758" s="176"/>
      <c r="AN758" s="176"/>
      <c r="AO758" s="176"/>
      <c r="AP758" s="176"/>
      <c r="AQ758" s="176"/>
      <c r="AR758" s="176"/>
      <c r="AS758" s="176"/>
      <c r="AT758" s="176"/>
      <c r="AU758" s="176"/>
      <c r="AV758" s="176"/>
      <c r="AW758" s="176"/>
      <c r="AX758" s="176"/>
      <c r="AY758" s="176"/>
      <c r="AZ758" s="176"/>
      <c r="BA758" s="176"/>
      <c r="BB758" s="176"/>
      <c r="BC758" s="176"/>
      <c r="BD758" s="176"/>
      <c r="BE758" s="176"/>
      <c r="BF758" s="176"/>
      <c r="BG758" s="176"/>
      <c r="BH758" s="176"/>
      <c r="BI758" s="176"/>
      <c r="BJ758" s="176"/>
      <c r="BK758" s="176">
        <v>226.32</v>
      </c>
      <c r="BL758" s="176">
        <v>392.4</v>
      </c>
      <c r="BM758" s="176">
        <v>392.4</v>
      </c>
      <c r="BN758" s="176">
        <v>392.4</v>
      </c>
      <c r="BO758" s="176">
        <v>392.4</v>
      </c>
      <c r="BP758" s="176">
        <v>393.4</v>
      </c>
      <c r="BQ758" s="176">
        <v>393.4</v>
      </c>
      <c r="BR758" s="176">
        <v>393.4</v>
      </c>
      <c r="BS758" s="176">
        <v>393.4</v>
      </c>
      <c r="BT758" s="176">
        <v>420.7</v>
      </c>
      <c r="BU758" s="176">
        <v>420.7</v>
      </c>
      <c r="BV758" s="176">
        <v>420.7</v>
      </c>
      <c r="BW758" s="176">
        <v>420.7</v>
      </c>
      <c r="BX758" s="176"/>
      <c r="BY758" s="191"/>
      <c r="BZ758" s="191"/>
    </row>
    <row r="759" spans="1:81" s="178" customFormat="1">
      <c r="A759" s="226"/>
      <c r="B759" s="227"/>
      <c r="C759" s="229"/>
      <c r="D759" s="229"/>
      <c r="E759" s="227"/>
      <c r="F759" s="227"/>
      <c r="G759" s="229"/>
      <c r="H759" s="229"/>
      <c r="I759" s="190"/>
      <c r="J759" s="176">
        <f>SUM(J748:J757)-J758</f>
        <v>0</v>
      </c>
      <c r="K759" s="176">
        <f t="shared" ref="K759:Y759" si="375">SUM(K748:K757)-K758</f>
        <v>0</v>
      </c>
      <c r="L759" s="176">
        <f t="shared" si="375"/>
        <v>0</v>
      </c>
      <c r="M759" s="176">
        <f t="shared" si="375"/>
        <v>0</v>
      </c>
      <c r="N759" s="176">
        <f t="shared" si="375"/>
        <v>0</v>
      </c>
      <c r="O759" s="176">
        <f t="shared" si="375"/>
        <v>0</v>
      </c>
      <c r="P759" s="176">
        <f t="shared" si="375"/>
        <v>0</v>
      </c>
      <c r="Q759" s="176">
        <f t="shared" si="375"/>
        <v>0</v>
      </c>
      <c r="R759" s="176">
        <f t="shared" si="375"/>
        <v>0</v>
      </c>
      <c r="S759" s="176">
        <f t="shared" si="375"/>
        <v>0</v>
      </c>
      <c r="T759" s="176">
        <f t="shared" si="375"/>
        <v>0</v>
      </c>
      <c r="U759" s="176">
        <f t="shared" si="375"/>
        <v>0</v>
      </c>
      <c r="V759" s="176">
        <f t="shared" si="375"/>
        <v>0</v>
      </c>
      <c r="W759" s="176">
        <f t="shared" si="375"/>
        <v>0</v>
      </c>
      <c r="X759" s="176">
        <f t="shared" si="375"/>
        <v>0</v>
      </c>
      <c r="Y759" s="176">
        <f t="shared" si="375"/>
        <v>0</v>
      </c>
      <c r="Z759" s="176">
        <f>SUM(Z748:Z757)-Z758</f>
        <v>0</v>
      </c>
      <c r="AA759" s="176">
        <f t="shared" ref="AA759:AD759" si="376">SUM(AA748:AA757)-AA758</f>
        <v>0</v>
      </c>
      <c r="AB759" s="176">
        <f t="shared" si="376"/>
        <v>0</v>
      </c>
      <c r="AC759" s="176">
        <f t="shared" si="376"/>
        <v>0</v>
      </c>
      <c r="AD759" s="176">
        <f t="shared" si="376"/>
        <v>0</v>
      </c>
      <c r="AE759" s="176">
        <f>SUM(AE748:AE757)-AE758</f>
        <v>0</v>
      </c>
      <c r="AF759" s="176">
        <f>SUM(AF748:AF757)-AF758</f>
        <v>0</v>
      </c>
      <c r="AG759" s="176">
        <f t="shared" ref="AG759:AP759" si="377">SUM(AG748:AG757)-AG758</f>
        <v>0</v>
      </c>
      <c r="AH759" s="176">
        <f t="shared" si="377"/>
        <v>0</v>
      </c>
      <c r="AI759" s="176">
        <f t="shared" si="377"/>
        <v>0</v>
      </c>
      <c r="AJ759" s="176">
        <f t="shared" si="377"/>
        <v>0</v>
      </c>
      <c r="AK759" s="176">
        <f t="shared" si="377"/>
        <v>0</v>
      </c>
      <c r="AL759" s="176">
        <f t="shared" si="377"/>
        <v>0</v>
      </c>
      <c r="AM759" s="176">
        <f t="shared" si="377"/>
        <v>0</v>
      </c>
      <c r="AN759" s="176">
        <f t="shared" si="377"/>
        <v>0</v>
      </c>
      <c r="AO759" s="176">
        <f t="shared" si="377"/>
        <v>0</v>
      </c>
      <c r="AP759" s="176">
        <f t="shared" si="377"/>
        <v>0</v>
      </c>
      <c r="AQ759" s="176">
        <f t="shared" ref="AQ759:AU759" si="378">SUM(AQ748:AQ757)-AQ758</f>
        <v>0</v>
      </c>
      <c r="AR759" s="176">
        <f t="shared" si="378"/>
        <v>0</v>
      </c>
      <c r="AS759" s="176">
        <f t="shared" si="378"/>
        <v>0</v>
      </c>
      <c r="AT759" s="176">
        <f t="shared" si="378"/>
        <v>0</v>
      </c>
      <c r="AU759" s="176">
        <f t="shared" si="378"/>
        <v>0</v>
      </c>
      <c r="AV759" s="176">
        <f>SUM(AV748:AV757)-AV758</f>
        <v>0</v>
      </c>
      <c r="AW759" s="176">
        <f t="shared" ref="AW759:BA759" si="379">SUM(AW748:AW757)-AW758</f>
        <v>0</v>
      </c>
      <c r="AX759" s="176">
        <f t="shared" si="379"/>
        <v>0</v>
      </c>
      <c r="AY759" s="176">
        <f t="shared" si="379"/>
        <v>0</v>
      </c>
      <c r="AZ759" s="176">
        <f t="shared" si="379"/>
        <v>0</v>
      </c>
      <c r="BA759" s="176">
        <f t="shared" si="379"/>
        <v>0</v>
      </c>
      <c r="BB759" s="176"/>
      <c r="BC759" s="176"/>
      <c r="BD759" s="176"/>
      <c r="BE759" s="176"/>
      <c r="BF759" s="176"/>
      <c r="BG759" s="176"/>
      <c r="BH759" s="176"/>
      <c r="BI759" s="176"/>
      <c r="BJ759" s="176"/>
      <c r="BK759" s="176">
        <f t="shared" ref="BK759:BP759" si="380">BK749+BK754+BK755-BK758</f>
        <v>2056.6999999999998</v>
      </c>
      <c r="BL759" s="176">
        <f t="shared" si="380"/>
        <v>3296.52</v>
      </c>
      <c r="BM759" s="176">
        <f t="shared" si="380"/>
        <v>3296.52</v>
      </c>
      <c r="BN759" s="176">
        <f t="shared" si="380"/>
        <v>3208.7999999999997</v>
      </c>
      <c r="BO759" s="176">
        <f t="shared" si="380"/>
        <v>3340.29</v>
      </c>
      <c r="BP759" s="176">
        <f t="shared" si="380"/>
        <v>3295.52</v>
      </c>
      <c r="BQ759" s="176">
        <f t="shared" ref="BQ759" si="381">BQ749+BQ754+BQ755-BQ758</f>
        <v>3339.38</v>
      </c>
      <c r="BR759" s="176">
        <f t="shared" ref="BR759:BW759" si="382">BR749+BR754+BR755-BR758+BR756</f>
        <v>3762.51</v>
      </c>
      <c r="BS759" s="176">
        <f t="shared" si="382"/>
        <v>3710.2599999999998</v>
      </c>
      <c r="BT759" s="176">
        <f t="shared" si="382"/>
        <v>3682.96</v>
      </c>
      <c r="BU759" s="176">
        <f t="shared" si="382"/>
        <v>3728.3100000000004</v>
      </c>
      <c r="BV759" s="176">
        <f t="shared" si="382"/>
        <v>3747.51</v>
      </c>
      <c r="BW759" s="176">
        <f t="shared" si="382"/>
        <v>3900.2300000000005</v>
      </c>
      <c r="BX759" s="176">
        <f>SUM(BK759:BW759)</f>
        <v>44365.51</v>
      </c>
      <c r="BY759" s="191"/>
      <c r="BZ759" s="191"/>
    </row>
    <row r="760" spans="1:81" s="178" customFormat="1" ht="15.6" customHeight="1">
      <c r="A760" s="210" t="s">
        <v>346</v>
      </c>
      <c r="B760" s="210" t="s">
        <v>347</v>
      </c>
      <c r="C760" s="214" t="s">
        <v>310</v>
      </c>
      <c r="D760" s="214" t="s">
        <v>311</v>
      </c>
      <c r="E760" s="210" t="s">
        <v>312</v>
      </c>
      <c r="F760" s="210" t="s">
        <v>348</v>
      </c>
      <c r="G760" s="214" t="s">
        <v>314</v>
      </c>
      <c r="H760" s="214" t="s">
        <v>315</v>
      </c>
      <c r="I760" s="214" t="s">
        <v>349</v>
      </c>
      <c r="J760" s="215">
        <v>44105</v>
      </c>
      <c r="K760" s="215">
        <v>44136</v>
      </c>
      <c r="L760" s="215">
        <v>44166</v>
      </c>
      <c r="M760" s="215">
        <v>44197</v>
      </c>
      <c r="N760" s="215">
        <v>44228</v>
      </c>
      <c r="O760" s="215">
        <v>44256</v>
      </c>
      <c r="P760" s="215">
        <v>44287</v>
      </c>
      <c r="Q760" s="215">
        <v>44317</v>
      </c>
      <c r="R760" s="215">
        <v>44348</v>
      </c>
      <c r="S760" s="215">
        <v>44378</v>
      </c>
      <c r="T760" s="215">
        <v>44409</v>
      </c>
      <c r="U760" s="215">
        <v>44440</v>
      </c>
      <c r="V760" s="215">
        <v>44470</v>
      </c>
      <c r="W760" s="215">
        <v>44501</v>
      </c>
      <c r="X760" s="215">
        <v>44531</v>
      </c>
      <c r="Y760" s="215">
        <v>44562</v>
      </c>
      <c r="Z760" s="215">
        <v>44593</v>
      </c>
      <c r="AA760" s="215">
        <v>44621</v>
      </c>
      <c r="AB760" s="215">
        <v>44652</v>
      </c>
      <c r="AC760" s="215">
        <v>44682</v>
      </c>
      <c r="AD760" s="215">
        <v>44713</v>
      </c>
      <c r="AE760" s="215">
        <v>44743</v>
      </c>
      <c r="AF760" s="215">
        <v>44774</v>
      </c>
      <c r="AG760" s="215">
        <v>44805</v>
      </c>
      <c r="AH760" s="215">
        <v>44835</v>
      </c>
      <c r="AI760" s="215">
        <v>44866</v>
      </c>
      <c r="AJ760" s="215">
        <v>44896</v>
      </c>
      <c r="AK760" s="215">
        <v>44927</v>
      </c>
      <c r="AL760" s="215">
        <v>44958</v>
      </c>
      <c r="AM760" s="215">
        <v>44986</v>
      </c>
      <c r="AN760" s="215">
        <v>45017</v>
      </c>
      <c r="AO760" s="215">
        <v>45047</v>
      </c>
      <c r="AP760" s="215">
        <v>45078</v>
      </c>
      <c r="AQ760" s="215">
        <v>45108</v>
      </c>
      <c r="AR760" s="215">
        <v>45139</v>
      </c>
      <c r="AS760" s="215">
        <v>45170</v>
      </c>
      <c r="AT760" s="215">
        <v>45200</v>
      </c>
      <c r="AU760" s="215">
        <v>45231</v>
      </c>
      <c r="AV760" s="215">
        <v>45261</v>
      </c>
      <c r="AW760" s="215">
        <v>45292</v>
      </c>
      <c r="AX760" s="215">
        <v>45323</v>
      </c>
      <c r="AY760" s="215">
        <v>45352</v>
      </c>
      <c r="AZ760" s="215">
        <v>45383</v>
      </c>
      <c r="BA760" s="215">
        <v>45413</v>
      </c>
      <c r="BB760" s="215">
        <v>45444</v>
      </c>
      <c r="BC760" s="215">
        <v>45474</v>
      </c>
      <c r="BD760" s="215">
        <v>45505</v>
      </c>
      <c r="BE760" s="215">
        <v>45536</v>
      </c>
      <c r="BF760" s="215">
        <v>45566</v>
      </c>
      <c r="BG760" s="215">
        <v>45597</v>
      </c>
      <c r="BH760" s="215">
        <v>45627</v>
      </c>
      <c r="BI760" s="215">
        <v>45658</v>
      </c>
      <c r="BJ760" s="215">
        <v>45689</v>
      </c>
      <c r="BK760" s="215">
        <v>45717</v>
      </c>
      <c r="BL760" s="215">
        <v>45748</v>
      </c>
      <c r="BM760" s="215">
        <v>45778</v>
      </c>
      <c r="BN760" s="215">
        <v>45809</v>
      </c>
      <c r="BO760" s="215">
        <v>45839</v>
      </c>
      <c r="BP760" s="215">
        <v>45870</v>
      </c>
      <c r="BQ760" s="215">
        <v>45901</v>
      </c>
      <c r="BR760" s="215">
        <v>45931</v>
      </c>
      <c r="BS760" s="215">
        <v>45962</v>
      </c>
      <c r="BT760" s="215">
        <v>45992</v>
      </c>
      <c r="BU760" s="215">
        <v>46023</v>
      </c>
      <c r="BV760" s="215">
        <v>46054</v>
      </c>
      <c r="BW760" s="215">
        <v>46082</v>
      </c>
      <c r="BX760" s="216" t="s">
        <v>13</v>
      </c>
      <c r="BY760" s="181"/>
      <c r="BZ760" s="181"/>
      <c r="CA760" s="181"/>
    </row>
    <row r="761" spans="1:81" s="178" customFormat="1" ht="15.75" customHeight="1">
      <c r="A761" s="226">
        <v>57</v>
      </c>
      <c r="B761" s="227" t="s">
        <v>191</v>
      </c>
      <c r="C761" s="230" t="s">
        <v>23</v>
      </c>
      <c r="D761" s="229" t="s">
        <v>89</v>
      </c>
      <c r="E761" s="227" t="s">
        <v>396</v>
      </c>
      <c r="F761" s="227" t="s">
        <v>396</v>
      </c>
      <c r="G761" s="228">
        <v>45726</v>
      </c>
      <c r="H761" s="228"/>
      <c r="I761" s="175" t="s">
        <v>390</v>
      </c>
      <c r="J761" s="175"/>
      <c r="K761" s="175"/>
      <c r="L761" s="175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  <c r="AA761" s="176"/>
      <c r="AB761" s="176"/>
      <c r="AC761" s="176"/>
      <c r="AD761" s="176"/>
      <c r="AE761" s="176"/>
      <c r="AF761" s="176"/>
      <c r="AG761" s="176"/>
      <c r="AH761" s="176"/>
      <c r="AI761" s="176"/>
      <c r="AJ761" s="176"/>
      <c r="AK761" s="176"/>
      <c r="AL761" s="176"/>
      <c r="AM761" s="176"/>
      <c r="AN761" s="176"/>
      <c r="AO761" s="176"/>
      <c r="AP761" s="176"/>
      <c r="AQ761" s="176"/>
      <c r="AR761" s="176"/>
      <c r="AS761" s="176"/>
      <c r="AT761" s="176"/>
      <c r="AU761" s="176"/>
      <c r="AV761" s="176"/>
      <c r="AW761" s="176"/>
      <c r="AX761" s="176"/>
      <c r="AY761" s="176"/>
      <c r="AZ761" s="176"/>
      <c r="BA761" s="176"/>
      <c r="BB761" s="176"/>
      <c r="BC761" s="176"/>
      <c r="BD761" s="176"/>
      <c r="BE761" s="176"/>
      <c r="BF761" s="176"/>
      <c r="BG761" s="176"/>
      <c r="BH761" s="176"/>
      <c r="BI761" s="176"/>
      <c r="BJ761" s="176"/>
      <c r="BK761" s="176"/>
      <c r="BL761" s="176"/>
      <c r="BM761" s="176"/>
      <c r="BN761" s="176"/>
      <c r="BO761" s="176"/>
      <c r="BP761" s="176"/>
      <c r="BQ761" s="176"/>
      <c r="BR761" s="176"/>
      <c r="BS761" s="176"/>
      <c r="BT761" s="176"/>
      <c r="BU761" s="176"/>
      <c r="BV761" s="176"/>
      <c r="BW761" s="176"/>
      <c r="BX761" s="176"/>
      <c r="BY761" s="191"/>
      <c r="BZ761" s="191"/>
      <c r="CA761" s="191"/>
      <c r="CC761" s="182"/>
    </row>
    <row r="762" spans="1:81" s="178" customFormat="1" ht="15.75" customHeight="1">
      <c r="A762" s="226"/>
      <c r="B762" s="227"/>
      <c r="C762" s="231"/>
      <c r="D762" s="229"/>
      <c r="E762" s="227"/>
      <c r="F762" s="227"/>
      <c r="G762" s="229"/>
      <c r="H762" s="229"/>
      <c r="I762" s="175" t="s">
        <v>351</v>
      </c>
      <c r="J762" s="175"/>
      <c r="K762" s="175"/>
      <c r="L762" s="175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  <c r="AA762" s="176"/>
      <c r="AB762" s="176"/>
      <c r="AC762" s="176"/>
      <c r="AD762" s="176"/>
      <c r="AE762" s="176"/>
      <c r="AF762" s="176"/>
      <c r="AG762" s="176"/>
      <c r="AH762" s="176"/>
      <c r="AI762" s="176"/>
      <c r="AJ762" s="176"/>
      <c r="AK762" s="176"/>
      <c r="AL762" s="176"/>
      <c r="AM762" s="176"/>
      <c r="AN762" s="176"/>
      <c r="AO762" s="176"/>
      <c r="AP762" s="176"/>
      <c r="AQ762" s="176"/>
      <c r="AR762" s="176"/>
      <c r="AS762" s="176"/>
      <c r="AT762" s="176"/>
      <c r="AU762" s="176"/>
      <c r="AV762" s="176"/>
      <c r="AW762" s="176"/>
      <c r="AX762" s="176"/>
      <c r="AY762" s="176"/>
      <c r="AZ762" s="176"/>
      <c r="BA762" s="176"/>
      <c r="BB762" s="176"/>
      <c r="BC762" s="176"/>
      <c r="BD762" s="176"/>
      <c r="BE762" s="176"/>
      <c r="BF762" s="176"/>
      <c r="BG762" s="176"/>
      <c r="BH762" s="176"/>
      <c r="BI762" s="176"/>
      <c r="BJ762" s="176"/>
      <c r="BK762" s="176">
        <v>1463.99</v>
      </c>
      <c r="BL762" s="176">
        <v>2091.42</v>
      </c>
      <c r="BM762" s="176">
        <v>2091.42</v>
      </c>
      <c r="BN762" s="176">
        <v>2091.42</v>
      </c>
      <c r="BO762" s="176">
        <v>2091.42</v>
      </c>
      <c r="BP762" s="176">
        <v>2091.42</v>
      </c>
      <c r="BQ762" s="176">
        <v>2091.42</v>
      </c>
      <c r="BR762" s="176">
        <v>2211.6799999999998</v>
      </c>
      <c r="BS762" s="176">
        <v>2211.6799999999998</v>
      </c>
      <c r="BT762" s="176">
        <v>2211.71</v>
      </c>
      <c r="BU762" s="176">
        <v>2211.71</v>
      </c>
      <c r="BV762" s="176">
        <v>2211.71</v>
      </c>
      <c r="BW762" s="176">
        <v>2211.71</v>
      </c>
      <c r="BX762" s="176"/>
      <c r="BY762" s="191"/>
      <c r="BZ762" s="191"/>
      <c r="CA762" s="191"/>
      <c r="CC762" s="182"/>
    </row>
    <row r="763" spans="1:81" s="178" customFormat="1" ht="15.75" customHeight="1">
      <c r="A763" s="226"/>
      <c r="B763" s="227"/>
      <c r="C763" s="231"/>
      <c r="D763" s="229"/>
      <c r="E763" s="227"/>
      <c r="F763" s="227"/>
      <c r="G763" s="229"/>
      <c r="H763" s="229"/>
      <c r="I763" s="175" t="s">
        <v>391</v>
      </c>
      <c r="J763" s="175"/>
      <c r="K763" s="175"/>
      <c r="L763" s="175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7"/>
      <c r="Z763" s="176"/>
      <c r="AA763" s="176"/>
      <c r="AB763" s="176"/>
      <c r="AC763" s="176"/>
      <c r="AD763" s="176"/>
      <c r="AE763" s="176"/>
      <c r="AF763" s="176"/>
      <c r="AG763" s="176"/>
      <c r="AH763" s="176"/>
      <c r="AI763" s="176"/>
      <c r="AJ763" s="176"/>
      <c r="AK763" s="176"/>
      <c r="AL763" s="176"/>
      <c r="AM763" s="176"/>
      <c r="AN763" s="176"/>
      <c r="AO763" s="176"/>
      <c r="AP763" s="176"/>
      <c r="AQ763" s="176"/>
      <c r="AR763" s="176"/>
      <c r="AS763" s="176"/>
      <c r="AT763" s="176"/>
      <c r="AU763" s="176"/>
      <c r="AV763" s="176"/>
      <c r="AW763" s="176"/>
      <c r="AX763" s="176"/>
      <c r="AY763" s="176"/>
      <c r="AZ763" s="176"/>
      <c r="BA763" s="176"/>
      <c r="BB763" s="176"/>
      <c r="BC763" s="176"/>
      <c r="BD763" s="176"/>
      <c r="BE763" s="176"/>
      <c r="BF763" s="176"/>
      <c r="BG763" s="176"/>
      <c r="BH763" s="176"/>
      <c r="BI763" s="176"/>
      <c r="BJ763" s="176"/>
      <c r="BK763" s="176"/>
      <c r="BL763" s="176"/>
      <c r="BM763" s="176"/>
      <c r="BN763" s="176"/>
      <c r="BO763" s="176"/>
      <c r="BP763" s="176"/>
      <c r="BQ763" s="176"/>
      <c r="BR763" s="176"/>
      <c r="BS763" s="176"/>
      <c r="BT763" s="176"/>
      <c r="BU763" s="176"/>
      <c r="BV763" s="176"/>
      <c r="BW763" s="176"/>
      <c r="BX763" s="176"/>
      <c r="BY763" s="191"/>
      <c r="BZ763" s="191"/>
      <c r="CA763" s="191"/>
      <c r="CC763" s="182"/>
    </row>
    <row r="764" spans="1:81" s="178" customFormat="1" ht="15.75" customHeight="1">
      <c r="A764" s="226"/>
      <c r="B764" s="227"/>
      <c r="C764" s="231"/>
      <c r="D764" s="229"/>
      <c r="E764" s="227"/>
      <c r="F764" s="227"/>
      <c r="G764" s="229"/>
      <c r="H764" s="229"/>
      <c r="I764" s="175" t="s">
        <v>351</v>
      </c>
      <c r="J764" s="175"/>
      <c r="K764" s="175"/>
      <c r="L764" s="175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7"/>
      <c r="Z764" s="176"/>
      <c r="AA764" s="176"/>
      <c r="AB764" s="176"/>
      <c r="AC764" s="176"/>
      <c r="AD764" s="176"/>
      <c r="AE764" s="176"/>
      <c r="AF764" s="176"/>
      <c r="AG764" s="176"/>
      <c r="AH764" s="176"/>
      <c r="AI764" s="176"/>
      <c r="AJ764" s="176"/>
      <c r="AK764" s="176"/>
      <c r="AL764" s="176"/>
      <c r="AM764" s="176"/>
      <c r="AN764" s="176"/>
      <c r="AO764" s="176"/>
      <c r="AP764" s="176"/>
      <c r="AQ764" s="176"/>
      <c r="AR764" s="176"/>
      <c r="AS764" s="176"/>
      <c r="AT764" s="176"/>
      <c r="AU764" s="176"/>
      <c r="AV764" s="176"/>
      <c r="AW764" s="176"/>
      <c r="AX764" s="176"/>
      <c r="AY764" s="176"/>
      <c r="AZ764" s="176"/>
      <c r="BA764" s="176"/>
      <c r="BB764" s="176"/>
      <c r="BC764" s="176"/>
      <c r="BD764" s="176"/>
      <c r="BE764" s="176"/>
      <c r="BF764" s="176"/>
      <c r="BG764" s="176"/>
      <c r="BH764" s="176"/>
      <c r="BI764" s="176"/>
      <c r="BJ764" s="176"/>
      <c r="BK764" s="176"/>
      <c r="BL764" s="176">
        <v>836</v>
      </c>
      <c r="BM764" s="176">
        <v>836</v>
      </c>
      <c r="BN764" s="176">
        <v>836</v>
      </c>
      <c r="BO764" s="176">
        <v>836</v>
      </c>
      <c r="BP764" s="176">
        <v>836</v>
      </c>
      <c r="BQ764" s="176">
        <v>836</v>
      </c>
      <c r="BR764" s="176">
        <v>884</v>
      </c>
      <c r="BS764" s="176">
        <v>884</v>
      </c>
      <c r="BT764" s="176"/>
      <c r="BU764" s="176"/>
      <c r="BV764" s="176"/>
      <c r="BW764" s="176"/>
      <c r="BX764" s="176"/>
      <c r="BY764" s="191"/>
      <c r="BZ764" s="191"/>
      <c r="CA764" s="191"/>
      <c r="CC764" s="182"/>
    </row>
    <row r="765" spans="1:81" s="178" customFormat="1" ht="15.75" customHeight="1">
      <c r="A765" s="226"/>
      <c r="B765" s="227"/>
      <c r="C765" s="231"/>
      <c r="D765" s="229"/>
      <c r="E765" s="227"/>
      <c r="F765" s="227"/>
      <c r="G765" s="229"/>
      <c r="H765" s="229"/>
      <c r="I765" s="175" t="s">
        <v>353</v>
      </c>
      <c r="J765" s="175"/>
      <c r="K765" s="175"/>
      <c r="L765" s="175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  <c r="AA765" s="176"/>
      <c r="AB765" s="176"/>
      <c r="AC765" s="176"/>
      <c r="AD765" s="176"/>
      <c r="AE765" s="176"/>
      <c r="AF765" s="176"/>
      <c r="AG765" s="176"/>
      <c r="AH765" s="176"/>
      <c r="AI765" s="176"/>
      <c r="AJ765" s="176"/>
      <c r="AK765" s="176"/>
      <c r="AL765" s="176"/>
      <c r="AM765" s="176"/>
      <c r="AN765" s="176"/>
      <c r="AO765" s="176"/>
      <c r="AP765" s="176"/>
      <c r="AQ765" s="176"/>
      <c r="AR765" s="176"/>
      <c r="AS765" s="176"/>
      <c r="AT765" s="176"/>
      <c r="AU765" s="176"/>
      <c r="AV765" s="176"/>
      <c r="AW765" s="176"/>
      <c r="AX765" s="176"/>
      <c r="AY765" s="176"/>
      <c r="AZ765" s="176"/>
      <c r="BA765" s="176"/>
      <c r="BB765" s="176"/>
      <c r="BC765" s="176"/>
      <c r="BD765" s="176"/>
      <c r="BE765" s="176"/>
      <c r="BF765" s="176"/>
      <c r="BG765" s="176"/>
      <c r="BH765" s="176"/>
      <c r="BI765" s="176"/>
      <c r="BJ765" s="176"/>
      <c r="BK765" s="176"/>
      <c r="BL765" s="176"/>
      <c r="BM765" s="176"/>
      <c r="BN765" s="176"/>
      <c r="BO765" s="176"/>
      <c r="BP765" s="176"/>
      <c r="BQ765" s="176"/>
      <c r="BR765" s="176"/>
      <c r="BS765" s="176"/>
      <c r="BT765" s="176"/>
      <c r="BU765" s="176"/>
      <c r="BV765" s="176"/>
      <c r="BW765" s="176"/>
      <c r="BX765" s="176"/>
      <c r="BY765" s="191"/>
      <c r="BZ765" s="191"/>
      <c r="CA765" s="191"/>
      <c r="CC765" s="182"/>
    </row>
    <row r="766" spans="1:81" s="178" customFormat="1" ht="15.75" customHeight="1">
      <c r="A766" s="226"/>
      <c r="B766" s="227"/>
      <c r="C766" s="231"/>
      <c r="D766" s="229"/>
      <c r="E766" s="227"/>
      <c r="F766" s="227"/>
      <c r="G766" s="229"/>
      <c r="H766" s="229"/>
      <c r="I766" s="175" t="s">
        <v>354</v>
      </c>
      <c r="J766" s="175"/>
      <c r="K766" s="175"/>
      <c r="L766" s="175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  <c r="AA766" s="176"/>
      <c r="AB766" s="176"/>
      <c r="AC766" s="176"/>
      <c r="AD766" s="176"/>
      <c r="AE766" s="176"/>
      <c r="AF766" s="176"/>
      <c r="AG766" s="176"/>
      <c r="AH766" s="176"/>
      <c r="AI766" s="176"/>
      <c r="AJ766" s="176"/>
      <c r="AK766" s="176"/>
      <c r="AL766" s="176"/>
      <c r="AM766" s="176"/>
      <c r="AN766" s="176"/>
      <c r="AO766" s="176"/>
      <c r="AP766" s="176"/>
      <c r="AQ766" s="176"/>
      <c r="AR766" s="176"/>
      <c r="AS766" s="176"/>
      <c r="AT766" s="176"/>
      <c r="AU766" s="176"/>
      <c r="AV766" s="176"/>
      <c r="AW766" s="176"/>
      <c r="AX766" s="176"/>
      <c r="AY766" s="176"/>
      <c r="AZ766" s="176"/>
      <c r="BA766" s="176"/>
      <c r="BB766" s="176"/>
      <c r="BC766" s="176"/>
      <c r="BD766" s="176"/>
      <c r="BE766" s="176"/>
      <c r="BF766" s="176"/>
      <c r="BG766" s="176"/>
      <c r="BH766" s="176"/>
      <c r="BI766" s="176"/>
      <c r="BJ766" s="176"/>
      <c r="BK766" s="176"/>
      <c r="BL766" s="176"/>
      <c r="BM766" s="176"/>
      <c r="BN766" s="176"/>
      <c r="BO766" s="176"/>
      <c r="BP766" s="176"/>
      <c r="BQ766" s="176"/>
      <c r="BR766" s="176"/>
      <c r="BS766" s="176"/>
      <c r="BT766" s="176"/>
      <c r="BU766" s="176"/>
      <c r="BV766" s="176"/>
      <c r="BW766" s="176"/>
      <c r="BX766" s="176"/>
      <c r="BY766" s="191"/>
      <c r="BZ766" s="191"/>
      <c r="CA766" s="191"/>
      <c r="CC766" s="182"/>
    </row>
    <row r="767" spans="1:81" s="178" customFormat="1" ht="15.75" customHeight="1">
      <c r="A767" s="226"/>
      <c r="B767" s="227"/>
      <c r="C767" s="231"/>
      <c r="D767" s="229"/>
      <c r="E767" s="227"/>
      <c r="F767" s="227"/>
      <c r="G767" s="229"/>
      <c r="H767" s="229"/>
      <c r="I767" s="175" t="s">
        <v>356</v>
      </c>
      <c r="J767" s="175"/>
      <c r="K767" s="175"/>
      <c r="L767" s="175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  <c r="AA767" s="176"/>
      <c r="AB767" s="176"/>
      <c r="AC767" s="176"/>
      <c r="AD767" s="176"/>
      <c r="AE767" s="176"/>
      <c r="AF767" s="176"/>
      <c r="AG767" s="176"/>
      <c r="AH767" s="176"/>
      <c r="AI767" s="176"/>
      <c r="AJ767" s="176"/>
      <c r="AK767" s="176"/>
      <c r="AL767" s="176"/>
      <c r="AM767" s="176"/>
      <c r="AN767" s="176"/>
      <c r="AO767" s="176"/>
      <c r="AP767" s="176"/>
      <c r="AQ767" s="176"/>
      <c r="AR767" s="176"/>
      <c r="AS767" s="176"/>
      <c r="AT767" s="176"/>
      <c r="AU767" s="176"/>
      <c r="AV767" s="176"/>
      <c r="AW767" s="176"/>
      <c r="AX767" s="176"/>
      <c r="AY767" s="176"/>
      <c r="AZ767" s="176"/>
      <c r="BA767" s="176"/>
      <c r="BB767" s="176"/>
      <c r="BC767" s="176"/>
      <c r="BD767" s="176"/>
      <c r="BE767" s="176"/>
      <c r="BF767" s="176"/>
      <c r="BG767" s="176"/>
      <c r="BH767" s="176"/>
      <c r="BI767" s="176"/>
      <c r="BJ767" s="176"/>
      <c r="BK767" s="176">
        <v>267</v>
      </c>
      <c r="BL767" s="176">
        <v>547.26</v>
      </c>
      <c r="BM767" s="176">
        <v>547.26</v>
      </c>
      <c r="BN767" s="176">
        <v>495.14</v>
      </c>
      <c r="BO767" s="176">
        <v>573.23</v>
      </c>
      <c r="BP767" s="176">
        <v>547.26</v>
      </c>
      <c r="BQ767" s="176">
        <v>573.32000000000005</v>
      </c>
      <c r="BR767" s="176">
        <v>663.65</v>
      </c>
      <c r="BS767" s="176">
        <v>523.45000000000005</v>
      </c>
      <c r="BT767" s="176">
        <v>523.45000000000005</v>
      </c>
      <c r="BU767" s="176">
        <v>551</v>
      </c>
      <c r="BV767" s="176">
        <v>551</v>
      </c>
      <c r="BW767" s="176">
        <v>606.1</v>
      </c>
      <c r="BX767" s="176"/>
      <c r="BY767" s="191"/>
      <c r="BZ767" s="191"/>
      <c r="CA767" s="191"/>
      <c r="CC767" s="182"/>
    </row>
    <row r="768" spans="1:81" s="178" customFormat="1" ht="15.75" customHeight="1">
      <c r="A768" s="226"/>
      <c r="B768" s="227"/>
      <c r="C768" s="231"/>
      <c r="D768" s="229"/>
      <c r="E768" s="227"/>
      <c r="F768" s="227"/>
      <c r="G768" s="229"/>
      <c r="H768" s="229"/>
      <c r="I768" s="175" t="s">
        <v>355</v>
      </c>
      <c r="J768" s="175"/>
      <c r="K768" s="175"/>
      <c r="L768" s="175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  <c r="AA768" s="176"/>
      <c r="AB768" s="176"/>
      <c r="AC768" s="176"/>
      <c r="AD768" s="176"/>
      <c r="AE768" s="176"/>
      <c r="AF768" s="176"/>
      <c r="AG768" s="176"/>
      <c r="AH768" s="176"/>
      <c r="AI768" s="176"/>
      <c r="AJ768" s="176"/>
      <c r="AK768" s="176"/>
      <c r="AL768" s="176"/>
      <c r="AM768" s="176"/>
      <c r="AN768" s="176"/>
      <c r="AO768" s="176"/>
      <c r="AP768" s="176"/>
      <c r="AQ768" s="176"/>
      <c r="AR768" s="176"/>
      <c r="AS768" s="176"/>
      <c r="AT768" s="176"/>
      <c r="AU768" s="176"/>
      <c r="AV768" s="176"/>
      <c r="AW768" s="176"/>
      <c r="AX768" s="176"/>
      <c r="AY768" s="176"/>
      <c r="AZ768" s="176"/>
      <c r="BA768" s="176"/>
      <c r="BB768" s="176"/>
      <c r="BC768" s="176"/>
      <c r="BD768" s="176"/>
      <c r="BE768" s="176"/>
      <c r="BF768" s="176"/>
      <c r="BG768" s="176"/>
      <c r="BH768" s="176"/>
      <c r="BI768" s="176"/>
      <c r="BJ768" s="176"/>
      <c r="BK768" s="176">
        <v>390.9</v>
      </c>
      <c r="BL768" s="212">
        <v>373.8</v>
      </c>
      <c r="BM768" s="212">
        <v>373.8</v>
      </c>
      <c r="BN768" s="212">
        <v>338.2</v>
      </c>
      <c r="BO768" s="212">
        <v>391.6</v>
      </c>
      <c r="BP768" s="212">
        <v>373.8</v>
      </c>
      <c r="BQ768" s="212">
        <v>391.6</v>
      </c>
      <c r="BR768" s="212">
        <v>409.4</v>
      </c>
      <c r="BS768" s="212">
        <v>338.2</v>
      </c>
      <c r="BT768" s="212">
        <v>338.2</v>
      </c>
      <c r="BU768" s="212">
        <v>356</v>
      </c>
      <c r="BV768" s="212">
        <v>458</v>
      </c>
      <c r="BW768" s="212">
        <v>503.8</v>
      </c>
      <c r="BX768" s="176"/>
      <c r="BY768" s="191"/>
      <c r="BZ768" s="191"/>
      <c r="CA768" s="191"/>
      <c r="CC768" s="182"/>
    </row>
    <row r="769" spans="1:81" s="178" customFormat="1" ht="15.75" customHeight="1">
      <c r="A769" s="226"/>
      <c r="B769" s="227"/>
      <c r="C769" s="231"/>
      <c r="D769" s="229"/>
      <c r="E769" s="227"/>
      <c r="F769" s="227"/>
      <c r="G769" s="229"/>
      <c r="H769" s="229"/>
      <c r="I769" s="184" t="s">
        <v>362</v>
      </c>
      <c r="J769" s="175"/>
      <c r="K769" s="175"/>
      <c r="L769" s="175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  <c r="AA769" s="176"/>
      <c r="AB769" s="176"/>
      <c r="AC769" s="176"/>
      <c r="AD769" s="176"/>
      <c r="AE769" s="176"/>
      <c r="AF769" s="176"/>
      <c r="AG769" s="176"/>
      <c r="AH769" s="176"/>
      <c r="AI769" s="176"/>
      <c r="AJ769" s="176"/>
      <c r="AK769" s="176"/>
      <c r="AL769" s="176"/>
      <c r="AM769" s="176"/>
      <c r="AN769" s="176"/>
      <c r="AO769" s="176"/>
      <c r="AP769" s="176"/>
      <c r="AQ769" s="176"/>
      <c r="AR769" s="176"/>
      <c r="AS769" s="176"/>
      <c r="AT769" s="176"/>
      <c r="AU769" s="176"/>
      <c r="AV769" s="176"/>
      <c r="AW769" s="176"/>
      <c r="AX769" s="176"/>
      <c r="AY769" s="176"/>
      <c r="AZ769" s="176"/>
      <c r="BA769" s="176"/>
      <c r="BB769" s="176"/>
      <c r="BC769" s="176"/>
      <c r="BD769" s="176"/>
      <c r="BE769" s="176"/>
      <c r="BF769" s="176"/>
      <c r="BG769" s="176"/>
      <c r="BH769" s="176"/>
      <c r="BI769" s="176"/>
      <c r="BJ769" s="176"/>
      <c r="BK769" s="176"/>
      <c r="BL769" s="176"/>
      <c r="BM769" s="176"/>
      <c r="BN769" s="176"/>
      <c r="BO769" s="176"/>
      <c r="BP769" s="176"/>
      <c r="BQ769" s="176"/>
      <c r="BR769" s="176">
        <v>315</v>
      </c>
      <c r="BS769" s="176">
        <v>315</v>
      </c>
      <c r="BT769" s="176">
        <v>315</v>
      </c>
      <c r="BU769" s="176">
        <v>315</v>
      </c>
      <c r="BV769" s="176">
        <v>315</v>
      </c>
      <c r="BW769" s="176">
        <v>315</v>
      </c>
      <c r="BX769" s="176"/>
      <c r="BY769" s="191"/>
      <c r="BZ769" s="191"/>
      <c r="CA769" s="191"/>
      <c r="CC769" s="182"/>
    </row>
    <row r="770" spans="1:81" s="178" customFormat="1">
      <c r="A770" s="226"/>
      <c r="B770" s="227"/>
      <c r="C770" s="231"/>
      <c r="D770" s="229"/>
      <c r="E770" s="227"/>
      <c r="F770" s="227"/>
      <c r="G770" s="229"/>
      <c r="H770" s="229"/>
      <c r="I770" s="190" t="s">
        <v>363</v>
      </c>
      <c r="J770" s="190"/>
      <c r="K770" s="190"/>
      <c r="L770" s="190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  <c r="AA770" s="176"/>
      <c r="AB770" s="176"/>
      <c r="AC770" s="176"/>
      <c r="AD770" s="176"/>
      <c r="AE770" s="176"/>
      <c r="AF770" s="176"/>
      <c r="AG770" s="176"/>
      <c r="AH770" s="176"/>
      <c r="AI770" s="176"/>
      <c r="AJ770" s="176"/>
      <c r="AK770" s="176"/>
      <c r="AL770" s="176"/>
      <c r="AM770" s="176"/>
      <c r="AN770" s="176"/>
      <c r="AO770" s="176"/>
      <c r="AP770" s="176"/>
      <c r="AQ770" s="176"/>
      <c r="AR770" s="176"/>
      <c r="AS770" s="176"/>
      <c r="AT770" s="176"/>
      <c r="AU770" s="176"/>
      <c r="AV770" s="176"/>
      <c r="AW770" s="176"/>
      <c r="AX770" s="176"/>
      <c r="AY770" s="176"/>
      <c r="AZ770" s="176"/>
      <c r="BA770" s="176"/>
      <c r="BB770" s="176"/>
      <c r="BC770" s="176"/>
      <c r="BD770" s="176"/>
      <c r="BE770" s="176"/>
      <c r="BF770" s="176"/>
      <c r="BG770" s="176"/>
      <c r="BH770" s="176"/>
      <c r="BI770" s="176"/>
      <c r="BJ770" s="176"/>
      <c r="BK770" s="176"/>
      <c r="BL770" s="176"/>
      <c r="BM770" s="176"/>
      <c r="BN770" s="176"/>
      <c r="BO770" s="176"/>
      <c r="BP770" s="176"/>
      <c r="BQ770" s="176"/>
      <c r="BR770" s="176"/>
      <c r="BS770" s="176"/>
      <c r="BT770" s="176"/>
      <c r="BU770" s="176"/>
      <c r="BV770" s="176"/>
      <c r="BW770" s="176"/>
      <c r="BX770" s="176"/>
      <c r="BY770" s="191"/>
      <c r="BZ770" s="191"/>
    </row>
    <row r="771" spans="1:81" s="178" customFormat="1">
      <c r="A771" s="226"/>
      <c r="B771" s="227"/>
      <c r="C771" s="231"/>
      <c r="D771" s="229"/>
      <c r="E771" s="227"/>
      <c r="F771" s="227"/>
      <c r="G771" s="229"/>
      <c r="H771" s="229"/>
      <c r="I771" s="193" t="s">
        <v>373</v>
      </c>
      <c r="J771" s="193"/>
      <c r="K771" s="193"/>
      <c r="L771" s="193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  <c r="AA771" s="176"/>
      <c r="AB771" s="176"/>
      <c r="AC771" s="176"/>
      <c r="AD771" s="176"/>
      <c r="AE771" s="176"/>
      <c r="AF771" s="176"/>
      <c r="AG771" s="176"/>
      <c r="AH771" s="176"/>
      <c r="AI771" s="176"/>
      <c r="AJ771" s="176"/>
      <c r="AK771" s="176"/>
      <c r="AL771" s="176"/>
      <c r="AM771" s="176"/>
      <c r="AN771" s="176"/>
      <c r="AO771" s="176"/>
      <c r="AP771" s="176"/>
      <c r="AQ771" s="176"/>
      <c r="AR771" s="176"/>
      <c r="AS771" s="176"/>
      <c r="AT771" s="176"/>
      <c r="AU771" s="176"/>
      <c r="AV771" s="176"/>
      <c r="AW771" s="176"/>
      <c r="AX771" s="176"/>
      <c r="AY771" s="176"/>
      <c r="AZ771" s="176"/>
      <c r="BA771" s="176"/>
      <c r="BB771" s="176"/>
      <c r="BC771" s="176"/>
      <c r="BD771" s="176"/>
      <c r="BE771" s="176"/>
      <c r="BF771" s="176"/>
      <c r="BG771" s="176"/>
      <c r="BH771" s="176"/>
      <c r="BI771" s="176"/>
      <c r="BJ771" s="176"/>
      <c r="BK771" s="176">
        <v>197.63</v>
      </c>
      <c r="BL771" s="176">
        <v>1126.94</v>
      </c>
      <c r="BM771" s="176">
        <v>1126.94</v>
      </c>
      <c r="BN771" s="176">
        <v>1126.94</v>
      </c>
      <c r="BO771" s="176">
        <v>1126.94</v>
      </c>
      <c r="BP771" s="176">
        <v>1127.94</v>
      </c>
      <c r="BQ771" s="176">
        <v>1127.94</v>
      </c>
      <c r="BR771" s="176">
        <v>1127.94</v>
      </c>
      <c r="BS771" s="176">
        <v>1385.39</v>
      </c>
      <c r="BT771" s="176">
        <f>1153.31-844</f>
        <v>309.30999999999995</v>
      </c>
      <c r="BU771" s="176">
        <f>1153.31-844</f>
        <v>309.30999999999995</v>
      </c>
      <c r="BV771" s="176">
        <f>1153.31-844</f>
        <v>309.30999999999995</v>
      </c>
      <c r="BW771" s="176">
        <f>1153.31-844</f>
        <v>309.30999999999995</v>
      </c>
      <c r="BX771" s="176"/>
      <c r="BY771" s="191"/>
      <c r="BZ771" s="191"/>
    </row>
    <row r="772" spans="1:81" s="178" customFormat="1">
      <c r="A772" s="226"/>
      <c r="B772" s="227"/>
      <c r="C772" s="232"/>
      <c r="D772" s="229"/>
      <c r="E772" s="227"/>
      <c r="F772" s="227"/>
      <c r="G772" s="229"/>
      <c r="H772" s="229"/>
      <c r="I772" s="190"/>
      <c r="J772" s="176">
        <f>SUM(J761:J770)-J771</f>
        <v>0</v>
      </c>
      <c r="K772" s="176">
        <f t="shared" ref="K772:Y772" si="383">SUM(K761:K770)-K771</f>
        <v>0</v>
      </c>
      <c r="L772" s="176">
        <f t="shared" si="383"/>
        <v>0</v>
      </c>
      <c r="M772" s="176">
        <f t="shared" si="383"/>
        <v>0</v>
      </c>
      <c r="N772" s="176">
        <f t="shared" si="383"/>
        <v>0</v>
      </c>
      <c r="O772" s="176">
        <f t="shared" si="383"/>
        <v>0</v>
      </c>
      <c r="P772" s="176">
        <f t="shared" si="383"/>
        <v>0</v>
      </c>
      <c r="Q772" s="176">
        <f t="shared" si="383"/>
        <v>0</v>
      </c>
      <c r="R772" s="176">
        <f t="shared" si="383"/>
        <v>0</v>
      </c>
      <c r="S772" s="176">
        <f t="shared" si="383"/>
        <v>0</v>
      </c>
      <c r="T772" s="176">
        <f t="shared" si="383"/>
        <v>0</v>
      </c>
      <c r="U772" s="176">
        <f t="shared" si="383"/>
        <v>0</v>
      </c>
      <c r="V772" s="176">
        <f t="shared" si="383"/>
        <v>0</v>
      </c>
      <c r="W772" s="176">
        <f t="shared" si="383"/>
        <v>0</v>
      </c>
      <c r="X772" s="176">
        <f t="shared" si="383"/>
        <v>0</v>
      </c>
      <c r="Y772" s="176">
        <f t="shared" si="383"/>
        <v>0</v>
      </c>
      <c r="Z772" s="176">
        <f>SUM(Z761:Z770)-Z771</f>
        <v>0</v>
      </c>
      <c r="AA772" s="176">
        <f t="shared" ref="AA772:AD772" si="384">SUM(AA761:AA770)-AA771</f>
        <v>0</v>
      </c>
      <c r="AB772" s="176">
        <f t="shared" si="384"/>
        <v>0</v>
      </c>
      <c r="AC772" s="176">
        <f t="shared" si="384"/>
        <v>0</v>
      </c>
      <c r="AD772" s="176">
        <f t="shared" si="384"/>
        <v>0</v>
      </c>
      <c r="AE772" s="176">
        <f>SUM(AE761:AE770)-AE771</f>
        <v>0</v>
      </c>
      <c r="AF772" s="176">
        <f>SUM(AF761:AF770)-AF771</f>
        <v>0</v>
      </c>
      <c r="AG772" s="176">
        <f t="shared" ref="AG772:AP772" si="385">SUM(AG761:AG770)-AG771</f>
        <v>0</v>
      </c>
      <c r="AH772" s="176">
        <f t="shared" si="385"/>
        <v>0</v>
      </c>
      <c r="AI772" s="176">
        <f t="shared" si="385"/>
        <v>0</v>
      </c>
      <c r="AJ772" s="176">
        <f t="shared" si="385"/>
        <v>0</v>
      </c>
      <c r="AK772" s="176">
        <f t="shared" si="385"/>
        <v>0</v>
      </c>
      <c r="AL772" s="176">
        <f t="shared" si="385"/>
        <v>0</v>
      </c>
      <c r="AM772" s="176">
        <f t="shared" si="385"/>
        <v>0</v>
      </c>
      <c r="AN772" s="176">
        <f t="shared" si="385"/>
        <v>0</v>
      </c>
      <c r="AO772" s="176">
        <f t="shared" si="385"/>
        <v>0</v>
      </c>
      <c r="AP772" s="176">
        <f t="shared" si="385"/>
        <v>0</v>
      </c>
      <c r="AQ772" s="176">
        <f t="shared" ref="AQ772:AU772" si="386">SUM(AQ761:AQ770)-AQ771</f>
        <v>0</v>
      </c>
      <c r="AR772" s="176">
        <f t="shared" si="386"/>
        <v>0</v>
      </c>
      <c r="AS772" s="176">
        <f t="shared" si="386"/>
        <v>0</v>
      </c>
      <c r="AT772" s="176">
        <f t="shared" si="386"/>
        <v>0</v>
      </c>
      <c r="AU772" s="176">
        <f t="shared" si="386"/>
        <v>0</v>
      </c>
      <c r="AV772" s="176">
        <f>SUM(AV761:AV770)-AV771</f>
        <v>0</v>
      </c>
      <c r="AW772" s="176">
        <f t="shared" ref="AW772:BA772" si="387">SUM(AW761:AW770)-AW771</f>
        <v>0</v>
      </c>
      <c r="AX772" s="176">
        <f t="shared" si="387"/>
        <v>0</v>
      </c>
      <c r="AY772" s="176">
        <f t="shared" si="387"/>
        <v>0</v>
      </c>
      <c r="AZ772" s="176">
        <f t="shared" si="387"/>
        <v>0</v>
      </c>
      <c r="BA772" s="176">
        <f t="shared" si="387"/>
        <v>0</v>
      </c>
      <c r="BB772" s="176"/>
      <c r="BC772" s="176"/>
      <c r="BD772" s="176"/>
      <c r="BE772" s="176"/>
      <c r="BF772" s="176"/>
      <c r="BG772" s="176"/>
      <c r="BH772" s="176"/>
      <c r="BI772" s="176"/>
      <c r="BJ772" s="176"/>
      <c r="BK772" s="176">
        <f>BK762+BK767+BK768-BK771</f>
        <v>1924.2599999999998</v>
      </c>
      <c r="BL772" s="176">
        <f>BL762+BL764+BL767+BL768-BL771</f>
        <v>2721.5400000000004</v>
      </c>
      <c r="BM772" s="176">
        <f t="shared" ref="BM772:BP772" si="388">BM762+BM764+BM767+BM768-BM771</f>
        <v>2721.5400000000004</v>
      </c>
      <c r="BN772" s="176">
        <f t="shared" si="388"/>
        <v>2633.8199999999997</v>
      </c>
      <c r="BO772" s="176">
        <f t="shared" si="388"/>
        <v>2765.31</v>
      </c>
      <c r="BP772" s="176">
        <f t="shared" si="388"/>
        <v>2720.5400000000004</v>
      </c>
      <c r="BQ772" s="176">
        <f t="shared" ref="BQ772" si="389">BQ762+BQ764+BQ767+BQ768-BQ771</f>
        <v>2764.4</v>
      </c>
      <c r="BR772" s="176">
        <f>BR762+BR764+BR767+BR768+BR769+-BR771</f>
        <v>3355.7899999999995</v>
      </c>
      <c r="BS772" s="176">
        <f>BS762+BS764+BS767+BS768-BS771+BS769</f>
        <v>2886.9399999999996</v>
      </c>
      <c r="BT772" s="176">
        <f>BT762+BT764+BT767+BT768-BT771+BT769</f>
        <v>3079.0499999999997</v>
      </c>
      <c r="BU772" s="176">
        <f>BU762+BU764+BU767+BU768-BU771+BU769</f>
        <v>3124.4</v>
      </c>
      <c r="BV772" s="176">
        <f>BV762+BV764+BV767+BV768-BV771+BV769</f>
        <v>3226.4</v>
      </c>
      <c r="BW772" s="176">
        <f>BW762+BW764+BW767+BW768-BW771+BW769</f>
        <v>3327.3</v>
      </c>
      <c r="BX772" s="176">
        <f>SUM(BK772:BW772)</f>
        <v>37251.29</v>
      </c>
      <c r="BY772" s="191"/>
      <c r="BZ772" s="191"/>
    </row>
    <row r="773" spans="1:81" ht="15.6" customHeight="1">
      <c r="A773" s="148" t="s">
        <v>346</v>
      </c>
      <c r="B773" s="148" t="s">
        <v>347</v>
      </c>
      <c r="C773" s="145" t="s">
        <v>310</v>
      </c>
      <c r="D773" s="145" t="s">
        <v>311</v>
      </c>
      <c r="E773" s="148" t="s">
        <v>312</v>
      </c>
      <c r="F773" s="148" t="s">
        <v>348</v>
      </c>
      <c r="G773" s="145" t="s">
        <v>314</v>
      </c>
      <c r="H773" s="145" t="s">
        <v>315</v>
      </c>
      <c r="I773" s="145" t="s">
        <v>349</v>
      </c>
      <c r="J773" s="146">
        <v>44105</v>
      </c>
      <c r="K773" s="146">
        <v>44136</v>
      </c>
      <c r="L773" s="146">
        <v>44166</v>
      </c>
      <c r="M773" s="146">
        <v>44197</v>
      </c>
      <c r="N773" s="146">
        <v>44228</v>
      </c>
      <c r="O773" s="146">
        <v>44256</v>
      </c>
      <c r="P773" s="146">
        <v>44287</v>
      </c>
      <c r="Q773" s="146">
        <v>44317</v>
      </c>
      <c r="R773" s="146">
        <v>44348</v>
      </c>
      <c r="S773" s="146">
        <v>44378</v>
      </c>
      <c r="T773" s="146">
        <v>44409</v>
      </c>
      <c r="U773" s="146">
        <v>44440</v>
      </c>
      <c r="V773" s="146">
        <v>44470</v>
      </c>
      <c r="W773" s="146">
        <v>44501</v>
      </c>
      <c r="X773" s="146">
        <v>44531</v>
      </c>
      <c r="Y773" s="146">
        <v>44562</v>
      </c>
      <c r="Z773" s="146">
        <v>44593</v>
      </c>
      <c r="AA773" s="146">
        <v>44621</v>
      </c>
      <c r="AB773" s="146">
        <v>44652</v>
      </c>
      <c r="AC773" s="146">
        <v>44682</v>
      </c>
      <c r="AD773" s="146">
        <v>44713</v>
      </c>
      <c r="AE773" s="146">
        <v>44743</v>
      </c>
      <c r="AF773" s="146">
        <v>44774</v>
      </c>
      <c r="AG773" s="146">
        <v>44805</v>
      </c>
      <c r="AH773" s="146">
        <v>44835</v>
      </c>
      <c r="AI773" s="146">
        <v>44866</v>
      </c>
      <c r="AJ773" s="146">
        <v>44896</v>
      </c>
      <c r="AK773" s="146">
        <v>44927</v>
      </c>
      <c r="AL773" s="146">
        <v>44958</v>
      </c>
      <c r="AM773" s="146">
        <v>44986</v>
      </c>
      <c r="AN773" s="146">
        <v>45017</v>
      </c>
      <c r="AO773" s="146">
        <v>45047</v>
      </c>
      <c r="AP773" s="146">
        <v>45078</v>
      </c>
      <c r="AQ773" s="146">
        <v>45108</v>
      </c>
      <c r="AR773" s="146">
        <v>45139</v>
      </c>
      <c r="AS773" s="146">
        <v>45170</v>
      </c>
      <c r="AT773" s="146">
        <v>45200</v>
      </c>
      <c r="AU773" s="146">
        <v>45231</v>
      </c>
      <c r="AV773" s="146">
        <v>45261</v>
      </c>
      <c r="AW773" s="146">
        <v>45292</v>
      </c>
      <c r="AX773" s="146">
        <v>45323</v>
      </c>
      <c r="AY773" s="146">
        <v>45352</v>
      </c>
      <c r="AZ773" s="146">
        <v>45383</v>
      </c>
      <c r="BA773" s="146">
        <v>45413</v>
      </c>
      <c r="BB773" s="146">
        <v>45444</v>
      </c>
      <c r="BC773" s="146">
        <v>45474</v>
      </c>
      <c r="BD773" s="146">
        <v>45505</v>
      </c>
      <c r="BE773" s="146">
        <v>45536</v>
      </c>
      <c r="BF773" s="146">
        <v>45566</v>
      </c>
      <c r="BG773" s="146">
        <v>45597</v>
      </c>
      <c r="BH773" s="146">
        <v>45627</v>
      </c>
      <c r="BI773" s="146">
        <v>45658</v>
      </c>
      <c r="BJ773" s="146">
        <v>45689</v>
      </c>
      <c r="BK773" s="146">
        <v>45717</v>
      </c>
      <c r="BL773" s="146">
        <v>45748</v>
      </c>
      <c r="BM773" s="146">
        <v>45778</v>
      </c>
      <c r="BN773" s="146">
        <v>45809</v>
      </c>
      <c r="BO773" s="146">
        <v>45839</v>
      </c>
      <c r="BP773" s="146">
        <v>45870</v>
      </c>
      <c r="BQ773" s="146">
        <v>45901</v>
      </c>
      <c r="BR773" s="146">
        <v>45931</v>
      </c>
      <c r="BS773" s="146">
        <v>45962</v>
      </c>
      <c r="BT773" s="146">
        <v>45992</v>
      </c>
      <c r="BU773" s="146">
        <v>46023</v>
      </c>
      <c r="BV773" s="146">
        <v>46054</v>
      </c>
      <c r="BW773" s="146">
        <v>46082</v>
      </c>
      <c r="BX773" s="147" t="s">
        <v>13</v>
      </c>
      <c r="BY773" s="5"/>
      <c r="BZ773" s="5"/>
      <c r="CA773" s="5"/>
    </row>
    <row r="774" spans="1:81" s="178" customFormat="1" ht="14.45" customHeight="1">
      <c r="A774" s="229">
        <v>58</v>
      </c>
      <c r="B774" s="237" t="s">
        <v>400</v>
      </c>
      <c r="C774" s="230" t="s">
        <v>23</v>
      </c>
      <c r="D774" s="230" t="s">
        <v>119</v>
      </c>
      <c r="E774" s="237" t="s">
        <v>117</v>
      </c>
      <c r="F774" s="237" t="s">
        <v>117</v>
      </c>
      <c r="G774" s="243"/>
      <c r="H774" s="246"/>
      <c r="I774" s="175" t="s">
        <v>350</v>
      </c>
      <c r="J774" s="180"/>
      <c r="K774" s="180"/>
      <c r="L774" s="180"/>
      <c r="M774" s="180"/>
      <c r="N774" s="180"/>
      <c r="O774" s="180"/>
      <c r="P774" s="180"/>
      <c r="Q774" s="180"/>
      <c r="R774" s="176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  <c r="AG774" s="180"/>
      <c r="AH774" s="180"/>
      <c r="AI774" s="180"/>
      <c r="AJ774" s="180"/>
      <c r="AK774" s="180"/>
      <c r="AL774" s="180"/>
      <c r="AM774" s="180"/>
      <c r="AN774" s="180"/>
      <c r="AO774" s="180"/>
      <c r="AP774" s="180"/>
      <c r="AQ774" s="180"/>
      <c r="AR774" s="180"/>
      <c r="AS774" s="180"/>
      <c r="AT774" s="180"/>
      <c r="AU774" s="180"/>
      <c r="AV774" s="180"/>
      <c r="AW774" s="180"/>
      <c r="AX774" s="176"/>
      <c r="AY774" s="176"/>
      <c r="AZ774" s="176"/>
      <c r="BA774" s="176"/>
      <c r="BB774" s="176">
        <v>150</v>
      </c>
      <c r="BC774" s="176"/>
      <c r="BD774" s="176"/>
      <c r="BE774" s="176"/>
      <c r="BF774" s="176"/>
      <c r="BG774" s="183"/>
      <c r="BH774" s="183"/>
      <c r="BI774" s="183"/>
      <c r="BJ774" s="183"/>
      <c r="BK774" s="183"/>
      <c r="BL774" s="183"/>
      <c r="BM774" s="183"/>
      <c r="BN774" s="183"/>
      <c r="BO774" s="183"/>
      <c r="BP774" s="183"/>
      <c r="BQ774" s="183"/>
      <c r="BR774" s="183"/>
      <c r="BS774" s="183"/>
      <c r="BT774" s="183"/>
      <c r="BU774" s="183"/>
      <c r="BV774" s="183"/>
      <c r="BW774" s="183"/>
      <c r="BX774" s="183"/>
    </row>
    <row r="775" spans="1:81" s="178" customFormat="1">
      <c r="A775" s="229"/>
      <c r="B775" s="238"/>
      <c r="C775" s="231"/>
      <c r="D775" s="231"/>
      <c r="E775" s="238"/>
      <c r="F775" s="238"/>
      <c r="G775" s="244"/>
      <c r="H775" s="247"/>
      <c r="I775" s="175" t="s">
        <v>359</v>
      </c>
      <c r="J775" s="180"/>
      <c r="K775" s="180"/>
      <c r="L775" s="180"/>
      <c r="M775" s="180"/>
      <c r="N775" s="180"/>
      <c r="O775" s="180"/>
      <c r="P775" s="180"/>
      <c r="Q775" s="176"/>
      <c r="R775" s="176"/>
      <c r="S775" s="180"/>
      <c r="T775" s="176"/>
      <c r="U775" s="176"/>
      <c r="V775" s="176"/>
      <c r="W775" s="176"/>
      <c r="X775" s="176"/>
      <c r="Y775" s="176"/>
      <c r="Z775" s="176"/>
      <c r="AA775" s="176"/>
      <c r="AB775" s="176"/>
      <c r="AC775" s="176"/>
      <c r="AD775" s="176"/>
      <c r="AE775" s="176"/>
      <c r="AF775" s="176"/>
      <c r="AG775" s="176"/>
      <c r="AH775" s="176"/>
      <c r="AI775" s="176"/>
      <c r="AJ775" s="176"/>
      <c r="AK775" s="176"/>
      <c r="AL775" s="176"/>
      <c r="AM775" s="176"/>
      <c r="AN775" s="176"/>
      <c r="AO775" s="176"/>
      <c r="AP775" s="176"/>
      <c r="AQ775" s="176"/>
      <c r="AR775" s="176"/>
      <c r="AS775" s="176"/>
      <c r="AT775" s="176"/>
      <c r="AU775" s="176"/>
      <c r="AV775" s="176"/>
      <c r="AW775" s="176"/>
      <c r="AX775" s="176"/>
      <c r="AY775" s="176"/>
      <c r="AZ775" s="176"/>
      <c r="BA775" s="176"/>
      <c r="BB775" s="176"/>
      <c r="BC775" s="176"/>
      <c r="BD775" s="176"/>
      <c r="BE775" s="176"/>
      <c r="BF775" s="176"/>
      <c r="BG775" s="183"/>
      <c r="BH775" s="183"/>
      <c r="BI775" s="183"/>
      <c r="BJ775" s="183"/>
      <c r="BK775" s="183"/>
      <c r="BL775" s="183"/>
      <c r="BM775" s="183"/>
      <c r="BN775" s="183"/>
      <c r="BO775" s="183"/>
      <c r="BP775" s="183"/>
      <c r="BQ775" s="183"/>
      <c r="BR775" s="183"/>
      <c r="BS775" s="183"/>
      <c r="BT775" s="183"/>
      <c r="BU775" s="183"/>
      <c r="BV775" s="183"/>
      <c r="BW775" s="183"/>
      <c r="BX775" s="183"/>
    </row>
    <row r="776" spans="1:81" s="178" customFormat="1">
      <c r="A776" s="229"/>
      <c r="B776" s="238"/>
      <c r="C776" s="231"/>
      <c r="D776" s="231"/>
      <c r="E776" s="238"/>
      <c r="F776" s="238"/>
      <c r="G776" s="244"/>
      <c r="H776" s="247"/>
      <c r="I776" s="175" t="s">
        <v>391</v>
      </c>
      <c r="J776" s="180"/>
      <c r="K776" s="180"/>
      <c r="L776" s="180"/>
      <c r="M776" s="180"/>
      <c r="N776" s="180"/>
      <c r="O776" s="180"/>
      <c r="P776" s="180"/>
      <c r="Q776" s="180"/>
      <c r="R776" s="176"/>
      <c r="S776" s="176"/>
      <c r="T776" s="176"/>
      <c r="U776" s="176"/>
      <c r="V776" s="176"/>
      <c r="W776" s="176"/>
      <c r="X776" s="176"/>
      <c r="Y776" s="176"/>
      <c r="Z776" s="176"/>
      <c r="AA776" s="176"/>
      <c r="AB776" s="176"/>
      <c r="AC776" s="176"/>
      <c r="AD776" s="176"/>
      <c r="AE776" s="176"/>
      <c r="AF776" s="176"/>
      <c r="AG776" s="176"/>
      <c r="AH776" s="176"/>
      <c r="AI776" s="176"/>
      <c r="AJ776" s="176"/>
      <c r="AK776" s="176"/>
      <c r="AL776" s="176"/>
      <c r="AM776" s="176"/>
      <c r="AN776" s="176"/>
      <c r="AO776" s="176"/>
      <c r="AP776" s="176"/>
      <c r="AQ776" s="176"/>
      <c r="AR776" s="176"/>
      <c r="AS776" s="176"/>
      <c r="AT776" s="176"/>
      <c r="AU776" s="176"/>
      <c r="AV776" s="176"/>
      <c r="AW776" s="176"/>
      <c r="AX776" s="176">
        <v>103.79</v>
      </c>
      <c r="AY776" s="176">
        <v>934.07</v>
      </c>
      <c r="AZ776" s="176">
        <v>934.07</v>
      </c>
      <c r="BA776" s="176">
        <v>934.07</v>
      </c>
      <c r="BB776" s="176">
        <v>934.07</v>
      </c>
      <c r="BC776" s="176">
        <v>934.07</v>
      </c>
      <c r="BD776" s="176">
        <v>934.07</v>
      </c>
      <c r="BE776" s="176">
        <v>934.07</v>
      </c>
      <c r="BF776" s="176">
        <v>934.07</v>
      </c>
      <c r="BG776" s="176">
        <v>1681.32</v>
      </c>
      <c r="BH776" s="176">
        <v>1681.32</v>
      </c>
      <c r="BI776" s="176">
        <v>1681.32</v>
      </c>
      <c r="BJ776" s="176">
        <v>1681.32</v>
      </c>
      <c r="BK776" s="176">
        <v>1681.32</v>
      </c>
      <c r="BL776" s="176">
        <v>1681.32</v>
      </c>
      <c r="BM776" s="176">
        <v>1681.32</v>
      </c>
      <c r="BN776" s="176">
        <v>1681.32</v>
      </c>
      <c r="BO776" s="176">
        <v>1681.32</v>
      </c>
      <c r="BP776" s="176">
        <v>1849.81</v>
      </c>
      <c r="BQ776" s="176">
        <v>1849.81</v>
      </c>
      <c r="BR776" s="176">
        <v>1849.81</v>
      </c>
      <c r="BS776" s="176">
        <v>2576.4499999999998</v>
      </c>
      <c r="BT776" s="176">
        <f>1849.81+2000+163.28</f>
        <v>4013.09</v>
      </c>
      <c r="BU776" s="176">
        <v>1849.81</v>
      </c>
      <c r="BV776" s="176">
        <v>1849.81</v>
      </c>
      <c r="BW776" s="176">
        <v>1849.81</v>
      </c>
      <c r="BX776" s="183"/>
    </row>
    <row r="777" spans="1:81" s="178" customFormat="1">
      <c r="A777" s="229"/>
      <c r="B777" s="238"/>
      <c r="C777" s="231"/>
      <c r="D777" s="231"/>
      <c r="E777" s="238"/>
      <c r="F777" s="238"/>
      <c r="G777" s="244"/>
      <c r="H777" s="247"/>
      <c r="I777" s="175" t="s">
        <v>351</v>
      </c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  <c r="AA777" s="176"/>
      <c r="AB777" s="176"/>
      <c r="AC777" s="176"/>
      <c r="AD777" s="176"/>
      <c r="AE777" s="176"/>
      <c r="AF777" s="176"/>
      <c r="AG777" s="176"/>
      <c r="AH777" s="176"/>
      <c r="AI777" s="176"/>
      <c r="AJ777" s="176"/>
      <c r="AK777" s="176"/>
      <c r="AL777" s="176"/>
      <c r="AM777" s="176"/>
      <c r="AN777" s="176"/>
      <c r="AO777" s="176"/>
      <c r="AP777" s="176"/>
      <c r="AQ777" s="176"/>
      <c r="AR777" s="176"/>
      <c r="AS777" s="176"/>
      <c r="AT777" s="176"/>
      <c r="AU777" s="176"/>
      <c r="AV777" s="176"/>
      <c r="AW777" s="176"/>
      <c r="AX777" s="176"/>
      <c r="AY777" s="176">
        <v>622.71</v>
      </c>
      <c r="AZ777" s="176">
        <v>622.71</v>
      </c>
      <c r="BA777" s="176">
        <v>622.71</v>
      </c>
      <c r="BB777" s="176">
        <v>662.71</v>
      </c>
      <c r="BC777" s="176">
        <v>622.71</v>
      </c>
      <c r="BD777" s="176">
        <v>622.71</v>
      </c>
      <c r="BE777" s="176">
        <v>622.71</v>
      </c>
      <c r="BF777" s="176">
        <v>622.71</v>
      </c>
      <c r="BG777" s="183"/>
      <c r="BH777" s="183">
        <v>469.44</v>
      </c>
      <c r="BI777" s="183">
        <v>622.71</v>
      </c>
      <c r="BJ777" s="183">
        <v>622.71</v>
      </c>
      <c r="BK777" s="176">
        <v>622.71</v>
      </c>
      <c r="BL777" s="176">
        <v>622.71</v>
      </c>
      <c r="BM777" s="176">
        <v>622.71</v>
      </c>
      <c r="BN777" s="176">
        <v>622.71</v>
      </c>
      <c r="BO777" s="176">
        <v>622.71</v>
      </c>
      <c r="BP777" s="176">
        <v>622.71</v>
      </c>
      <c r="BQ777" s="176">
        <v>622.71</v>
      </c>
      <c r="BR777" s="176">
        <v>622.71</v>
      </c>
      <c r="BS777" s="176">
        <v>656.71</v>
      </c>
      <c r="BT777" s="176"/>
      <c r="BU777" s="176"/>
      <c r="BV777" s="176"/>
      <c r="BW777" s="176"/>
      <c r="BX777" s="183"/>
    </row>
    <row r="778" spans="1:81" s="178" customFormat="1">
      <c r="A778" s="229"/>
      <c r="B778" s="238"/>
      <c r="C778" s="231"/>
      <c r="D778" s="231"/>
      <c r="E778" s="238"/>
      <c r="F778" s="238"/>
      <c r="G778" s="244"/>
      <c r="H778" s="247"/>
      <c r="I778" s="175" t="s">
        <v>401</v>
      </c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  <c r="AA778" s="176"/>
      <c r="AB778" s="176"/>
      <c r="AC778" s="176"/>
      <c r="AD778" s="176"/>
      <c r="AE778" s="176"/>
      <c r="AF778" s="176"/>
      <c r="AG778" s="176"/>
      <c r="AH778" s="176"/>
      <c r="AI778" s="176"/>
      <c r="AJ778" s="176"/>
      <c r="AK778" s="176"/>
      <c r="AL778" s="176"/>
      <c r="AM778" s="176"/>
      <c r="AN778" s="176"/>
      <c r="AO778" s="176"/>
      <c r="AP778" s="176"/>
      <c r="AQ778" s="176"/>
      <c r="AR778" s="176"/>
      <c r="AS778" s="176"/>
      <c r="AT778" s="176"/>
      <c r="AU778" s="176"/>
      <c r="AV778" s="176"/>
      <c r="AW778" s="176"/>
      <c r="AX778" s="176"/>
      <c r="AY778" s="176"/>
      <c r="AZ778" s="176"/>
      <c r="BA778" s="176"/>
      <c r="BB778" s="176"/>
      <c r="BC778" s="176"/>
      <c r="BD778" s="176"/>
      <c r="BE778" s="176"/>
      <c r="BF778" s="176"/>
      <c r="BG778" s="183"/>
      <c r="BH778" s="183"/>
      <c r="BI778" s="183"/>
      <c r="BJ778" s="183"/>
      <c r="BK778" s="176"/>
      <c r="BL778" s="176"/>
      <c r="BM778" s="176"/>
      <c r="BN778" s="176"/>
      <c r="BO778" s="176"/>
      <c r="BP778" s="176"/>
      <c r="BQ778" s="176"/>
      <c r="BR778" s="176"/>
      <c r="BS778" s="176"/>
      <c r="BT778" s="176"/>
      <c r="BU778" s="176"/>
      <c r="BV778" s="176"/>
      <c r="BW778" s="176"/>
      <c r="BX778" s="183"/>
    </row>
    <row r="779" spans="1:81" s="178" customFormat="1" ht="13.9" customHeight="1">
      <c r="A779" s="229"/>
      <c r="B779" s="238"/>
      <c r="C779" s="231"/>
      <c r="D779" s="231"/>
      <c r="E779" s="238"/>
      <c r="F779" s="238"/>
      <c r="G779" s="244"/>
      <c r="H779" s="247"/>
      <c r="I779" s="175" t="s">
        <v>402</v>
      </c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  <c r="AA779" s="176"/>
      <c r="AB779" s="176"/>
      <c r="AC779" s="176"/>
      <c r="AD779" s="176"/>
      <c r="AE779" s="176"/>
      <c r="AF779" s="176"/>
      <c r="AG779" s="176"/>
      <c r="AH779" s="176"/>
      <c r="AI779" s="176"/>
      <c r="AJ779" s="176"/>
      <c r="AK779" s="176"/>
      <c r="AL779" s="176"/>
      <c r="AM779" s="176"/>
      <c r="AN779" s="176"/>
      <c r="AO779" s="176"/>
      <c r="AP779" s="176"/>
      <c r="AQ779" s="176"/>
      <c r="AR779" s="176"/>
      <c r="AS779" s="176"/>
      <c r="AT779" s="176"/>
      <c r="AU779" s="176"/>
      <c r="AV779" s="176"/>
      <c r="AW779" s="176"/>
      <c r="AX779" s="176"/>
      <c r="AY779" s="176"/>
      <c r="AZ779" s="176"/>
      <c r="BA779" s="176"/>
      <c r="BB779" s="176">
        <f>98.42+393.69</f>
        <v>492.11</v>
      </c>
      <c r="BC779" s="176"/>
      <c r="BD779" s="176"/>
      <c r="BE779" s="176"/>
      <c r="BF779" s="176"/>
      <c r="BG779" s="183"/>
      <c r="BH779" s="183"/>
      <c r="BI779" s="183"/>
      <c r="BJ779" s="183"/>
      <c r="BK779" s="176"/>
      <c r="BL779" s="176"/>
      <c r="BM779" s="176"/>
      <c r="BN779" s="176"/>
      <c r="BO779" s="176"/>
      <c r="BP779" s="176"/>
      <c r="BQ779" s="176"/>
      <c r="BR779" s="176"/>
      <c r="BS779" s="176"/>
      <c r="BT779" s="176"/>
      <c r="BU779" s="176"/>
      <c r="BV779" s="176"/>
      <c r="BW779" s="176"/>
      <c r="BX779" s="183"/>
    </row>
    <row r="780" spans="1:81" s="178" customFormat="1">
      <c r="A780" s="229"/>
      <c r="B780" s="238"/>
      <c r="C780" s="231"/>
      <c r="D780" s="231"/>
      <c r="E780" s="238"/>
      <c r="F780" s="238"/>
      <c r="G780" s="244"/>
      <c r="H780" s="247"/>
      <c r="I780" s="175" t="s">
        <v>353</v>
      </c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  <c r="AA780" s="176"/>
      <c r="AB780" s="176"/>
      <c r="AC780" s="176"/>
      <c r="AD780" s="176"/>
      <c r="AE780" s="176"/>
      <c r="AF780" s="176"/>
      <c r="AG780" s="176"/>
      <c r="AH780" s="176"/>
      <c r="AI780" s="176"/>
      <c r="AJ780" s="176"/>
      <c r="AK780" s="176"/>
      <c r="AL780" s="176"/>
      <c r="AM780" s="176"/>
      <c r="AN780" s="176"/>
      <c r="AO780" s="176"/>
      <c r="AP780" s="176"/>
      <c r="AQ780" s="176"/>
      <c r="AR780" s="176"/>
      <c r="AS780" s="176"/>
      <c r="AT780" s="176"/>
      <c r="AU780" s="176"/>
      <c r="AV780" s="176"/>
      <c r="AW780" s="176"/>
      <c r="AX780" s="176"/>
      <c r="AY780" s="176"/>
      <c r="AZ780" s="176"/>
      <c r="BA780" s="176"/>
      <c r="BB780" s="176"/>
      <c r="BC780" s="176"/>
      <c r="BD780" s="176"/>
      <c r="BE780" s="176"/>
      <c r="BG780" s="183"/>
      <c r="BH780" s="183"/>
      <c r="BI780" s="183"/>
      <c r="BJ780" s="183"/>
      <c r="BK780" s="176"/>
      <c r="BL780" s="176"/>
      <c r="BM780" s="176"/>
      <c r="BN780" s="176"/>
      <c r="BO780" s="176"/>
      <c r="BP780" s="176"/>
      <c r="BQ780" s="176"/>
      <c r="BR780" s="176"/>
      <c r="BS780" s="176"/>
      <c r="BT780" s="176"/>
      <c r="BU780" s="176"/>
      <c r="BV780" s="176"/>
      <c r="BW780" s="176">
        <f>106.62+533.12</f>
        <v>639.74</v>
      </c>
      <c r="BX780" s="183"/>
    </row>
    <row r="781" spans="1:81" s="178" customFormat="1">
      <c r="A781" s="229"/>
      <c r="B781" s="238"/>
      <c r="C781" s="231"/>
      <c r="D781" s="231"/>
      <c r="E781" s="238"/>
      <c r="F781" s="238"/>
      <c r="G781" s="244"/>
      <c r="H781" s="247"/>
      <c r="I781" s="175" t="s">
        <v>354</v>
      </c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  <c r="AA781" s="176"/>
      <c r="AB781" s="176"/>
      <c r="AC781" s="176"/>
      <c r="AD781" s="176"/>
      <c r="AE781" s="176"/>
      <c r="AF781" s="176"/>
      <c r="AG781" s="176"/>
      <c r="AH781" s="176"/>
      <c r="AI781" s="176"/>
      <c r="AJ781" s="176"/>
      <c r="AK781" s="176"/>
      <c r="AL781" s="176"/>
      <c r="AM781" s="176"/>
      <c r="AN781" s="176"/>
      <c r="AO781" s="176"/>
      <c r="AP781" s="176"/>
      <c r="AQ781" s="176"/>
      <c r="AR781" s="176"/>
      <c r="AS781" s="176"/>
      <c r="AT781" s="176"/>
      <c r="AU781" s="176"/>
      <c r="AV781" s="176"/>
      <c r="AW781" s="176"/>
      <c r="AX781" s="176"/>
      <c r="AY781" s="176"/>
      <c r="AZ781" s="176"/>
      <c r="BA781" s="176"/>
      <c r="BB781" s="176"/>
      <c r="BC781" s="176"/>
      <c r="BD781" s="176"/>
      <c r="BE781" s="176"/>
      <c r="BF781" s="176"/>
      <c r="BG781" s="183"/>
      <c r="BH781" s="183"/>
      <c r="BI781" s="183"/>
      <c r="BJ781" s="183"/>
      <c r="BK781" s="176"/>
      <c r="BL781" s="176"/>
      <c r="BM781" s="176"/>
      <c r="BN781" s="176"/>
      <c r="BO781" s="176"/>
      <c r="BP781" s="176"/>
      <c r="BQ781" s="176"/>
      <c r="BR781" s="176"/>
      <c r="BS781" s="176"/>
      <c r="BT781" s="176"/>
      <c r="BU781" s="176"/>
      <c r="BV781" s="176"/>
      <c r="BW781" s="176"/>
      <c r="BX781" s="183"/>
    </row>
    <row r="782" spans="1:81" s="178" customFormat="1">
      <c r="A782" s="229"/>
      <c r="B782" s="238"/>
      <c r="C782" s="231"/>
      <c r="D782" s="231"/>
      <c r="E782" s="238"/>
      <c r="F782" s="238"/>
      <c r="G782" s="244"/>
      <c r="H782" s="247"/>
      <c r="I782" s="175" t="s">
        <v>403</v>
      </c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  <c r="AA782" s="176"/>
      <c r="AB782" s="176"/>
      <c r="AC782" s="176"/>
      <c r="AD782" s="176"/>
      <c r="AE782" s="176"/>
      <c r="AF782" s="176"/>
      <c r="AG782" s="176"/>
      <c r="AH782" s="176"/>
      <c r="AI782" s="176"/>
      <c r="AJ782" s="176"/>
      <c r="AK782" s="176"/>
      <c r="AL782" s="176"/>
      <c r="AM782" s="176"/>
      <c r="AN782" s="176"/>
      <c r="AO782" s="176"/>
      <c r="AP782" s="176"/>
      <c r="AQ782" s="176"/>
      <c r="AR782" s="176"/>
      <c r="AS782" s="176"/>
      <c r="AT782" s="176"/>
      <c r="AU782" s="176"/>
      <c r="AV782" s="176"/>
      <c r="AW782" s="176"/>
      <c r="AX782" s="176">
        <v>9.6</v>
      </c>
      <c r="AY782" s="176">
        <v>700</v>
      </c>
      <c r="AZ782" s="176">
        <v>819.6</v>
      </c>
      <c r="BA782" s="176">
        <v>819.6</v>
      </c>
      <c r="BB782" s="176">
        <v>819.6</v>
      </c>
      <c r="BC782" s="176">
        <v>819.6</v>
      </c>
      <c r="BD782" s="176">
        <v>819.6</v>
      </c>
      <c r="BE782" s="176">
        <v>819.6</v>
      </c>
      <c r="BF782" s="176">
        <v>819.6</v>
      </c>
      <c r="BG782" s="176">
        <v>819.6</v>
      </c>
      <c r="BH782" s="183">
        <v>819.6</v>
      </c>
      <c r="BI782" s="183">
        <v>819.6</v>
      </c>
      <c r="BJ782" s="183">
        <v>800.4</v>
      </c>
      <c r="BK782" s="176">
        <v>813.41</v>
      </c>
      <c r="BL782" s="176">
        <v>822</v>
      </c>
      <c r="BM782" s="176">
        <v>822</v>
      </c>
      <c r="BN782" s="176">
        <v>822</v>
      </c>
      <c r="BO782" s="176">
        <f>500+273</f>
        <v>773</v>
      </c>
      <c r="BP782" s="176">
        <f>570+262.5</f>
        <v>832.5</v>
      </c>
      <c r="BQ782" s="176">
        <f>570+273</f>
        <v>843</v>
      </c>
      <c r="BR782" s="176">
        <f>570+283.5</f>
        <v>853.5</v>
      </c>
      <c r="BS782" s="176">
        <f>570+241.5</f>
        <v>811.5</v>
      </c>
      <c r="BT782" s="176">
        <v>811.5</v>
      </c>
      <c r="BU782" s="176">
        <f>570+273</f>
        <v>843</v>
      </c>
      <c r="BV782" s="176">
        <f>252+570</f>
        <v>822</v>
      </c>
      <c r="BW782" s="176">
        <f>273+570</f>
        <v>843</v>
      </c>
      <c r="BX782" s="183"/>
    </row>
    <row r="783" spans="1:81" s="178" customFormat="1">
      <c r="A783" s="229"/>
      <c r="B783" s="238"/>
      <c r="C783" s="231"/>
      <c r="D783" s="231"/>
      <c r="E783" s="238"/>
      <c r="F783" s="238"/>
      <c r="G783" s="244"/>
      <c r="H783" s="247"/>
      <c r="I783" s="175" t="s">
        <v>404</v>
      </c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  <c r="AA783" s="176"/>
      <c r="AB783" s="176"/>
      <c r="AC783" s="176"/>
      <c r="AD783" s="176"/>
      <c r="AE783" s="176"/>
      <c r="AF783" s="176"/>
      <c r="AG783" s="176"/>
      <c r="AH783" s="176"/>
      <c r="AI783" s="176"/>
      <c r="AJ783" s="176"/>
      <c r="AK783" s="176"/>
      <c r="AL783" s="176"/>
      <c r="AM783" s="176"/>
      <c r="AN783" s="176"/>
      <c r="AO783" s="176"/>
      <c r="AP783" s="176"/>
      <c r="AQ783" s="176"/>
      <c r="AR783" s="176"/>
      <c r="AS783" s="176"/>
      <c r="AT783" s="176"/>
      <c r="AU783" s="176"/>
      <c r="AV783" s="176"/>
      <c r="AW783" s="176"/>
      <c r="AX783" s="186"/>
      <c r="AY783" s="186"/>
      <c r="AZ783" s="186" t="s">
        <v>405</v>
      </c>
      <c r="BA783" s="186" t="s">
        <v>405</v>
      </c>
      <c r="BB783" s="186"/>
      <c r="BC783" s="186"/>
      <c r="BD783" s="186"/>
      <c r="BE783" s="186"/>
      <c r="BF783" s="186"/>
      <c r="BG783" s="183"/>
      <c r="BH783" s="183"/>
      <c r="BI783" s="183"/>
      <c r="BJ783" s="183"/>
      <c r="BK783" s="176"/>
      <c r="BL783" s="176"/>
      <c r="BM783" s="176"/>
      <c r="BN783" s="176"/>
      <c r="BO783" s="176"/>
      <c r="BP783" s="176"/>
      <c r="BQ783" s="176"/>
      <c r="BR783" s="176"/>
      <c r="BS783" s="176"/>
      <c r="BT783" s="176"/>
      <c r="BU783" s="176"/>
      <c r="BV783" s="176"/>
      <c r="BW783" s="176"/>
      <c r="BX783" s="183"/>
    </row>
    <row r="784" spans="1:81" s="189" customFormat="1">
      <c r="A784" s="229"/>
      <c r="B784" s="238"/>
      <c r="C784" s="231"/>
      <c r="D784" s="231"/>
      <c r="E784" s="238"/>
      <c r="F784" s="238"/>
      <c r="G784" s="244"/>
      <c r="H784" s="247"/>
      <c r="I784" s="184" t="s">
        <v>362</v>
      </c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6"/>
      <c r="U784" s="185"/>
      <c r="V784" s="185"/>
      <c r="W784" s="186"/>
      <c r="X784" s="185"/>
      <c r="Y784" s="185"/>
      <c r="Z784" s="186"/>
      <c r="AA784" s="186"/>
      <c r="AB784" s="186"/>
      <c r="AC784" s="186"/>
      <c r="AD784" s="186"/>
      <c r="AE784" s="186"/>
      <c r="AF784" s="186"/>
      <c r="AG784" s="186"/>
      <c r="AH784" s="186"/>
      <c r="AI784" s="186"/>
      <c r="AJ784" s="186"/>
      <c r="AK784" s="186"/>
      <c r="AL784" s="186"/>
      <c r="AM784" s="186"/>
      <c r="AN784" s="186"/>
      <c r="AO784" s="186"/>
      <c r="AP784" s="186"/>
      <c r="AQ784" s="186"/>
      <c r="AR784" s="186"/>
      <c r="AS784" s="186"/>
      <c r="AT784" s="186"/>
      <c r="AU784" s="186"/>
      <c r="AV784" s="186"/>
      <c r="AW784" s="186"/>
      <c r="AX784" s="176"/>
      <c r="AY784" s="176"/>
      <c r="AZ784" s="176"/>
      <c r="BA784" s="176"/>
      <c r="BB784" s="176"/>
      <c r="BC784" s="176"/>
      <c r="BD784" s="176"/>
      <c r="BE784" s="176"/>
      <c r="BF784" s="176"/>
      <c r="BG784" s="196"/>
      <c r="BH784" s="196"/>
      <c r="BI784" s="196"/>
      <c r="BJ784" s="196"/>
      <c r="BK784" s="185"/>
      <c r="BL784" s="185"/>
      <c r="BM784" s="185"/>
      <c r="BN784" s="185"/>
      <c r="BO784" s="185"/>
      <c r="BP784" s="185"/>
      <c r="BQ784" s="185"/>
      <c r="BR784" s="185"/>
      <c r="BS784" s="185"/>
      <c r="BT784" s="185"/>
      <c r="BU784" s="185"/>
      <c r="BV784" s="185"/>
      <c r="BW784" s="185"/>
      <c r="BX784" s="196"/>
    </row>
    <row r="785" spans="1:79" s="178" customFormat="1">
      <c r="A785" s="229"/>
      <c r="B785" s="238"/>
      <c r="C785" s="231"/>
      <c r="D785" s="231"/>
      <c r="E785" s="238"/>
      <c r="F785" s="238"/>
      <c r="G785" s="244"/>
      <c r="H785" s="247"/>
      <c r="I785" s="190" t="s">
        <v>363</v>
      </c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  <c r="AA785" s="176"/>
      <c r="AB785" s="176"/>
      <c r="AC785" s="176"/>
      <c r="AD785" s="176"/>
      <c r="AE785" s="176"/>
      <c r="AF785" s="176"/>
      <c r="AG785" s="176"/>
      <c r="AH785" s="176"/>
      <c r="AI785" s="176"/>
      <c r="AJ785" s="176"/>
      <c r="AK785" s="176"/>
      <c r="AL785" s="176"/>
      <c r="AM785" s="176"/>
      <c r="AN785" s="176"/>
      <c r="AO785" s="176"/>
      <c r="AP785" s="176"/>
      <c r="AQ785" s="176"/>
      <c r="AR785" s="176"/>
      <c r="AS785" s="176"/>
      <c r="AT785" s="176"/>
      <c r="AU785" s="176"/>
      <c r="AV785" s="176"/>
      <c r="AW785" s="176"/>
      <c r="AX785" s="183"/>
      <c r="AY785" s="183"/>
      <c r="AZ785" s="183"/>
      <c r="BA785" s="183"/>
      <c r="BB785" s="183"/>
      <c r="BC785" s="183"/>
      <c r="BD785" s="183"/>
      <c r="BE785" s="183"/>
      <c r="BF785" s="183"/>
      <c r="BG785" s="183"/>
      <c r="BH785" s="183"/>
      <c r="BI785" s="183"/>
      <c r="BJ785" s="183"/>
      <c r="BK785" s="191"/>
      <c r="BL785" s="191"/>
      <c r="BM785" s="191"/>
      <c r="BN785" s="191"/>
      <c r="BO785" s="191"/>
      <c r="BP785" s="191"/>
      <c r="BQ785" s="191"/>
      <c r="BR785" s="191"/>
      <c r="BS785" s="191"/>
      <c r="BT785" s="191"/>
      <c r="BU785" s="191"/>
      <c r="BV785" s="191"/>
      <c r="BW785" s="191"/>
      <c r="BX785" s="183"/>
    </row>
    <row r="786" spans="1:79" s="178" customFormat="1">
      <c r="A786" s="229"/>
      <c r="B786" s="238"/>
      <c r="C786" s="231"/>
      <c r="D786" s="231"/>
      <c r="E786" s="238"/>
      <c r="F786" s="238"/>
      <c r="G786" s="244"/>
      <c r="H786" s="247"/>
      <c r="I786" s="193" t="s">
        <v>373</v>
      </c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  <c r="AA786" s="176"/>
      <c r="AB786" s="176"/>
      <c r="AC786" s="176"/>
      <c r="AD786" s="176"/>
      <c r="AE786" s="176"/>
      <c r="AF786" s="176"/>
      <c r="AG786" s="176"/>
      <c r="AH786" s="176"/>
      <c r="AI786" s="176"/>
      <c r="AJ786" s="176"/>
      <c r="AK786" s="176"/>
      <c r="AL786" s="176"/>
      <c r="AM786" s="176"/>
      <c r="AN786" s="176"/>
      <c r="AO786" s="176"/>
      <c r="AP786" s="176"/>
      <c r="AQ786" s="176"/>
      <c r="AR786" s="176"/>
      <c r="AS786" s="176"/>
      <c r="AT786" s="176"/>
      <c r="AU786" s="176"/>
      <c r="AV786" s="176"/>
      <c r="AW786" s="176"/>
      <c r="AX786" s="176">
        <v>9.86</v>
      </c>
      <c r="AY786" s="176">
        <v>150.07</v>
      </c>
      <c r="AZ786" s="176">
        <v>243.48</v>
      </c>
      <c r="BA786" s="176">
        <v>243.48</v>
      </c>
      <c r="BB786" s="176">
        <v>930.32</v>
      </c>
      <c r="BC786" s="176">
        <v>243.48</v>
      </c>
      <c r="BD786" s="176">
        <v>243.48</v>
      </c>
      <c r="BE786" s="176">
        <v>243.48</v>
      </c>
      <c r="BF786" s="176">
        <v>243.48</v>
      </c>
      <c r="BG786" s="183"/>
      <c r="BH786" s="183">
        <v>734.08</v>
      </c>
      <c r="BI786" s="183">
        <v>732.39</v>
      </c>
      <c r="BJ786" s="183">
        <v>885.76</v>
      </c>
      <c r="BK786" s="176">
        <v>885.76</v>
      </c>
      <c r="BL786" s="176">
        <v>885.76</v>
      </c>
      <c r="BM786" s="176">
        <v>885.76</v>
      </c>
      <c r="BN786" s="176">
        <v>885.76</v>
      </c>
      <c r="BO786" s="176">
        <v>885.76</v>
      </c>
      <c r="BP786" s="176">
        <v>885.76</v>
      </c>
      <c r="BQ786" s="176">
        <v>885.76</v>
      </c>
      <c r="BR786" s="176">
        <v>885.76</v>
      </c>
      <c r="BS786" s="176">
        <v>976.81</v>
      </c>
      <c r="BT786" s="176">
        <v>939.86</v>
      </c>
      <c r="BU786" s="176">
        <f>993.07-739.92</f>
        <v>253.15000000000009</v>
      </c>
      <c r="BV786" s="176">
        <v>253.15</v>
      </c>
      <c r="BW786" s="176">
        <f>1050.64-739.92</f>
        <v>310.72000000000014</v>
      </c>
      <c r="BX786" s="183"/>
    </row>
    <row r="787" spans="1:79" s="191" customFormat="1">
      <c r="A787" s="229"/>
      <c r="B787" s="239"/>
      <c r="C787" s="232"/>
      <c r="D787" s="232"/>
      <c r="E787" s="239"/>
      <c r="F787" s="239"/>
      <c r="G787" s="245"/>
      <c r="H787" s="248"/>
      <c r="I787" s="176"/>
      <c r="J787" s="176">
        <f t="shared" ref="J787:AD787" si="390">SUM(P774:P785)-J786</f>
        <v>0</v>
      </c>
      <c r="K787" s="176">
        <f t="shared" si="390"/>
        <v>0</v>
      </c>
      <c r="L787" s="176">
        <f t="shared" si="390"/>
        <v>0</v>
      </c>
      <c r="M787" s="176">
        <f t="shared" si="390"/>
        <v>0</v>
      </c>
      <c r="N787" s="176">
        <f t="shared" si="390"/>
        <v>0</v>
      </c>
      <c r="O787" s="176">
        <f t="shared" si="390"/>
        <v>0</v>
      </c>
      <c r="P787" s="176">
        <f t="shared" si="390"/>
        <v>0</v>
      </c>
      <c r="Q787" s="176">
        <f t="shared" si="390"/>
        <v>0</v>
      </c>
      <c r="R787" s="176">
        <f t="shared" si="390"/>
        <v>0</v>
      </c>
      <c r="S787" s="176">
        <f t="shared" si="390"/>
        <v>0</v>
      </c>
      <c r="T787" s="176">
        <f t="shared" si="390"/>
        <v>0</v>
      </c>
      <c r="U787" s="176">
        <f t="shared" si="390"/>
        <v>0</v>
      </c>
      <c r="V787" s="176">
        <f t="shared" si="390"/>
        <v>0</v>
      </c>
      <c r="W787" s="176">
        <f t="shared" si="390"/>
        <v>0</v>
      </c>
      <c r="X787" s="176">
        <f t="shared" si="390"/>
        <v>0</v>
      </c>
      <c r="Y787" s="176">
        <f t="shared" si="390"/>
        <v>0</v>
      </c>
      <c r="Z787" s="176">
        <f t="shared" si="390"/>
        <v>0</v>
      </c>
      <c r="AA787" s="176">
        <f t="shared" si="390"/>
        <v>0</v>
      </c>
      <c r="AB787" s="176">
        <f t="shared" si="390"/>
        <v>0</v>
      </c>
      <c r="AC787" s="176">
        <f t="shared" si="390"/>
        <v>0</v>
      </c>
      <c r="AD787" s="176">
        <f t="shared" si="390"/>
        <v>0</v>
      </c>
      <c r="AE787" s="176">
        <f>AK776+AK782+AK778+AK777-AE786</f>
        <v>0</v>
      </c>
      <c r="AF787" s="176">
        <f>SUM(AL774:AL785)-AF786</f>
        <v>0</v>
      </c>
      <c r="AG787" s="176">
        <f>SUM(AM774:AM785)-AG786</f>
        <v>0</v>
      </c>
      <c r="AH787" s="176">
        <f t="shared" ref="AH787:AM787" si="391">SUM(AN774:AN776)-AH786</f>
        <v>0</v>
      </c>
      <c r="AI787" s="176">
        <f t="shared" si="391"/>
        <v>0</v>
      </c>
      <c r="AJ787" s="176">
        <f t="shared" si="391"/>
        <v>0</v>
      </c>
      <c r="AK787" s="176">
        <f t="shared" si="391"/>
        <v>0</v>
      </c>
      <c r="AL787" s="176">
        <f t="shared" si="391"/>
        <v>0</v>
      </c>
      <c r="AM787" s="176">
        <f t="shared" si="391"/>
        <v>0</v>
      </c>
      <c r="AN787" s="176">
        <f>SUM(AT774:AT785)-AN786</f>
        <v>0</v>
      </c>
      <c r="AO787" s="176">
        <f>SUM(AU774:AU785)-AO786</f>
        <v>0</v>
      </c>
      <c r="AP787" s="176">
        <f>SUM(AV774:AV785)-AP786</f>
        <v>0</v>
      </c>
      <c r="AQ787" s="176">
        <f>SUM(AW774:AW785)-AQ786</f>
        <v>0</v>
      </c>
      <c r="AR787" s="176">
        <f>AR777+AR778+AX775+AR780+AR783-AR786</f>
        <v>0</v>
      </c>
      <c r="AS787" s="176"/>
      <c r="AT787" s="176"/>
      <c r="AU787" s="176"/>
      <c r="AV787" s="176"/>
      <c r="AW787" s="176"/>
      <c r="AX787" s="176">
        <f t="shared" ref="AX787:BE787" si="392">AX776+AX777+AX782-AX786</f>
        <v>103.53</v>
      </c>
      <c r="AY787" s="176">
        <f t="shared" si="392"/>
        <v>2106.71</v>
      </c>
      <c r="AZ787" s="176">
        <f t="shared" si="392"/>
        <v>2132.9</v>
      </c>
      <c r="BA787" s="176">
        <f t="shared" si="392"/>
        <v>2132.9</v>
      </c>
      <c r="BB787" s="176">
        <f t="shared" si="392"/>
        <v>1486.06</v>
      </c>
      <c r="BC787" s="176">
        <f t="shared" si="392"/>
        <v>2132.9</v>
      </c>
      <c r="BD787" s="176">
        <f t="shared" si="392"/>
        <v>2132.9</v>
      </c>
      <c r="BE787" s="176">
        <f t="shared" si="392"/>
        <v>2132.9</v>
      </c>
      <c r="BF787" s="176">
        <f>BF776+BF777+BF782-BF786+BK779</f>
        <v>2132.9</v>
      </c>
      <c r="BG787" s="176"/>
      <c r="BH787" s="176">
        <f>BH776+BH777+BH782-BH786</f>
        <v>2236.2799999999997</v>
      </c>
      <c r="BI787" s="176">
        <f t="shared" ref="BI787:BJ787" si="393">BI776+BI777+BI782-BI786</f>
        <v>2391.2399999999998</v>
      </c>
      <c r="BJ787" s="176">
        <f t="shared" si="393"/>
        <v>2218.67</v>
      </c>
      <c r="BK787" s="176">
        <f t="shared" ref="BK787:BP787" si="394">BK776+BK777+BK779-BK786+BK782</f>
        <v>2231.6799999999998</v>
      </c>
      <c r="BL787" s="176">
        <f t="shared" si="394"/>
        <v>2240.2699999999995</v>
      </c>
      <c r="BM787" s="176">
        <f t="shared" si="394"/>
        <v>2240.2699999999995</v>
      </c>
      <c r="BN787" s="176">
        <f t="shared" si="394"/>
        <v>2240.2699999999995</v>
      </c>
      <c r="BO787" s="176">
        <f t="shared" si="394"/>
        <v>2191.2699999999995</v>
      </c>
      <c r="BP787" s="176">
        <f t="shared" si="394"/>
        <v>2419.2600000000002</v>
      </c>
      <c r="BQ787" s="176">
        <f t="shared" ref="BQ787:BT787" si="395">BQ776+BQ777+BQ779-BQ786+BQ782</f>
        <v>2429.7600000000002</v>
      </c>
      <c r="BR787" s="176">
        <f t="shared" si="395"/>
        <v>2440.2600000000002</v>
      </c>
      <c r="BS787" s="176">
        <f t="shared" si="395"/>
        <v>3067.85</v>
      </c>
      <c r="BT787" s="176">
        <f t="shared" si="395"/>
        <v>3884.73</v>
      </c>
      <c r="BU787" s="176">
        <f t="shared" ref="BU787:BV787" si="396">BU776+BU777+BU779-BU786+BU782</f>
        <v>2439.66</v>
      </c>
      <c r="BV787" s="176">
        <f t="shared" si="396"/>
        <v>2418.66</v>
      </c>
      <c r="BW787" s="176">
        <f>BW776+BW780+BW782-BW786</f>
        <v>3021.83</v>
      </c>
      <c r="BX787" s="176">
        <f>SUM(AU787:BW787)</f>
        <v>56605.660000000018</v>
      </c>
    </row>
    <row r="788" spans="1:79" ht="15.6" customHeight="1">
      <c r="A788" s="148" t="s">
        <v>346</v>
      </c>
      <c r="B788" s="148" t="s">
        <v>347</v>
      </c>
      <c r="C788" s="145" t="s">
        <v>310</v>
      </c>
      <c r="D788" s="145" t="s">
        <v>311</v>
      </c>
      <c r="E788" s="148" t="s">
        <v>312</v>
      </c>
      <c r="F788" s="148" t="s">
        <v>348</v>
      </c>
      <c r="G788" s="145" t="s">
        <v>314</v>
      </c>
      <c r="H788" s="145" t="s">
        <v>315</v>
      </c>
      <c r="I788" s="145" t="s">
        <v>349</v>
      </c>
      <c r="J788" s="146">
        <v>44105</v>
      </c>
      <c r="K788" s="146">
        <v>44136</v>
      </c>
      <c r="L788" s="146">
        <v>44166</v>
      </c>
      <c r="M788" s="146">
        <v>44197</v>
      </c>
      <c r="N788" s="146">
        <v>44228</v>
      </c>
      <c r="O788" s="146">
        <v>44256</v>
      </c>
      <c r="P788" s="146">
        <v>44287</v>
      </c>
      <c r="Q788" s="146">
        <v>44317</v>
      </c>
      <c r="R788" s="146">
        <v>44348</v>
      </c>
      <c r="S788" s="146">
        <v>44378</v>
      </c>
      <c r="T788" s="146">
        <v>44409</v>
      </c>
      <c r="U788" s="146">
        <v>44440</v>
      </c>
      <c r="V788" s="146">
        <v>44470</v>
      </c>
      <c r="W788" s="146">
        <v>44501</v>
      </c>
      <c r="X788" s="146">
        <v>44531</v>
      </c>
      <c r="Y788" s="146">
        <v>44562</v>
      </c>
      <c r="Z788" s="146">
        <v>44593</v>
      </c>
      <c r="AA788" s="146">
        <v>44621</v>
      </c>
      <c r="AB788" s="146">
        <v>44652</v>
      </c>
      <c r="AC788" s="146">
        <v>44682</v>
      </c>
      <c r="AD788" s="146">
        <v>44713</v>
      </c>
      <c r="AE788" s="146">
        <v>44743</v>
      </c>
      <c r="AF788" s="146">
        <v>44774</v>
      </c>
      <c r="AG788" s="146">
        <v>44805</v>
      </c>
      <c r="AH788" s="146">
        <v>44835</v>
      </c>
      <c r="AI788" s="146">
        <v>44866</v>
      </c>
      <c r="AJ788" s="146">
        <v>44896</v>
      </c>
      <c r="AK788" s="146">
        <v>44927</v>
      </c>
      <c r="AL788" s="146">
        <v>44958</v>
      </c>
      <c r="AM788" s="146">
        <v>44986</v>
      </c>
      <c r="AN788" s="146">
        <v>45017</v>
      </c>
      <c r="AO788" s="146">
        <v>45047</v>
      </c>
      <c r="AP788" s="146">
        <v>45078</v>
      </c>
      <c r="AQ788" s="146">
        <v>45108</v>
      </c>
      <c r="AR788" s="146">
        <v>45139</v>
      </c>
      <c r="AS788" s="146">
        <v>45170</v>
      </c>
      <c r="AT788" s="146">
        <v>45200</v>
      </c>
      <c r="AU788" s="146">
        <v>45231</v>
      </c>
      <c r="AV788" s="146">
        <v>45261</v>
      </c>
      <c r="AW788" s="146">
        <v>45292</v>
      </c>
      <c r="AX788" s="146">
        <v>45323</v>
      </c>
      <c r="AY788" s="146">
        <v>45352</v>
      </c>
      <c r="AZ788" s="146">
        <v>45383</v>
      </c>
      <c r="BA788" s="146">
        <v>45413</v>
      </c>
      <c r="BB788" s="146">
        <v>45444</v>
      </c>
      <c r="BC788" s="146">
        <v>45474</v>
      </c>
      <c r="BD788" s="146">
        <v>45505</v>
      </c>
      <c r="BE788" s="146">
        <v>45536</v>
      </c>
      <c r="BF788" s="146">
        <v>45566</v>
      </c>
      <c r="BG788" s="146">
        <v>45597</v>
      </c>
      <c r="BH788" s="146">
        <v>45627</v>
      </c>
      <c r="BI788" s="146">
        <v>45658</v>
      </c>
      <c r="BJ788" s="146">
        <v>45689</v>
      </c>
      <c r="BK788" s="146">
        <v>45717</v>
      </c>
      <c r="BL788" s="146">
        <v>45748</v>
      </c>
      <c r="BM788" s="146">
        <v>45778</v>
      </c>
      <c r="BN788" s="146">
        <v>45809</v>
      </c>
      <c r="BO788" s="146">
        <v>45839</v>
      </c>
      <c r="BP788" s="146">
        <v>45870</v>
      </c>
      <c r="BQ788" s="146">
        <v>45901</v>
      </c>
      <c r="BR788" s="146">
        <v>45931</v>
      </c>
      <c r="BS788" s="146">
        <v>45962</v>
      </c>
      <c r="BT788" s="146">
        <v>45992</v>
      </c>
      <c r="BU788" s="146">
        <v>46023</v>
      </c>
      <c r="BV788" s="146">
        <v>46054</v>
      </c>
      <c r="BW788" s="146">
        <v>46082</v>
      </c>
      <c r="BX788" s="147" t="s">
        <v>13</v>
      </c>
      <c r="BY788" s="5"/>
      <c r="BZ788" s="5"/>
      <c r="CA788" s="5"/>
    </row>
    <row r="789" spans="1:79" s="107" customFormat="1" ht="15.75" customHeight="1">
      <c r="A789" s="249">
        <v>59</v>
      </c>
      <c r="B789" s="250" t="s">
        <v>129</v>
      </c>
      <c r="C789" s="253" t="s">
        <v>23</v>
      </c>
      <c r="D789" s="253" t="s">
        <v>119</v>
      </c>
      <c r="E789" s="250" t="s">
        <v>117</v>
      </c>
      <c r="F789" s="250" t="s">
        <v>117</v>
      </c>
      <c r="G789" s="256"/>
      <c r="H789" s="259"/>
      <c r="I789" s="106" t="s">
        <v>350</v>
      </c>
      <c r="J789" s="110"/>
      <c r="K789" s="110"/>
      <c r="L789" s="110"/>
      <c r="M789" s="110"/>
      <c r="N789" s="110"/>
      <c r="O789" s="110"/>
      <c r="P789" s="110"/>
      <c r="Q789" s="110"/>
      <c r="R789" s="110"/>
      <c r="S789" s="105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  <c r="AS789" s="110"/>
      <c r="AT789" s="110"/>
      <c r="AU789" s="110"/>
      <c r="AV789" s="110"/>
      <c r="AW789" s="110"/>
      <c r="AX789" s="110"/>
      <c r="AY789" s="110"/>
      <c r="AZ789" s="110"/>
      <c r="BA789" s="110"/>
      <c r="BB789" s="110"/>
      <c r="BC789" s="110"/>
      <c r="BD789" s="110"/>
      <c r="BE789" s="110"/>
      <c r="BF789" s="110"/>
      <c r="BG789" s="112"/>
      <c r="BH789" s="171"/>
      <c r="BI789" s="112"/>
      <c r="BJ789" s="112"/>
      <c r="BK789" s="112"/>
      <c r="BL789" s="112"/>
      <c r="BM789" s="112"/>
      <c r="BN789" s="112"/>
      <c r="BO789" s="112"/>
      <c r="BP789" s="112"/>
      <c r="BQ789" s="112"/>
      <c r="BR789" s="112"/>
      <c r="BS789" s="112"/>
      <c r="BT789" s="112"/>
      <c r="BU789" s="112"/>
      <c r="BV789" s="112"/>
      <c r="BW789" s="112"/>
      <c r="BX789" s="112"/>
    </row>
    <row r="790" spans="1:79" s="107" customFormat="1" ht="15.75" customHeight="1">
      <c r="A790" s="249"/>
      <c r="B790" s="251"/>
      <c r="C790" s="254"/>
      <c r="D790" s="254"/>
      <c r="E790" s="251"/>
      <c r="F790" s="251"/>
      <c r="G790" s="257"/>
      <c r="H790" s="260"/>
      <c r="I790" s="106" t="s">
        <v>406</v>
      </c>
      <c r="J790" s="110"/>
      <c r="K790" s="110"/>
      <c r="L790" s="110"/>
      <c r="M790" s="110"/>
      <c r="N790" s="110"/>
      <c r="O790" s="110"/>
      <c r="P790" s="110"/>
      <c r="Q790" s="110"/>
      <c r="R790" s="105"/>
      <c r="S790" s="105"/>
      <c r="T790" s="110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5"/>
      <c r="BE790" s="105"/>
      <c r="BF790" s="105"/>
      <c r="BG790" s="112"/>
      <c r="BH790" s="171"/>
      <c r="BI790" s="112"/>
      <c r="BJ790" s="112"/>
      <c r="BK790" s="112"/>
      <c r="BL790" s="112"/>
      <c r="BM790" s="112"/>
      <c r="BN790" s="112"/>
      <c r="BO790" s="112"/>
      <c r="BP790" s="112"/>
      <c r="BQ790" s="112"/>
      <c r="BR790" s="112"/>
      <c r="BS790" s="112"/>
      <c r="BT790" s="112"/>
      <c r="BU790" s="112"/>
      <c r="BV790" s="112"/>
      <c r="BW790" s="112"/>
      <c r="BX790" s="112"/>
    </row>
    <row r="791" spans="1:79" s="107" customFormat="1" ht="15.75" customHeight="1">
      <c r="A791" s="249"/>
      <c r="B791" s="251"/>
      <c r="C791" s="254"/>
      <c r="D791" s="254"/>
      <c r="E791" s="251"/>
      <c r="F791" s="251"/>
      <c r="G791" s="257"/>
      <c r="H791" s="260"/>
      <c r="I791" s="106" t="s">
        <v>391</v>
      </c>
      <c r="J791" s="110"/>
      <c r="K791" s="110"/>
      <c r="L791" s="110"/>
      <c r="M791" s="110"/>
      <c r="N791" s="110"/>
      <c r="O791" s="110"/>
      <c r="P791" s="110"/>
      <c r="Q791" s="110"/>
      <c r="R791" s="110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05"/>
      <c r="AU791" s="105"/>
      <c r="AV791" s="105"/>
      <c r="AW791" s="105"/>
      <c r="AX791" s="105"/>
      <c r="AY791" s="105"/>
      <c r="AZ791" s="105"/>
      <c r="BA791" s="105"/>
      <c r="BB791" s="105"/>
      <c r="BC791" s="105"/>
      <c r="BD791" s="105"/>
      <c r="BE791" s="105"/>
      <c r="BF791" s="105"/>
      <c r="BG791" s="112"/>
      <c r="BH791" s="171"/>
      <c r="BI791" s="112"/>
      <c r="BJ791" s="112"/>
      <c r="BK791" s="112"/>
      <c r="BL791" s="112"/>
      <c r="BM791" s="112"/>
      <c r="BN791" s="112"/>
      <c r="BO791" s="112"/>
      <c r="BP791" s="112"/>
      <c r="BQ791" s="112"/>
      <c r="BR791" s="112"/>
      <c r="BS791" s="112"/>
      <c r="BT791" s="112"/>
      <c r="BU791" s="112"/>
      <c r="BV791" s="112"/>
      <c r="BW791" s="112"/>
      <c r="BX791" s="112"/>
    </row>
    <row r="792" spans="1:79" s="107" customFormat="1" ht="15.75" customHeight="1">
      <c r="A792" s="249"/>
      <c r="B792" s="251"/>
      <c r="C792" s="254"/>
      <c r="D792" s="254"/>
      <c r="E792" s="251"/>
      <c r="F792" s="251"/>
      <c r="G792" s="257"/>
      <c r="H792" s="260"/>
      <c r="I792" s="106" t="s">
        <v>351</v>
      </c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05"/>
      <c r="AU792" s="105"/>
      <c r="AV792" s="105"/>
      <c r="AW792" s="105">
        <v>934.07</v>
      </c>
      <c r="AX792" s="105">
        <v>934.07</v>
      </c>
      <c r="AY792" s="105">
        <v>934.07</v>
      </c>
      <c r="AZ792" s="105">
        <v>934.07</v>
      </c>
      <c r="BA792" s="105">
        <v>934.07</v>
      </c>
      <c r="BB792" s="105">
        <v>934.07</v>
      </c>
      <c r="BC792" s="105">
        <v>934.07</v>
      </c>
      <c r="BD792" s="105">
        <v>934.07</v>
      </c>
      <c r="BE792" s="105">
        <v>934.07</v>
      </c>
      <c r="BF792" s="105">
        <v>934.07</v>
      </c>
      <c r="BG792" s="105">
        <v>1618.32</v>
      </c>
      <c r="BH792" s="105">
        <v>1681.32</v>
      </c>
      <c r="BI792" s="105">
        <v>1681.32</v>
      </c>
      <c r="BJ792" s="105">
        <v>1681.32</v>
      </c>
      <c r="BK792" s="105">
        <v>1681.32</v>
      </c>
      <c r="BL792" s="105">
        <v>1681.32</v>
      </c>
      <c r="BM792" s="105">
        <v>1681.32</v>
      </c>
      <c r="BN792" s="105">
        <v>1681.32</v>
      </c>
      <c r="BO792" s="105">
        <v>1681.32</v>
      </c>
      <c r="BP792" s="105">
        <v>1849.81</v>
      </c>
      <c r="BQ792" s="105">
        <v>1890.91</v>
      </c>
      <c r="BR792" s="105">
        <v>1849.81</v>
      </c>
      <c r="BS792" s="105">
        <v>1954.77</v>
      </c>
      <c r="BT792" s="105">
        <f>1849.81+0.07</f>
        <v>1849.8799999999999</v>
      </c>
      <c r="BU792" s="105">
        <f>1849.81+0.07</f>
        <v>1849.8799999999999</v>
      </c>
      <c r="BV792" s="105"/>
      <c r="BW792" s="105"/>
      <c r="BX792" s="112"/>
    </row>
    <row r="793" spans="1:79" s="107" customFormat="1" ht="15.75" customHeight="1">
      <c r="A793" s="249"/>
      <c r="B793" s="251"/>
      <c r="C793" s="254"/>
      <c r="D793" s="254"/>
      <c r="E793" s="251"/>
      <c r="F793" s="251"/>
      <c r="G793" s="257"/>
      <c r="H793" s="260"/>
      <c r="I793" s="106" t="s">
        <v>401</v>
      </c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05"/>
      <c r="AU793" s="105"/>
      <c r="AV793" s="105"/>
      <c r="AW793" s="105">
        <v>622.71</v>
      </c>
      <c r="AX793" s="105">
        <v>622.71</v>
      </c>
      <c r="AY793" s="105">
        <v>622.71</v>
      </c>
      <c r="AZ793" s="105">
        <v>622.71</v>
      </c>
      <c r="BA793" s="105">
        <v>622.71</v>
      </c>
      <c r="BB793" s="105">
        <v>622.71</v>
      </c>
      <c r="BC793" s="105">
        <v>622.71</v>
      </c>
      <c r="BD793" s="105">
        <v>622.71</v>
      </c>
      <c r="BE793" s="105">
        <v>622.71</v>
      </c>
      <c r="BF793" s="105">
        <v>622.71</v>
      </c>
      <c r="BG793" s="105">
        <v>622.71</v>
      </c>
      <c r="BH793" s="105"/>
      <c r="BI793" s="105"/>
      <c r="BJ793" s="105"/>
      <c r="BK793" s="105"/>
      <c r="BL793" s="105"/>
      <c r="BM793" s="105"/>
      <c r="BN793" s="105"/>
      <c r="BO793" s="105"/>
      <c r="BP793" s="105"/>
      <c r="BQ793" s="105"/>
      <c r="BR793" s="105"/>
      <c r="BS793" s="105"/>
      <c r="BT793" s="105"/>
      <c r="BU793" s="105"/>
      <c r="BV793" s="105"/>
      <c r="BW793" s="105"/>
      <c r="BX793" s="112"/>
    </row>
    <row r="794" spans="1:79" s="107" customFormat="1" ht="15.75" customHeight="1">
      <c r="A794" s="249"/>
      <c r="B794" s="251"/>
      <c r="C794" s="254"/>
      <c r="D794" s="254"/>
      <c r="E794" s="251"/>
      <c r="F794" s="251"/>
      <c r="G794" s="257"/>
      <c r="H794" s="260"/>
      <c r="I794" s="106" t="s">
        <v>402</v>
      </c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5"/>
      <c r="BE794" s="105"/>
      <c r="BF794" s="105"/>
      <c r="BG794" s="105"/>
      <c r="BH794" s="105"/>
      <c r="BI794" s="105"/>
      <c r="BJ794" s="105"/>
      <c r="BK794" s="105"/>
      <c r="BL794" s="105"/>
      <c r="BM794" s="105"/>
      <c r="BN794" s="105"/>
      <c r="BO794" s="105"/>
      <c r="BP794" s="105"/>
      <c r="BQ794" s="105"/>
      <c r="BR794" s="105"/>
      <c r="BS794" s="105"/>
      <c r="BT794" s="105"/>
      <c r="BU794" s="105"/>
      <c r="BV794" s="105"/>
      <c r="BW794" s="105"/>
      <c r="BX794" s="112"/>
    </row>
    <row r="795" spans="1:79" s="107" customFormat="1" ht="15.75" customHeight="1">
      <c r="A795" s="249"/>
      <c r="B795" s="251"/>
      <c r="C795" s="254"/>
      <c r="D795" s="254"/>
      <c r="E795" s="251"/>
      <c r="F795" s="251"/>
      <c r="G795" s="257"/>
      <c r="H795" s="260"/>
      <c r="I795" s="106" t="s">
        <v>353</v>
      </c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105"/>
      <c r="BA795" s="105"/>
      <c r="BB795" s="105"/>
      <c r="BC795" s="105"/>
      <c r="BD795" s="105"/>
      <c r="BE795" s="105"/>
      <c r="BF795" s="105"/>
      <c r="BG795" s="105"/>
      <c r="BH795" s="105"/>
      <c r="BI795" s="105"/>
      <c r="BJ795" s="105"/>
      <c r="BK795" s="105"/>
      <c r="BL795" s="105"/>
      <c r="BM795" s="105"/>
      <c r="BN795" s="105"/>
      <c r="BO795" s="105"/>
      <c r="BP795" s="105"/>
      <c r="BQ795" s="105"/>
      <c r="BR795" s="105"/>
      <c r="BS795" s="105"/>
      <c r="BT795" s="105"/>
      <c r="BU795" s="105"/>
      <c r="BV795" s="105"/>
      <c r="BW795" s="105"/>
      <c r="BX795" s="112"/>
    </row>
    <row r="796" spans="1:79" s="107" customFormat="1" ht="15.75" customHeight="1">
      <c r="A796" s="249"/>
      <c r="B796" s="251"/>
      <c r="C796" s="254"/>
      <c r="D796" s="254"/>
      <c r="E796" s="251"/>
      <c r="F796" s="251"/>
      <c r="G796" s="257"/>
      <c r="H796" s="260"/>
      <c r="I796" s="106" t="s">
        <v>354</v>
      </c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5"/>
      <c r="BE796" s="105"/>
      <c r="BF796" s="105"/>
      <c r="BG796" s="105"/>
      <c r="BH796" s="105"/>
      <c r="BI796" s="105"/>
      <c r="BJ796" s="105"/>
      <c r="BK796" s="105"/>
      <c r="BL796" s="105"/>
      <c r="BM796" s="105"/>
      <c r="BN796" s="105"/>
      <c r="BO796" s="105"/>
      <c r="BP796" s="105"/>
      <c r="BQ796" s="105"/>
      <c r="BR796" s="105"/>
      <c r="BS796" s="105"/>
      <c r="BT796" s="105"/>
      <c r="BU796" s="105"/>
      <c r="BV796" s="105"/>
      <c r="BW796" s="105"/>
      <c r="BX796" s="112"/>
    </row>
    <row r="797" spans="1:79" s="107" customFormat="1" ht="15.75" customHeight="1">
      <c r="A797" s="249"/>
      <c r="B797" s="251"/>
      <c r="C797" s="254"/>
      <c r="D797" s="254"/>
      <c r="E797" s="251"/>
      <c r="F797" s="251"/>
      <c r="G797" s="257"/>
      <c r="H797" s="260"/>
      <c r="I797" s="106" t="s">
        <v>403</v>
      </c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05"/>
      <c r="AU797" s="105"/>
      <c r="AV797" s="105"/>
      <c r="AW797" s="105"/>
      <c r="AX797" s="105"/>
      <c r="AY797" s="105"/>
      <c r="AZ797" s="105"/>
      <c r="BA797" s="105"/>
      <c r="BB797" s="105"/>
      <c r="BC797" s="105"/>
      <c r="BD797" s="105"/>
      <c r="BE797" s="105"/>
      <c r="BF797" s="105"/>
      <c r="BG797" s="105"/>
      <c r="BH797" s="105"/>
      <c r="BI797" s="105"/>
      <c r="BJ797" s="105"/>
      <c r="BK797" s="105"/>
      <c r="BL797" s="105"/>
      <c r="BM797" s="105"/>
      <c r="BN797" s="105"/>
      <c r="BO797" s="105"/>
      <c r="BP797" s="105"/>
      <c r="BQ797" s="105"/>
      <c r="BR797" s="105"/>
      <c r="BS797" s="105"/>
      <c r="BT797" s="105"/>
      <c r="BU797" s="105"/>
      <c r="BV797" s="105"/>
      <c r="BW797" s="105"/>
      <c r="BX797" s="112"/>
    </row>
    <row r="798" spans="1:79" s="107" customFormat="1" ht="15.75" customHeight="1">
      <c r="A798" s="249"/>
      <c r="B798" s="251"/>
      <c r="C798" s="254"/>
      <c r="D798" s="254"/>
      <c r="E798" s="251"/>
      <c r="F798" s="251"/>
      <c r="G798" s="257"/>
      <c r="H798" s="260"/>
      <c r="I798" s="106" t="s">
        <v>404</v>
      </c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05"/>
      <c r="AU798" s="105"/>
      <c r="AV798" s="105"/>
      <c r="AW798" s="105">
        <v>572</v>
      </c>
      <c r="AX798" s="105">
        <v>572</v>
      </c>
      <c r="AY798" s="105">
        <v>572</v>
      </c>
      <c r="AZ798" s="105">
        <v>572</v>
      </c>
      <c r="BA798" s="105">
        <v>572</v>
      </c>
      <c r="BB798" s="105">
        <v>572</v>
      </c>
      <c r="BC798" s="105">
        <v>572</v>
      </c>
      <c r="BD798" s="105">
        <v>572</v>
      </c>
      <c r="BE798" s="105">
        <v>572</v>
      </c>
      <c r="BF798" s="105">
        <v>572</v>
      </c>
      <c r="BG798" s="105">
        <v>572</v>
      </c>
      <c r="BH798" s="105">
        <v>572</v>
      </c>
      <c r="BI798" s="111">
        <v>572</v>
      </c>
      <c r="BJ798" s="105">
        <v>596</v>
      </c>
      <c r="BK798" s="105">
        <v>619</v>
      </c>
      <c r="BL798" s="105">
        <v>596</v>
      </c>
      <c r="BM798" s="105">
        <v>596</v>
      </c>
      <c r="BN798" s="105">
        <v>596</v>
      </c>
      <c r="BO798" s="105">
        <v>619</v>
      </c>
      <c r="BP798" s="105">
        <f>320+22.5</f>
        <v>342.5</v>
      </c>
      <c r="BQ798" s="105">
        <v>618</v>
      </c>
      <c r="BR798" s="105">
        <v>630.5</v>
      </c>
      <c r="BS798" s="105">
        <v>584</v>
      </c>
      <c r="BT798" s="105">
        <v>584</v>
      </c>
      <c r="BU798" s="105">
        <v>584</v>
      </c>
      <c r="BV798" s="105"/>
      <c r="BW798" s="105"/>
      <c r="BX798" s="112"/>
    </row>
    <row r="799" spans="1:79" s="107" customFormat="1" ht="15.75" customHeight="1">
      <c r="A799" s="249"/>
      <c r="B799" s="251"/>
      <c r="C799" s="254"/>
      <c r="D799" s="254"/>
      <c r="E799" s="251"/>
      <c r="F799" s="251"/>
      <c r="G799" s="257"/>
      <c r="H799" s="260"/>
      <c r="I799" s="131" t="s">
        <v>362</v>
      </c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1"/>
      <c r="V799" s="113"/>
      <c r="W799" s="113"/>
      <c r="X799" s="111"/>
      <c r="Y799" s="113"/>
      <c r="Z799" s="113"/>
      <c r="AA799" s="111"/>
      <c r="AB799" s="111"/>
      <c r="AC799" s="111"/>
      <c r="AD799" s="111"/>
      <c r="AE799" s="111"/>
      <c r="AF799" s="111"/>
      <c r="AG799" s="111"/>
      <c r="AH799" s="111"/>
      <c r="AI799" s="111"/>
      <c r="AJ799" s="111"/>
      <c r="AK799" s="111"/>
      <c r="AL799" s="111"/>
      <c r="AM799" s="111"/>
      <c r="AN799" s="111"/>
      <c r="AO799" s="111"/>
      <c r="AP799" s="111"/>
      <c r="AQ799" s="111"/>
      <c r="AR799" s="111"/>
      <c r="AS799" s="111"/>
      <c r="AT799" s="111"/>
      <c r="AU799" s="111"/>
      <c r="AV799" s="111"/>
      <c r="AW799" s="111"/>
      <c r="AX799" s="111"/>
      <c r="AY799" s="111"/>
      <c r="AZ799" s="111"/>
      <c r="BA799" s="111"/>
      <c r="BB799" s="111"/>
      <c r="BC799" s="111"/>
      <c r="BD799" s="111"/>
      <c r="BE799" s="111"/>
      <c r="BF799" s="111"/>
      <c r="BG799" s="111"/>
      <c r="BH799" s="111"/>
      <c r="BJ799" s="111"/>
      <c r="BK799" s="111"/>
      <c r="BL799" s="111"/>
      <c r="BM799" s="111"/>
      <c r="BN799" s="111"/>
      <c r="BO799" s="111"/>
      <c r="BP799" s="111"/>
      <c r="BQ799" s="111"/>
      <c r="BR799" s="111"/>
      <c r="BS799" s="111"/>
      <c r="BT799" s="111"/>
      <c r="BU799" s="111"/>
      <c r="BV799" s="111">
        <v>5791.37</v>
      </c>
      <c r="BW799" s="111"/>
      <c r="BX799" s="112"/>
    </row>
    <row r="800" spans="1:79" s="107" customFormat="1" ht="15.75" customHeight="1">
      <c r="A800" s="249"/>
      <c r="B800" s="251"/>
      <c r="C800" s="254"/>
      <c r="D800" s="254"/>
      <c r="E800" s="251"/>
      <c r="F800" s="251"/>
      <c r="G800" s="257"/>
      <c r="H800" s="260"/>
      <c r="I800" s="132" t="s">
        <v>363</v>
      </c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5"/>
      <c r="BE800" s="105"/>
      <c r="BF800" s="105"/>
      <c r="BG800" s="105"/>
      <c r="BH800" s="105"/>
      <c r="BI800" s="105"/>
      <c r="BJ800" s="105"/>
      <c r="BK800" s="105"/>
      <c r="BL800" s="105"/>
      <c r="BM800" s="105"/>
      <c r="BN800" s="105"/>
      <c r="BO800" s="105"/>
      <c r="BP800" s="105"/>
      <c r="BQ800" s="105"/>
      <c r="BR800" s="105"/>
      <c r="BS800" s="105"/>
      <c r="BT800" s="105"/>
      <c r="BU800" s="105"/>
      <c r="BV800" s="105"/>
      <c r="BW800" s="105"/>
      <c r="BX800" s="112"/>
    </row>
    <row r="801" spans="1:81" s="107" customFormat="1" ht="15.75" customHeight="1">
      <c r="A801" s="249"/>
      <c r="B801" s="251"/>
      <c r="C801" s="254"/>
      <c r="D801" s="254"/>
      <c r="E801" s="251"/>
      <c r="F801" s="251"/>
      <c r="G801" s="257"/>
      <c r="H801" s="260"/>
      <c r="I801" s="133" t="s">
        <v>373</v>
      </c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05"/>
      <c r="AU801" s="105"/>
      <c r="AV801" s="105"/>
      <c r="AW801" s="105">
        <v>243.48</v>
      </c>
      <c r="AX801" s="105">
        <v>243.48</v>
      </c>
      <c r="AY801" s="105">
        <f>243.28+31.14</f>
        <v>274.42</v>
      </c>
      <c r="AZ801" s="105">
        <f>243.28+31.14</f>
        <v>274.42</v>
      </c>
      <c r="BA801" s="105">
        <f t="shared" ref="BA801:BG801" si="397">243.28+31.14</f>
        <v>274.42</v>
      </c>
      <c r="BB801" s="105">
        <f t="shared" si="397"/>
        <v>274.42</v>
      </c>
      <c r="BC801" s="105">
        <f t="shared" si="397"/>
        <v>274.42</v>
      </c>
      <c r="BD801" s="105">
        <f t="shared" si="397"/>
        <v>274.42</v>
      </c>
      <c r="BE801" s="105">
        <f t="shared" si="397"/>
        <v>274.42</v>
      </c>
      <c r="BF801" s="105">
        <f t="shared" si="397"/>
        <v>274.42</v>
      </c>
      <c r="BG801" s="105">
        <f t="shared" si="397"/>
        <v>274.42</v>
      </c>
      <c r="BH801" s="105">
        <v>264.64</v>
      </c>
      <c r="BI801" s="105">
        <v>263.05</v>
      </c>
      <c r="BJ801" s="105">
        <v>263.05</v>
      </c>
      <c r="BK801" s="105">
        <v>263.05</v>
      </c>
      <c r="BL801" s="105">
        <v>263.05</v>
      </c>
      <c r="BM801" s="105">
        <v>263.05</v>
      </c>
      <c r="BN801" s="105">
        <v>263.05</v>
      </c>
      <c r="BO801" s="105">
        <v>263.05</v>
      </c>
      <c r="BP801" s="105">
        <v>263.05</v>
      </c>
      <c r="BQ801" s="105">
        <v>388.43</v>
      </c>
      <c r="BR801" s="105">
        <v>363.22</v>
      </c>
      <c r="BS801" s="105">
        <v>264.14</v>
      </c>
      <c r="BT801" s="105">
        <v>255.5</v>
      </c>
      <c r="BU801" s="105">
        <v>255.5</v>
      </c>
      <c r="BV801" s="105">
        <v>286.89</v>
      </c>
      <c r="BW801" s="105"/>
      <c r="BX801" s="112"/>
    </row>
    <row r="802" spans="1:81" s="107" customFormat="1" ht="15.75" customHeight="1">
      <c r="A802" s="249"/>
      <c r="B802" s="252"/>
      <c r="C802" s="255"/>
      <c r="D802" s="255"/>
      <c r="E802" s="252"/>
      <c r="F802" s="252"/>
      <c r="G802" s="258"/>
      <c r="H802" s="261"/>
      <c r="I802" s="130"/>
      <c r="J802" s="105">
        <f>SUM(J789:J800)-J801</f>
        <v>0</v>
      </c>
      <c r="K802" s="105">
        <f t="shared" ref="K802:T802" si="398">SUM(K789:K800)-K801</f>
        <v>0</v>
      </c>
      <c r="L802" s="105">
        <f t="shared" si="398"/>
        <v>0</v>
      </c>
      <c r="M802" s="105">
        <f t="shared" si="398"/>
        <v>0</v>
      </c>
      <c r="N802" s="105">
        <f t="shared" si="398"/>
        <v>0</v>
      </c>
      <c r="O802" s="105">
        <f t="shared" si="398"/>
        <v>0</v>
      </c>
      <c r="P802" s="105">
        <f t="shared" si="398"/>
        <v>0</v>
      </c>
      <c r="Q802" s="105">
        <f t="shared" si="398"/>
        <v>0</v>
      </c>
      <c r="R802" s="105">
        <f t="shared" si="398"/>
        <v>0</v>
      </c>
      <c r="S802" s="105">
        <f t="shared" si="398"/>
        <v>0</v>
      </c>
      <c r="T802" s="105">
        <f t="shared" si="398"/>
        <v>0</v>
      </c>
      <c r="U802" s="105">
        <f>SUM(U789:U800)-U801</f>
        <v>0</v>
      </c>
      <c r="V802" s="105">
        <f t="shared" ref="V802:Y802" si="399">SUM(V789:V800)-V801</f>
        <v>0</v>
      </c>
      <c r="W802" s="105">
        <f t="shared" si="399"/>
        <v>0</v>
      </c>
      <c r="X802" s="105">
        <f t="shared" si="399"/>
        <v>0</v>
      </c>
      <c r="Y802" s="105">
        <f t="shared" si="399"/>
        <v>0</v>
      </c>
      <c r="Z802" s="105">
        <f>SUM(Z789:Z800)-Z801</f>
        <v>0</v>
      </c>
      <c r="AA802" s="105">
        <f t="shared" ref="AA802" si="400">SUM(AA789:AA800)-AA801</f>
        <v>0</v>
      </c>
      <c r="AB802" s="105">
        <f t="shared" ref="AB802:AG802" si="401">SUM(AB789:AB800)-AB801</f>
        <v>0</v>
      </c>
      <c r="AC802" s="105">
        <f t="shared" si="401"/>
        <v>0</v>
      </c>
      <c r="AD802" s="105">
        <f t="shared" si="401"/>
        <v>0</v>
      </c>
      <c r="AE802" s="105">
        <f t="shared" si="401"/>
        <v>0</v>
      </c>
      <c r="AF802" s="105">
        <f t="shared" si="401"/>
        <v>0</v>
      </c>
      <c r="AG802" s="105">
        <f t="shared" si="401"/>
        <v>0</v>
      </c>
      <c r="AH802" s="105">
        <f>SUM(AH789:AH800)-AH801</f>
        <v>0</v>
      </c>
      <c r="AI802" s="105">
        <f t="shared" ref="AI802:AJ802" si="402">SUM(AI789:AI800)-AI801</f>
        <v>0</v>
      </c>
      <c r="AJ802" s="105">
        <f t="shared" si="402"/>
        <v>0</v>
      </c>
      <c r="AK802" s="105">
        <f>SUM(AK789:AK800)-AK801</f>
        <v>0</v>
      </c>
      <c r="AL802" s="105">
        <f>AL791+AL797+AL793+AL792-AL801</f>
        <v>0</v>
      </c>
      <c r="AM802" s="105">
        <f t="shared" ref="AM802:AX802" si="403">SUM(AM789:AM800)-AM801</f>
        <v>0</v>
      </c>
      <c r="AN802" s="105">
        <f t="shared" si="403"/>
        <v>0</v>
      </c>
      <c r="AO802" s="105">
        <f t="shared" si="403"/>
        <v>0</v>
      </c>
      <c r="AP802" s="105">
        <f t="shared" si="403"/>
        <v>0</v>
      </c>
      <c r="AQ802" s="105">
        <f t="shared" si="403"/>
        <v>0</v>
      </c>
      <c r="AR802" s="105">
        <f t="shared" si="403"/>
        <v>0</v>
      </c>
      <c r="AS802" s="105">
        <f t="shared" si="403"/>
        <v>0</v>
      </c>
      <c r="AT802" s="105">
        <f t="shared" si="403"/>
        <v>0</v>
      </c>
      <c r="AU802" s="105">
        <f t="shared" si="403"/>
        <v>0</v>
      </c>
      <c r="AV802" s="105">
        <f t="shared" si="403"/>
        <v>0</v>
      </c>
      <c r="AW802" s="105">
        <f t="shared" ref="AW802" si="404">SUM(AW789:AW800)-AW801</f>
        <v>1885.3000000000002</v>
      </c>
      <c r="AX802" s="105">
        <f t="shared" si="403"/>
        <v>1885.3000000000002</v>
      </c>
      <c r="AY802" s="105">
        <f>SUM(AY789:AY800)-AY801</f>
        <v>1854.3600000000001</v>
      </c>
      <c r="AZ802" s="105">
        <f>SUM(AZ789:AZ800)-AZ801</f>
        <v>1854.3600000000001</v>
      </c>
      <c r="BA802" s="105">
        <f t="shared" ref="BA802:BC802" si="405">SUM(BA789:BA800)-BA801</f>
        <v>1854.3600000000001</v>
      </c>
      <c r="BB802" s="105">
        <f t="shared" si="405"/>
        <v>1854.3600000000001</v>
      </c>
      <c r="BC802" s="105">
        <f t="shared" si="405"/>
        <v>1854.3600000000001</v>
      </c>
      <c r="BD802" s="105">
        <f t="shared" ref="BD802:BG802" si="406">SUM(BD789:BD800)-BD801</f>
        <v>1854.3600000000001</v>
      </c>
      <c r="BE802" s="105">
        <f t="shared" si="406"/>
        <v>1854.3600000000001</v>
      </c>
      <c r="BF802" s="105">
        <f t="shared" si="406"/>
        <v>1854.3600000000001</v>
      </c>
      <c r="BG802" s="105">
        <f t="shared" si="406"/>
        <v>2538.6099999999997</v>
      </c>
      <c r="BH802" s="105">
        <f>BH792+BH793+BH798-BH801</f>
        <v>1988.6799999999998</v>
      </c>
      <c r="BI802" s="105">
        <f>BI792+BI793+BI798-BI801</f>
        <v>1990.2699999999998</v>
      </c>
      <c r="BJ802" s="105">
        <f t="shared" ref="BJ802:BK802" si="407">BJ792+BJ793+BJ798-BJ801</f>
        <v>2014.2699999999998</v>
      </c>
      <c r="BK802" s="105">
        <f t="shared" si="407"/>
        <v>2037.2699999999998</v>
      </c>
      <c r="BL802" s="105">
        <f t="shared" ref="BL802:BM802" si="408">BL792+BL793+BL798-BL801</f>
        <v>2014.2699999999998</v>
      </c>
      <c r="BM802" s="105">
        <f t="shared" si="408"/>
        <v>2014.2699999999998</v>
      </c>
      <c r="BN802" s="105">
        <f t="shared" ref="BN802:BP802" si="409">BN792+BN793+BN798-BN801</f>
        <v>2014.2699999999998</v>
      </c>
      <c r="BO802" s="105">
        <f t="shared" si="409"/>
        <v>2037.2699999999998</v>
      </c>
      <c r="BP802" s="105">
        <f t="shared" si="409"/>
        <v>1929.26</v>
      </c>
      <c r="BQ802" s="105">
        <f t="shared" ref="BQ802:BT802" si="410">BQ792+BQ793+BQ798-BQ801</f>
        <v>2120.48</v>
      </c>
      <c r="BR802" s="105">
        <f t="shared" si="410"/>
        <v>2117.09</v>
      </c>
      <c r="BS802" s="105">
        <f t="shared" si="410"/>
        <v>2274.63</v>
      </c>
      <c r="BT802" s="105">
        <f t="shared" si="410"/>
        <v>2178.38</v>
      </c>
      <c r="BU802" s="105">
        <f t="shared" ref="BU802" si="411">BU792+BU793+BU798-BU801</f>
        <v>2178.38</v>
      </c>
      <c r="BV802" s="105">
        <f>BV799-BV801</f>
        <v>5504.48</v>
      </c>
      <c r="BW802" s="105"/>
      <c r="BX802" s="105">
        <f>SUM(K802:BV802)</f>
        <v>55557.36</v>
      </c>
    </row>
    <row r="803" spans="1:81" ht="15.6" customHeight="1">
      <c r="A803" s="148" t="s">
        <v>346</v>
      </c>
      <c r="B803" s="148" t="s">
        <v>347</v>
      </c>
      <c r="C803" s="145" t="s">
        <v>310</v>
      </c>
      <c r="D803" s="145" t="s">
        <v>311</v>
      </c>
      <c r="E803" s="148" t="s">
        <v>312</v>
      </c>
      <c r="F803" s="148" t="s">
        <v>348</v>
      </c>
      <c r="G803" s="145" t="s">
        <v>314</v>
      </c>
      <c r="H803" s="145" t="s">
        <v>315</v>
      </c>
      <c r="I803" s="145" t="s">
        <v>349</v>
      </c>
      <c r="J803" s="146">
        <v>44105</v>
      </c>
      <c r="K803" s="146">
        <v>44136</v>
      </c>
      <c r="L803" s="146">
        <v>44166</v>
      </c>
      <c r="M803" s="146">
        <v>44197</v>
      </c>
      <c r="N803" s="146">
        <v>44228</v>
      </c>
      <c r="O803" s="146">
        <v>44256</v>
      </c>
      <c r="P803" s="146">
        <v>44287</v>
      </c>
      <c r="Q803" s="146">
        <v>44317</v>
      </c>
      <c r="R803" s="146">
        <v>44348</v>
      </c>
      <c r="S803" s="146">
        <v>44378</v>
      </c>
      <c r="T803" s="146">
        <v>44409</v>
      </c>
      <c r="U803" s="146">
        <v>44440</v>
      </c>
      <c r="V803" s="146">
        <v>44470</v>
      </c>
      <c r="W803" s="146">
        <v>44501</v>
      </c>
      <c r="X803" s="146">
        <v>44531</v>
      </c>
      <c r="Y803" s="146">
        <v>44562</v>
      </c>
      <c r="Z803" s="146">
        <v>44593</v>
      </c>
      <c r="AA803" s="146">
        <v>44621</v>
      </c>
      <c r="AB803" s="146">
        <v>44652</v>
      </c>
      <c r="AC803" s="146">
        <v>44682</v>
      </c>
      <c r="AD803" s="146">
        <v>44713</v>
      </c>
      <c r="AE803" s="146">
        <v>44743</v>
      </c>
      <c r="AF803" s="146">
        <v>44774</v>
      </c>
      <c r="AG803" s="146">
        <v>44805</v>
      </c>
      <c r="AH803" s="146">
        <v>44835</v>
      </c>
      <c r="AI803" s="146">
        <v>44866</v>
      </c>
      <c r="AJ803" s="146">
        <v>44896</v>
      </c>
      <c r="AK803" s="146">
        <v>44927</v>
      </c>
      <c r="AL803" s="146">
        <v>44958</v>
      </c>
      <c r="AM803" s="146">
        <v>44986</v>
      </c>
      <c r="AN803" s="146">
        <v>45017</v>
      </c>
      <c r="AO803" s="146">
        <v>45047</v>
      </c>
      <c r="AP803" s="146">
        <v>45078</v>
      </c>
      <c r="AQ803" s="146">
        <v>45108</v>
      </c>
      <c r="AR803" s="146">
        <v>45139</v>
      </c>
      <c r="AS803" s="146">
        <v>45170</v>
      </c>
      <c r="AT803" s="146">
        <v>45200</v>
      </c>
      <c r="AU803" s="146">
        <v>45231</v>
      </c>
      <c r="AV803" s="146">
        <v>45261</v>
      </c>
      <c r="AW803" s="146">
        <v>45292</v>
      </c>
      <c r="AX803" s="146">
        <v>45323</v>
      </c>
      <c r="AY803" s="146">
        <v>45352</v>
      </c>
      <c r="AZ803" s="146">
        <v>45383</v>
      </c>
      <c r="BA803" s="146">
        <v>45413</v>
      </c>
      <c r="BB803" s="146">
        <v>45444</v>
      </c>
      <c r="BC803" s="146">
        <v>45474</v>
      </c>
      <c r="BD803" s="146">
        <v>45505</v>
      </c>
      <c r="BE803" s="146">
        <v>45536</v>
      </c>
      <c r="BF803" s="146">
        <v>45566</v>
      </c>
      <c r="BG803" s="146">
        <v>45597</v>
      </c>
      <c r="BH803" s="146">
        <v>45627</v>
      </c>
      <c r="BI803" s="146">
        <v>45658</v>
      </c>
      <c r="BJ803" s="146">
        <v>45689</v>
      </c>
      <c r="BK803" s="146">
        <v>45717</v>
      </c>
      <c r="BL803" s="146">
        <v>45748</v>
      </c>
      <c r="BM803" s="146">
        <v>45778</v>
      </c>
      <c r="BN803" s="146">
        <v>45809</v>
      </c>
      <c r="BO803" s="146">
        <v>45839</v>
      </c>
      <c r="BP803" s="146">
        <v>45870</v>
      </c>
      <c r="BQ803" s="146">
        <v>45901</v>
      </c>
      <c r="BR803" s="146">
        <v>45931</v>
      </c>
      <c r="BS803" s="146">
        <v>45962</v>
      </c>
      <c r="BT803" s="146">
        <v>45992</v>
      </c>
      <c r="BU803" s="146">
        <v>46023</v>
      </c>
      <c r="BV803" s="146">
        <v>46054</v>
      </c>
      <c r="BW803" s="146">
        <v>46082</v>
      </c>
      <c r="BX803" s="147" t="s">
        <v>13</v>
      </c>
      <c r="BY803" s="5"/>
      <c r="BZ803" s="5"/>
      <c r="CA803" s="5"/>
    </row>
    <row r="804" spans="1:81" s="107" customFormat="1" ht="15.75" customHeight="1">
      <c r="A804" s="262">
        <v>60</v>
      </c>
      <c r="B804" s="241" t="s">
        <v>407</v>
      </c>
      <c r="C804" s="253" t="s">
        <v>23</v>
      </c>
      <c r="D804" s="249" t="s">
        <v>89</v>
      </c>
      <c r="E804" s="241" t="s">
        <v>396</v>
      </c>
      <c r="F804" s="241" t="s">
        <v>396</v>
      </c>
      <c r="G804" s="263">
        <v>45726</v>
      </c>
      <c r="H804" s="263"/>
      <c r="I804" s="106" t="s">
        <v>390</v>
      </c>
      <c r="J804" s="106"/>
      <c r="K804" s="106"/>
      <c r="L804" s="106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5"/>
      <c r="BE804" s="105"/>
      <c r="BF804" s="105"/>
      <c r="BG804" s="105"/>
      <c r="BH804" s="105"/>
      <c r="BI804" s="105"/>
      <c r="BJ804" s="105"/>
      <c r="BK804" s="105"/>
      <c r="BL804" s="105"/>
      <c r="BM804" s="105"/>
      <c r="BN804" s="105"/>
      <c r="BO804" s="105"/>
      <c r="BP804" s="105"/>
      <c r="BQ804" s="105"/>
      <c r="BR804" s="105"/>
      <c r="BS804" s="105"/>
      <c r="BT804" s="105"/>
      <c r="BU804" s="105"/>
      <c r="BV804" s="105"/>
      <c r="BW804" s="105"/>
      <c r="BX804" s="105"/>
      <c r="BY804" s="117"/>
      <c r="BZ804" s="117"/>
      <c r="CA804" s="117"/>
      <c r="CC804" s="118"/>
    </row>
    <row r="805" spans="1:81" s="107" customFormat="1" ht="15.75" customHeight="1">
      <c r="A805" s="262"/>
      <c r="B805" s="241"/>
      <c r="C805" s="254"/>
      <c r="D805" s="249"/>
      <c r="E805" s="241"/>
      <c r="F805" s="241"/>
      <c r="G805" s="249"/>
      <c r="H805" s="249"/>
      <c r="I805" s="106" t="s">
        <v>351</v>
      </c>
      <c r="J805" s="106"/>
      <c r="K805" s="106"/>
      <c r="L805" s="106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05"/>
      <c r="AU805" s="105"/>
      <c r="AV805" s="105"/>
      <c r="AW805" s="105"/>
      <c r="AX805" s="105"/>
      <c r="AY805" s="105"/>
      <c r="AZ805" s="105"/>
      <c r="BA805" s="105"/>
      <c r="BB805" s="105"/>
      <c r="BC805" s="105"/>
      <c r="BD805" s="105"/>
      <c r="BE805" s="105"/>
      <c r="BF805" s="105"/>
      <c r="BG805" s="105"/>
      <c r="BH805" s="105"/>
      <c r="BI805" s="105"/>
      <c r="BJ805" s="105"/>
      <c r="BK805" s="105"/>
      <c r="BL805" s="105">
        <v>448</v>
      </c>
      <c r="BM805" s="105">
        <v>2091.42</v>
      </c>
      <c r="BN805" s="105">
        <v>2091.42</v>
      </c>
      <c r="BO805" s="105">
        <v>2091.42</v>
      </c>
      <c r="BP805" s="105">
        <v>2091.42</v>
      </c>
      <c r="BQ805" s="105">
        <v>2091.42</v>
      </c>
      <c r="BR805" s="105">
        <v>2211.6799999999998</v>
      </c>
      <c r="BS805" s="105">
        <v>2211.6799999999998</v>
      </c>
      <c r="BT805" s="105">
        <v>2111.6799999999998</v>
      </c>
      <c r="BU805" s="105">
        <v>2111.6799999999998</v>
      </c>
      <c r="BV805" s="105">
        <v>2111.6799999999998</v>
      </c>
      <c r="BW805" s="105"/>
      <c r="BX805" s="105"/>
      <c r="BY805" s="117"/>
      <c r="BZ805" s="117"/>
      <c r="CA805" s="117"/>
      <c r="CC805" s="118"/>
    </row>
    <row r="806" spans="1:81" s="107" customFormat="1" ht="15.75" customHeight="1">
      <c r="A806" s="262"/>
      <c r="B806" s="241"/>
      <c r="C806" s="254"/>
      <c r="D806" s="249"/>
      <c r="E806" s="241"/>
      <c r="F806" s="241"/>
      <c r="G806" s="249"/>
      <c r="H806" s="249"/>
      <c r="I806" s="106" t="s">
        <v>391</v>
      </c>
      <c r="J806" s="106"/>
      <c r="K806" s="106"/>
      <c r="L806" s="106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9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5"/>
      <c r="BE806" s="105"/>
      <c r="BF806" s="105"/>
      <c r="BG806" s="105"/>
      <c r="BH806" s="105"/>
      <c r="BI806" s="105"/>
      <c r="BJ806" s="105"/>
      <c r="BK806" s="105"/>
      <c r="BL806" s="105"/>
      <c r="BM806" s="105"/>
      <c r="BN806" s="105"/>
      <c r="BO806" s="105"/>
      <c r="BP806" s="105"/>
      <c r="BQ806" s="105"/>
      <c r="BR806" s="105"/>
      <c r="BS806" s="105"/>
      <c r="BT806" s="105"/>
      <c r="BU806" s="105"/>
      <c r="BV806" s="105"/>
      <c r="BW806" s="105"/>
      <c r="BX806" s="105"/>
      <c r="BY806" s="117"/>
      <c r="BZ806" s="117"/>
      <c r="CA806" s="117"/>
      <c r="CC806" s="118"/>
    </row>
    <row r="807" spans="1:81" s="107" customFormat="1" ht="15.75" customHeight="1">
      <c r="A807" s="262"/>
      <c r="B807" s="241"/>
      <c r="C807" s="254"/>
      <c r="D807" s="249"/>
      <c r="E807" s="241"/>
      <c r="F807" s="241"/>
      <c r="G807" s="249"/>
      <c r="H807" s="249"/>
      <c r="I807" s="106" t="s">
        <v>351</v>
      </c>
      <c r="J807" s="106"/>
      <c r="K807" s="106"/>
      <c r="L807" s="106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9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05"/>
      <c r="AU807" s="105"/>
      <c r="AV807" s="105"/>
      <c r="AW807" s="105"/>
      <c r="AX807" s="105"/>
      <c r="AY807" s="105"/>
      <c r="AZ807" s="105"/>
      <c r="BA807" s="105"/>
      <c r="BB807" s="105"/>
      <c r="BC807" s="105"/>
      <c r="BD807" s="105"/>
      <c r="BE807" s="105"/>
      <c r="BF807" s="105"/>
      <c r="BG807" s="105"/>
      <c r="BH807" s="105"/>
      <c r="BI807" s="105"/>
      <c r="BJ807" s="105"/>
      <c r="BK807" s="105"/>
      <c r="BL807" s="105"/>
      <c r="BM807" s="105"/>
      <c r="BN807" s="105"/>
      <c r="BO807" s="105"/>
      <c r="BP807" s="105"/>
      <c r="BQ807" s="105"/>
      <c r="BR807" s="105"/>
      <c r="BS807" s="105"/>
      <c r="BT807" s="105"/>
      <c r="BU807" s="105"/>
      <c r="BV807" s="105"/>
      <c r="BW807" s="105"/>
      <c r="BX807" s="105"/>
      <c r="BY807" s="117"/>
      <c r="BZ807" s="117"/>
      <c r="CA807" s="117"/>
      <c r="CC807" s="118"/>
    </row>
    <row r="808" spans="1:81" s="107" customFormat="1" ht="15.75" customHeight="1">
      <c r="A808" s="262"/>
      <c r="B808" s="241"/>
      <c r="C808" s="254"/>
      <c r="D808" s="249"/>
      <c r="E808" s="241"/>
      <c r="F808" s="241"/>
      <c r="G808" s="249"/>
      <c r="H808" s="249"/>
      <c r="I808" s="106" t="s">
        <v>353</v>
      </c>
      <c r="J808" s="106"/>
      <c r="K808" s="106"/>
      <c r="L808" s="106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5"/>
      <c r="BE808" s="105"/>
      <c r="BF808" s="105"/>
      <c r="BG808" s="105"/>
      <c r="BH808" s="105"/>
      <c r="BI808" s="105"/>
      <c r="BJ808" s="105"/>
      <c r="BK808" s="105"/>
      <c r="BL808" s="105"/>
      <c r="BM808" s="105">
        <v>547.26</v>
      </c>
      <c r="BN808" s="105">
        <v>495.14</v>
      </c>
      <c r="BO808" s="105">
        <v>573.23</v>
      </c>
      <c r="BP808" s="105">
        <v>547.26</v>
      </c>
      <c r="BQ808" s="105">
        <v>573.32000000000005</v>
      </c>
      <c r="BR808" s="105">
        <v>633.25</v>
      </c>
      <c r="BS808" s="105">
        <v>523.45000000000005</v>
      </c>
      <c r="BT808" s="105">
        <v>523.45000000000005</v>
      </c>
      <c r="BU808" s="105">
        <v>551</v>
      </c>
      <c r="BV808" s="105">
        <v>551</v>
      </c>
      <c r="BW808" s="105"/>
      <c r="BX808" s="105"/>
      <c r="BY808" s="117"/>
      <c r="BZ808" s="117"/>
      <c r="CA808" s="117"/>
      <c r="CC808" s="118"/>
    </row>
    <row r="809" spans="1:81" s="107" customFormat="1" ht="15.75" customHeight="1">
      <c r="A809" s="262"/>
      <c r="B809" s="241"/>
      <c r="C809" s="254"/>
      <c r="D809" s="249"/>
      <c r="E809" s="241"/>
      <c r="F809" s="241"/>
      <c r="G809" s="249"/>
      <c r="H809" s="249"/>
      <c r="I809" s="106" t="s">
        <v>354</v>
      </c>
      <c r="J809" s="106"/>
      <c r="K809" s="106"/>
      <c r="L809" s="106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05"/>
      <c r="AU809" s="105"/>
      <c r="AV809" s="105"/>
      <c r="AW809" s="105"/>
      <c r="AX809" s="105"/>
      <c r="AY809" s="105"/>
      <c r="AZ809" s="105"/>
      <c r="BA809" s="105"/>
      <c r="BB809" s="105"/>
      <c r="BC809" s="105"/>
      <c r="BD809" s="105"/>
      <c r="BE809" s="105"/>
      <c r="BF809" s="105"/>
      <c r="BG809" s="105"/>
      <c r="BH809" s="105"/>
      <c r="BI809" s="105"/>
      <c r="BJ809" s="105"/>
      <c r="BK809" s="105"/>
      <c r="BL809" s="105">
        <v>240.3</v>
      </c>
      <c r="BM809" s="105">
        <v>462</v>
      </c>
      <c r="BN809" s="105">
        <v>418</v>
      </c>
      <c r="BO809" s="105">
        <v>484</v>
      </c>
      <c r="BP809" s="105">
        <v>462</v>
      </c>
      <c r="BQ809" s="105">
        <v>484</v>
      </c>
      <c r="BR809" s="105">
        <v>506</v>
      </c>
      <c r="BS809" s="105">
        <v>418</v>
      </c>
      <c r="BT809" s="105">
        <v>418</v>
      </c>
      <c r="BU809" s="105">
        <v>440</v>
      </c>
      <c r="BV809" s="105">
        <v>448</v>
      </c>
      <c r="BW809" s="105"/>
      <c r="BX809" s="105"/>
      <c r="BY809" s="117"/>
      <c r="BZ809" s="117"/>
      <c r="CA809" s="117"/>
      <c r="CC809" s="118"/>
    </row>
    <row r="810" spans="1:81" s="107" customFormat="1" ht="15.75" customHeight="1">
      <c r="A810" s="262"/>
      <c r="B810" s="241"/>
      <c r="C810" s="254"/>
      <c r="D810" s="249"/>
      <c r="E810" s="241"/>
      <c r="F810" s="241"/>
      <c r="G810" s="249"/>
      <c r="H810" s="249"/>
      <c r="I810" s="106" t="s">
        <v>356</v>
      </c>
      <c r="J810" s="106"/>
      <c r="K810" s="106"/>
      <c r="L810" s="106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5"/>
      <c r="BE810" s="105"/>
      <c r="BF810" s="105"/>
      <c r="BG810" s="105"/>
      <c r="BH810" s="105"/>
      <c r="BI810" s="105"/>
      <c r="BJ810" s="105"/>
      <c r="BK810" s="105"/>
      <c r="BL810" s="105"/>
      <c r="BM810" s="105"/>
      <c r="BN810" s="105"/>
      <c r="BO810" s="105"/>
      <c r="BP810" s="105"/>
      <c r="BQ810" s="105"/>
      <c r="BR810" s="105">
        <v>315</v>
      </c>
      <c r="BS810" s="105">
        <v>315</v>
      </c>
      <c r="BT810" s="105">
        <v>315</v>
      </c>
      <c r="BU810" s="105">
        <v>315</v>
      </c>
      <c r="BV810" s="105">
        <v>315</v>
      </c>
      <c r="BW810" s="105"/>
      <c r="BX810" s="105"/>
      <c r="BY810" s="117"/>
      <c r="BZ810" s="117"/>
      <c r="CA810" s="117"/>
      <c r="CC810" s="118"/>
    </row>
    <row r="811" spans="1:81" s="107" customFormat="1" ht="15.75" customHeight="1">
      <c r="A811" s="262"/>
      <c r="B811" s="241"/>
      <c r="C811" s="254"/>
      <c r="D811" s="249"/>
      <c r="E811" s="241"/>
      <c r="F811" s="241"/>
      <c r="G811" s="249"/>
      <c r="H811" s="249"/>
      <c r="I811" s="106" t="s">
        <v>355</v>
      </c>
      <c r="J811" s="106"/>
      <c r="K811" s="106"/>
      <c r="L811" s="106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  <c r="BA811" s="105"/>
      <c r="BB811" s="105"/>
      <c r="BC811" s="105"/>
      <c r="BD811" s="105"/>
      <c r="BE811" s="105"/>
      <c r="BF811" s="105"/>
      <c r="BG811" s="105"/>
      <c r="BH811" s="105"/>
      <c r="BI811" s="105"/>
      <c r="BJ811" s="105"/>
      <c r="BK811" s="105"/>
      <c r="BL811" s="171"/>
      <c r="BM811" s="171"/>
      <c r="BN811" s="171"/>
      <c r="BO811" s="171"/>
      <c r="BP811" s="171"/>
      <c r="BQ811" s="171"/>
      <c r="BR811" s="171"/>
      <c r="BS811" s="171"/>
      <c r="BT811" s="171"/>
      <c r="BU811" s="171"/>
      <c r="BV811" s="171"/>
      <c r="BW811" s="171"/>
      <c r="BX811" s="105"/>
      <c r="BY811" s="117"/>
      <c r="BZ811" s="117"/>
      <c r="CA811" s="117"/>
      <c r="CC811" s="118"/>
    </row>
    <row r="812" spans="1:81" s="107" customFormat="1" ht="15.75" customHeight="1">
      <c r="A812" s="262"/>
      <c r="B812" s="241"/>
      <c r="C812" s="254"/>
      <c r="D812" s="249"/>
      <c r="E812" s="241"/>
      <c r="F812" s="241"/>
      <c r="G812" s="249"/>
      <c r="H812" s="249"/>
      <c r="I812" s="131" t="s">
        <v>362</v>
      </c>
      <c r="J812" s="106"/>
      <c r="K812" s="106"/>
      <c r="L812" s="106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5"/>
      <c r="BE812" s="105"/>
      <c r="BF812" s="105"/>
      <c r="BG812" s="105"/>
      <c r="BH812" s="105"/>
      <c r="BI812" s="105"/>
      <c r="BJ812" s="105"/>
      <c r="BK812" s="105"/>
      <c r="BL812" s="105"/>
      <c r="BM812" s="105"/>
      <c r="BN812" s="105"/>
      <c r="BO812" s="105"/>
      <c r="BP812" s="105"/>
      <c r="BQ812" s="105"/>
      <c r="BR812" s="105"/>
      <c r="BS812" s="105"/>
      <c r="BT812" s="105"/>
      <c r="BU812" s="105"/>
      <c r="BV812" s="105"/>
      <c r="BW812" s="105">
        <v>5099.1499999999996</v>
      </c>
      <c r="BX812" s="105"/>
      <c r="BY812" s="117"/>
      <c r="BZ812" s="117"/>
      <c r="CA812" s="117"/>
      <c r="CC812" s="118"/>
    </row>
    <row r="813" spans="1:81" s="107" customFormat="1">
      <c r="A813" s="262"/>
      <c r="B813" s="241"/>
      <c r="C813" s="254"/>
      <c r="D813" s="249"/>
      <c r="E813" s="241"/>
      <c r="F813" s="241"/>
      <c r="G813" s="249"/>
      <c r="H813" s="249"/>
      <c r="I813" s="132" t="s">
        <v>363</v>
      </c>
      <c r="J813" s="132"/>
      <c r="K813" s="132"/>
      <c r="L813" s="132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05"/>
      <c r="AU813" s="105"/>
      <c r="AV813" s="105"/>
      <c r="AW813" s="105"/>
      <c r="AX813" s="105"/>
      <c r="AY813" s="105"/>
      <c r="AZ813" s="105"/>
      <c r="BA813" s="105"/>
      <c r="BB813" s="105"/>
      <c r="BC813" s="105"/>
      <c r="BD813" s="105"/>
      <c r="BE813" s="105"/>
      <c r="BF813" s="105"/>
      <c r="BG813" s="105"/>
      <c r="BH813" s="105"/>
      <c r="BI813" s="105"/>
      <c r="BJ813" s="105"/>
      <c r="BK813" s="105"/>
      <c r="BL813" s="105"/>
      <c r="BM813" s="105"/>
      <c r="BN813" s="105"/>
      <c r="BO813" s="105"/>
      <c r="BP813" s="105"/>
      <c r="BQ813" s="105"/>
      <c r="BR813" s="105"/>
      <c r="BS813" s="105"/>
      <c r="BT813" s="105"/>
      <c r="BU813" s="105"/>
      <c r="BV813" s="105"/>
      <c r="BW813" s="105"/>
      <c r="BX813" s="105"/>
      <c r="BY813" s="117"/>
      <c r="BZ813" s="117"/>
    </row>
    <row r="814" spans="1:81" s="107" customFormat="1">
      <c r="A814" s="262"/>
      <c r="B814" s="241"/>
      <c r="C814" s="254"/>
      <c r="D814" s="249"/>
      <c r="E814" s="241"/>
      <c r="F814" s="241"/>
      <c r="G814" s="249"/>
      <c r="H814" s="249"/>
      <c r="I814" s="133" t="s">
        <v>373</v>
      </c>
      <c r="J814" s="133"/>
      <c r="K814" s="133"/>
      <c r="L814" s="133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5"/>
      <c r="BE814" s="105"/>
      <c r="BF814" s="105"/>
      <c r="BG814" s="105"/>
      <c r="BH814" s="105"/>
      <c r="BI814" s="105"/>
      <c r="BJ814" s="105"/>
      <c r="BK814" s="105"/>
      <c r="BL814" s="105">
        <v>36.6</v>
      </c>
      <c r="BM814" s="105">
        <v>165.45</v>
      </c>
      <c r="BN814" s="105">
        <v>290.94</v>
      </c>
      <c r="BO814" s="105">
        <v>290.94</v>
      </c>
      <c r="BP814" s="105">
        <v>290.94</v>
      </c>
      <c r="BQ814" s="105">
        <v>290.94</v>
      </c>
      <c r="BR814" s="105">
        <v>308.98</v>
      </c>
      <c r="BS814" s="105">
        <v>308.98</v>
      </c>
      <c r="BT814" s="105">
        <v>308.98</v>
      </c>
      <c r="BU814" s="105">
        <v>308.98</v>
      </c>
      <c r="BV814" s="105">
        <v>308.98</v>
      </c>
      <c r="BW814" s="105">
        <v>3481.14</v>
      </c>
      <c r="BX814" s="105"/>
      <c r="BY814" s="117"/>
      <c r="BZ814" s="117"/>
    </row>
    <row r="815" spans="1:81" s="107" customFormat="1">
      <c r="A815" s="262"/>
      <c r="B815" s="241"/>
      <c r="C815" s="255"/>
      <c r="D815" s="249"/>
      <c r="E815" s="241"/>
      <c r="F815" s="241"/>
      <c r="G815" s="249"/>
      <c r="H815" s="249"/>
      <c r="I815" s="132"/>
      <c r="J815" s="105">
        <f>SUM(J804:J813)-J814</f>
        <v>0</v>
      </c>
      <c r="K815" s="105">
        <f t="shared" ref="K815:Y815" si="412">SUM(K804:K813)-K814</f>
        <v>0</v>
      </c>
      <c r="L815" s="105">
        <f t="shared" si="412"/>
        <v>0</v>
      </c>
      <c r="M815" s="105">
        <f t="shared" si="412"/>
        <v>0</v>
      </c>
      <c r="N815" s="105">
        <f t="shared" si="412"/>
        <v>0</v>
      </c>
      <c r="O815" s="105">
        <f t="shared" si="412"/>
        <v>0</v>
      </c>
      <c r="P815" s="105">
        <f t="shared" si="412"/>
        <v>0</v>
      </c>
      <c r="Q815" s="105">
        <f t="shared" si="412"/>
        <v>0</v>
      </c>
      <c r="R815" s="105">
        <f t="shared" si="412"/>
        <v>0</v>
      </c>
      <c r="S815" s="105">
        <f t="shared" si="412"/>
        <v>0</v>
      </c>
      <c r="T815" s="105">
        <f t="shared" si="412"/>
        <v>0</v>
      </c>
      <c r="U815" s="105">
        <f t="shared" si="412"/>
        <v>0</v>
      </c>
      <c r="V815" s="105">
        <f t="shared" si="412"/>
        <v>0</v>
      </c>
      <c r="W815" s="105">
        <f t="shared" si="412"/>
        <v>0</v>
      </c>
      <c r="X815" s="105">
        <f t="shared" si="412"/>
        <v>0</v>
      </c>
      <c r="Y815" s="105">
        <f t="shared" si="412"/>
        <v>0</v>
      </c>
      <c r="Z815" s="105">
        <f>SUM(Z804:Z813)-Z814</f>
        <v>0</v>
      </c>
      <c r="AA815" s="105">
        <f t="shared" ref="AA815:AD815" si="413">SUM(AA804:AA813)-AA814</f>
        <v>0</v>
      </c>
      <c r="AB815" s="105">
        <f t="shared" si="413"/>
        <v>0</v>
      </c>
      <c r="AC815" s="105">
        <f t="shared" si="413"/>
        <v>0</v>
      </c>
      <c r="AD815" s="105">
        <f t="shared" si="413"/>
        <v>0</v>
      </c>
      <c r="AE815" s="105">
        <f>SUM(AE804:AE813)-AE814</f>
        <v>0</v>
      </c>
      <c r="AF815" s="105">
        <f>SUM(AF804:AF813)-AF814</f>
        <v>0</v>
      </c>
      <c r="AG815" s="105">
        <f t="shared" ref="AG815:AP815" si="414">SUM(AG804:AG813)-AG814</f>
        <v>0</v>
      </c>
      <c r="AH815" s="105">
        <f t="shared" si="414"/>
        <v>0</v>
      </c>
      <c r="AI815" s="105">
        <f t="shared" si="414"/>
        <v>0</v>
      </c>
      <c r="AJ815" s="105">
        <f t="shared" si="414"/>
        <v>0</v>
      </c>
      <c r="AK815" s="105">
        <f t="shared" si="414"/>
        <v>0</v>
      </c>
      <c r="AL815" s="105">
        <f t="shared" si="414"/>
        <v>0</v>
      </c>
      <c r="AM815" s="105">
        <f t="shared" si="414"/>
        <v>0</v>
      </c>
      <c r="AN815" s="105">
        <f t="shared" si="414"/>
        <v>0</v>
      </c>
      <c r="AO815" s="105">
        <f t="shared" si="414"/>
        <v>0</v>
      </c>
      <c r="AP815" s="105">
        <f t="shared" si="414"/>
        <v>0</v>
      </c>
      <c r="AQ815" s="105">
        <f t="shared" ref="AQ815:AU815" si="415">SUM(AQ804:AQ813)-AQ814</f>
        <v>0</v>
      </c>
      <c r="AR815" s="105">
        <f t="shared" si="415"/>
        <v>0</v>
      </c>
      <c r="AS815" s="105">
        <f t="shared" si="415"/>
        <v>0</v>
      </c>
      <c r="AT815" s="105">
        <f t="shared" si="415"/>
        <v>0</v>
      </c>
      <c r="AU815" s="105">
        <f t="shared" si="415"/>
        <v>0</v>
      </c>
      <c r="AV815" s="105">
        <f>SUM(AV804:AV813)-AV814</f>
        <v>0</v>
      </c>
      <c r="AW815" s="105">
        <f t="shared" ref="AW815:BA815" si="416">SUM(AW804:AW813)-AW814</f>
        <v>0</v>
      </c>
      <c r="AX815" s="105">
        <f t="shared" si="416"/>
        <v>0</v>
      </c>
      <c r="AY815" s="105">
        <f t="shared" si="416"/>
        <v>0</v>
      </c>
      <c r="AZ815" s="105">
        <f t="shared" si="416"/>
        <v>0</v>
      </c>
      <c r="BA815" s="105">
        <f t="shared" si="416"/>
        <v>0</v>
      </c>
      <c r="BB815" s="105"/>
      <c r="BC815" s="105"/>
      <c r="BD815" s="105"/>
      <c r="BE815" s="105"/>
      <c r="BF815" s="105"/>
      <c r="BG815" s="105"/>
      <c r="BH815" s="105"/>
      <c r="BI815" s="105"/>
      <c r="BJ815" s="105"/>
      <c r="BK815" s="105"/>
      <c r="BL815" s="105">
        <f>BL805+BL810+BL811-BL814+BL809</f>
        <v>651.70000000000005</v>
      </c>
      <c r="BM815" s="105">
        <f t="shared" ref="BM815:BT815" si="417">BM805+BM810+BM811-BM814+BM809+BM808</f>
        <v>2935.2300000000005</v>
      </c>
      <c r="BN815" s="105">
        <f t="shared" si="417"/>
        <v>2713.62</v>
      </c>
      <c r="BO815" s="105">
        <f t="shared" si="417"/>
        <v>2857.71</v>
      </c>
      <c r="BP815" s="105">
        <f t="shared" si="417"/>
        <v>2809.74</v>
      </c>
      <c r="BQ815" s="105">
        <f t="shared" si="417"/>
        <v>2857.8</v>
      </c>
      <c r="BR815" s="105">
        <f t="shared" si="417"/>
        <v>3356.95</v>
      </c>
      <c r="BS815" s="105">
        <f t="shared" si="417"/>
        <v>3159.1499999999996</v>
      </c>
      <c r="BT815" s="105">
        <f t="shared" si="417"/>
        <v>3059.1499999999996</v>
      </c>
      <c r="BU815" s="105">
        <f t="shared" ref="BU815:BV815" si="418">BU805+BU810+BU811-BU814+BU809+BU808</f>
        <v>3108.7</v>
      </c>
      <c r="BV815" s="105">
        <f t="shared" si="418"/>
        <v>3116.7</v>
      </c>
      <c r="BW815" s="105">
        <f>BW812-BW814</f>
        <v>1618.0099999999998</v>
      </c>
      <c r="BX815" s="105">
        <f>SUM(BK815:BW815)</f>
        <v>32244.460000000003</v>
      </c>
      <c r="BY815" s="117"/>
      <c r="BZ815" s="117"/>
    </row>
    <row r="816" spans="1:81" ht="15.6" customHeight="1">
      <c r="A816" s="148" t="s">
        <v>346</v>
      </c>
      <c r="B816" s="148" t="s">
        <v>347</v>
      </c>
      <c r="C816" s="145" t="s">
        <v>310</v>
      </c>
      <c r="D816" s="145" t="s">
        <v>311</v>
      </c>
      <c r="E816" s="148" t="s">
        <v>312</v>
      </c>
      <c r="F816" s="148" t="s">
        <v>348</v>
      </c>
      <c r="G816" s="145" t="s">
        <v>314</v>
      </c>
      <c r="H816" s="145" t="s">
        <v>315</v>
      </c>
      <c r="I816" s="145" t="s">
        <v>349</v>
      </c>
      <c r="J816" s="146">
        <v>44105</v>
      </c>
      <c r="K816" s="146">
        <v>44136</v>
      </c>
      <c r="L816" s="146">
        <v>44166</v>
      </c>
      <c r="M816" s="146">
        <v>44197</v>
      </c>
      <c r="N816" s="146">
        <v>44228</v>
      </c>
      <c r="O816" s="146">
        <v>44256</v>
      </c>
      <c r="P816" s="146">
        <v>44287</v>
      </c>
      <c r="Q816" s="146">
        <v>44317</v>
      </c>
      <c r="R816" s="146">
        <v>44348</v>
      </c>
      <c r="S816" s="146">
        <v>44378</v>
      </c>
      <c r="T816" s="146">
        <v>44409</v>
      </c>
      <c r="U816" s="146">
        <v>44440</v>
      </c>
      <c r="V816" s="146">
        <v>44470</v>
      </c>
      <c r="W816" s="146">
        <v>44501</v>
      </c>
      <c r="X816" s="146">
        <v>44531</v>
      </c>
      <c r="Y816" s="146">
        <v>44562</v>
      </c>
      <c r="Z816" s="146">
        <v>44593</v>
      </c>
      <c r="AA816" s="146">
        <v>44621</v>
      </c>
      <c r="AB816" s="146">
        <v>44652</v>
      </c>
      <c r="AC816" s="146">
        <v>44682</v>
      </c>
      <c r="AD816" s="146">
        <v>44713</v>
      </c>
      <c r="AE816" s="146">
        <v>44743</v>
      </c>
      <c r="AF816" s="146">
        <v>44774</v>
      </c>
      <c r="AG816" s="146">
        <v>44805</v>
      </c>
      <c r="AH816" s="146">
        <v>44835</v>
      </c>
      <c r="AI816" s="146">
        <v>44866</v>
      </c>
      <c r="AJ816" s="146">
        <v>44896</v>
      </c>
      <c r="AK816" s="146">
        <v>44927</v>
      </c>
      <c r="AL816" s="146">
        <v>44958</v>
      </c>
      <c r="AM816" s="146">
        <v>44986</v>
      </c>
      <c r="AN816" s="146">
        <v>45017</v>
      </c>
      <c r="AO816" s="146">
        <v>45047</v>
      </c>
      <c r="AP816" s="146">
        <v>45078</v>
      </c>
      <c r="AQ816" s="146">
        <v>45108</v>
      </c>
      <c r="AR816" s="146">
        <v>45139</v>
      </c>
      <c r="AS816" s="146">
        <v>45170</v>
      </c>
      <c r="AT816" s="146">
        <v>45200</v>
      </c>
      <c r="AU816" s="146">
        <v>45231</v>
      </c>
      <c r="AV816" s="146">
        <v>45261</v>
      </c>
      <c r="AW816" s="146">
        <v>45292</v>
      </c>
      <c r="AX816" s="146">
        <v>45323</v>
      </c>
      <c r="AY816" s="146">
        <v>45352</v>
      </c>
      <c r="AZ816" s="146">
        <v>45383</v>
      </c>
      <c r="BA816" s="146">
        <v>45413</v>
      </c>
      <c r="BB816" s="146">
        <v>45444</v>
      </c>
      <c r="BC816" s="146">
        <v>45474</v>
      </c>
      <c r="BD816" s="146">
        <v>45505</v>
      </c>
      <c r="BE816" s="146">
        <v>45536</v>
      </c>
      <c r="BF816" s="146">
        <v>45566</v>
      </c>
      <c r="BG816" s="146">
        <v>45597</v>
      </c>
      <c r="BH816" s="146">
        <v>45627</v>
      </c>
      <c r="BI816" s="146">
        <v>45658</v>
      </c>
      <c r="BJ816" s="146">
        <v>45689</v>
      </c>
      <c r="BK816" s="146">
        <v>45717</v>
      </c>
      <c r="BL816" s="146">
        <v>45748</v>
      </c>
      <c r="BM816" s="146"/>
      <c r="BN816" s="146"/>
      <c r="BO816" s="146"/>
      <c r="BP816" s="146"/>
      <c r="BQ816" s="146"/>
      <c r="BR816" s="146"/>
      <c r="BS816" s="146"/>
      <c r="BT816" s="146"/>
      <c r="BU816" s="146"/>
      <c r="BV816" s="146"/>
      <c r="BW816" s="146"/>
      <c r="BX816" s="147" t="s">
        <v>13</v>
      </c>
      <c r="BY816" s="5"/>
      <c r="BZ816" s="5"/>
      <c r="CA816" s="5"/>
    </row>
    <row r="817" spans="1:81" ht="15.75" customHeight="1">
      <c r="A817" s="240">
        <v>61</v>
      </c>
      <c r="B817" s="241" t="s">
        <v>260</v>
      </c>
      <c r="C817" s="241" t="s">
        <v>23</v>
      </c>
      <c r="D817" s="241" t="s">
        <v>89</v>
      </c>
      <c r="E817" s="241" t="s">
        <v>150</v>
      </c>
      <c r="F817" s="241" t="s">
        <v>150</v>
      </c>
      <c r="G817" s="242">
        <v>45751</v>
      </c>
      <c r="H817" s="241"/>
      <c r="I817" s="21" t="s">
        <v>390</v>
      </c>
      <c r="J817" s="21"/>
      <c r="K817" s="21"/>
      <c r="L817" s="21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105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1"/>
      <c r="BZ817" s="1"/>
      <c r="CA817" s="1"/>
      <c r="CC817" s="6"/>
    </row>
    <row r="818" spans="1:81" ht="15.75" customHeight="1">
      <c r="A818" s="240"/>
      <c r="B818" s="241"/>
      <c r="C818" s="241"/>
      <c r="D818" s="241"/>
      <c r="E818" s="241"/>
      <c r="F818" s="241"/>
      <c r="G818" s="241"/>
      <c r="H818" s="241"/>
      <c r="I818" s="21" t="s">
        <v>351</v>
      </c>
      <c r="J818" s="21"/>
      <c r="K818" s="21"/>
      <c r="L818" s="21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105"/>
      <c r="BC818" s="3"/>
      <c r="BD818" s="3"/>
      <c r="BE818" s="3"/>
      <c r="BF818" s="3"/>
      <c r="BG818" s="3"/>
      <c r="BH818" s="3"/>
      <c r="BI818" s="3"/>
      <c r="BJ818" s="3"/>
      <c r="BK818" s="3"/>
      <c r="BL818" s="3">
        <v>1664.83</v>
      </c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1"/>
      <c r="BZ818" s="1"/>
      <c r="CA818" s="1"/>
      <c r="CC818" s="6"/>
    </row>
    <row r="819" spans="1:81" ht="15.75" customHeight="1">
      <c r="A819" s="240"/>
      <c r="B819" s="241"/>
      <c r="C819" s="241"/>
      <c r="D819" s="241"/>
      <c r="E819" s="241"/>
      <c r="F819" s="241"/>
      <c r="G819" s="241"/>
      <c r="H819" s="241"/>
      <c r="I819" s="21" t="s">
        <v>391</v>
      </c>
      <c r="J819" s="21"/>
      <c r="K819" s="21"/>
      <c r="L819" s="21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12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105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1"/>
      <c r="BZ819" s="1"/>
      <c r="CA819" s="1"/>
      <c r="CC819" s="6"/>
    </row>
    <row r="820" spans="1:81" ht="15.75" customHeight="1">
      <c r="A820" s="240"/>
      <c r="B820" s="241"/>
      <c r="C820" s="241"/>
      <c r="D820" s="241"/>
      <c r="E820" s="241"/>
      <c r="F820" s="241"/>
      <c r="G820" s="241"/>
      <c r="H820" s="241"/>
      <c r="I820" s="21" t="s">
        <v>351</v>
      </c>
      <c r="J820" s="21"/>
      <c r="K820" s="21"/>
      <c r="L820" s="21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12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105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1"/>
      <c r="BZ820" s="1"/>
      <c r="CA820" s="1"/>
      <c r="CC820" s="6"/>
    </row>
    <row r="821" spans="1:81" ht="15.75" customHeight="1">
      <c r="A821" s="240"/>
      <c r="B821" s="241"/>
      <c r="C821" s="241"/>
      <c r="D821" s="241"/>
      <c r="E821" s="241"/>
      <c r="F821" s="241"/>
      <c r="G821" s="241"/>
      <c r="H821" s="241"/>
      <c r="I821" s="21" t="s">
        <v>353</v>
      </c>
      <c r="J821" s="21"/>
      <c r="K821" s="21"/>
      <c r="L821" s="21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105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1"/>
      <c r="BZ821" s="1"/>
      <c r="CA821" s="1"/>
      <c r="CC821" s="6"/>
    </row>
    <row r="822" spans="1:81" ht="15.75" customHeight="1">
      <c r="A822" s="240"/>
      <c r="B822" s="241"/>
      <c r="C822" s="241"/>
      <c r="D822" s="241"/>
      <c r="E822" s="241"/>
      <c r="F822" s="241"/>
      <c r="G822" s="241"/>
      <c r="H822" s="241"/>
      <c r="I822" s="21" t="s">
        <v>354</v>
      </c>
      <c r="J822" s="21"/>
      <c r="K822" s="21"/>
      <c r="L822" s="21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105"/>
      <c r="BC822" s="3"/>
      <c r="BD822" s="3"/>
      <c r="BE822" s="3"/>
      <c r="BF822" s="3"/>
      <c r="BG822" s="3"/>
      <c r="BH822" s="3"/>
      <c r="BI822" s="3"/>
      <c r="BJ822" s="3"/>
      <c r="BK822" s="3"/>
      <c r="BL822" s="3">
        <f>289.5+280</f>
        <v>569.5</v>
      </c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1"/>
      <c r="BZ822" s="1"/>
      <c r="CA822" s="1"/>
      <c r="CC822" s="6"/>
    </row>
    <row r="823" spans="1:81" ht="15.75" customHeight="1">
      <c r="A823" s="240"/>
      <c r="B823" s="241"/>
      <c r="C823" s="241"/>
      <c r="D823" s="241"/>
      <c r="E823" s="241"/>
      <c r="F823" s="241"/>
      <c r="G823" s="241"/>
      <c r="H823" s="241"/>
      <c r="I823" s="21" t="s">
        <v>355</v>
      </c>
      <c r="J823" s="21"/>
      <c r="K823" s="21"/>
      <c r="L823" s="21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105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1"/>
      <c r="BZ823" s="1"/>
      <c r="CA823" s="1"/>
      <c r="CC823" s="6"/>
    </row>
    <row r="824" spans="1:81" ht="15.75" customHeight="1">
      <c r="A824" s="240"/>
      <c r="B824" s="241"/>
      <c r="C824" s="241"/>
      <c r="D824" s="241"/>
      <c r="E824" s="241"/>
      <c r="F824" s="241"/>
      <c r="G824" s="241"/>
      <c r="H824" s="241"/>
      <c r="I824" s="21" t="s">
        <v>357</v>
      </c>
      <c r="J824" s="21"/>
      <c r="K824" s="21"/>
      <c r="L824" s="21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105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1"/>
      <c r="BZ824" s="1"/>
      <c r="CA824" s="1"/>
      <c r="CC824" s="6"/>
    </row>
    <row r="825" spans="1:81" ht="15.75" customHeight="1">
      <c r="A825" s="240"/>
      <c r="B825" s="241"/>
      <c r="C825" s="241"/>
      <c r="D825" s="241"/>
      <c r="E825" s="241"/>
      <c r="F825" s="241"/>
      <c r="G825" s="241"/>
      <c r="H825" s="241"/>
      <c r="I825" s="23" t="s">
        <v>362</v>
      </c>
      <c r="J825" s="21"/>
      <c r="K825" s="21"/>
      <c r="L825" s="21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105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1"/>
      <c r="BZ825" s="1"/>
      <c r="CA825" s="1"/>
      <c r="CC825" s="6"/>
    </row>
    <row r="826" spans="1:81">
      <c r="A826" s="240"/>
      <c r="B826" s="241"/>
      <c r="C826" s="241"/>
      <c r="D826" s="241"/>
      <c r="E826" s="241"/>
      <c r="F826" s="241"/>
      <c r="G826" s="241"/>
      <c r="H826" s="241"/>
      <c r="I826" s="22" t="s">
        <v>363</v>
      </c>
      <c r="J826" s="22"/>
      <c r="K826" s="22"/>
      <c r="L826" s="2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105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1"/>
      <c r="BZ826" s="1"/>
    </row>
    <row r="827" spans="1:81">
      <c r="A827" s="240"/>
      <c r="B827" s="241"/>
      <c r="C827" s="241"/>
      <c r="D827" s="241"/>
      <c r="E827" s="241"/>
      <c r="F827" s="241"/>
      <c r="G827" s="241"/>
      <c r="H827" s="241"/>
      <c r="I827" s="44" t="s">
        <v>373</v>
      </c>
      <c r="J827" s="44"/>
      <c r="K827" s="44"/>
      <c r="L827" s="44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105"/>
      <c r="BC827" s="3"/>
      <c r="BD827" s="3"/>
      <c r="BE827" s="3"/>
      <c r="BF827" s="3"/>
      <c r="BG827" s="3"/>
      <c r="BH827" s="3"/>
      <c r="BI827" s="3"/>
      <c r="BJ827" s="3"/>
      <c r="BK827" s="3"/>
      <c r="BL827" s="3">
        <v>226.95</v>
      </c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1"/>
      <c r="BZ827" s="1"/>
    </row>
    <row r="828" spans="1:81">
      <c r="A828" s="240"/>
      <c r="B828" s="241"/>
      <c r="C828" s="241"/>
      <c r="D828" s="241"/>
      <c r="E828" s="241"/>
      <c r="F828" s="241"/>
      <c r="G828" s="241"/>
      <c r="H828" s="241"/>
      <c r="I828" s="22"/>
      <c r="J828" s="3">
        <f>SUM(J817:J826)-J827</f>
        <v>0</v>
      </c>
      <c r="K828" s="3">
        <f t="shared" ref="K828:Y828" si="419">SUM(K817:K826)-K827</f>
        <v>0</v>
      </c>
      <c r="L828" s="3">
        <f t="shared" si="419"/>
        <v>0</v>
      </c>
      <c r="M828" s="3">
        <f t="shared" si="419"/>
        <v>0</v>
      </c>
      <c r="N828" s="3">
        <f t="shared" si="419"/>
        <v>0</v>
      </c>
      <c r="O828" s="3">
        <f t="shared" si="419"/>
        <v>0</v>
      </c>
      <c r="P828" s="3">
        <f t="shared" si="419"/>
        <v>0</v>
      </c>
      <c r="Q828" s="3">
        <f t="shared" si="419"/>
        <v>0</v>
      </c>
      <c r="R828" s="3">
        <f t="shared" si="419"/>
        <v>0</v>
      </c>
      <c r="S828" s="3">
        <f t="shared" si="419"/>
        <v>0</v>
      </c>
      <c r="T828" s="3">
        <f t="shared" si="419"/>
        <v>0</v>
      </c>
      <c r="U828" s="3">
        <f t="shared" si="419"/>
        <v>0</v>
      </c>
      <c r="V828" s="3">
        <f t="shared" si="419"/>
        <v>0</v>
      </c>
      <c r="W828" s="3">
        <f t="shared" si="419"/>
        <v>0</v>
      </c>
      <c r="X828" s="3">
        <f t="shared" si="419"/>
        <v>0</v>
      </c>
      <c r="Y828" s="3">
        <f t="shared" si="419"/>
        <v>0</v>
      </c>
      <c r="Z828" s="3">
        <f>SUM(Z817:Z826)-Z827</f>
        <v>0</v>
      </c>
      <c r="AA828" s="3">
        <f t="shared" ref="AA828:AD828" si="420">SUM(AA817:AA826)-AA827</f>
        <v>0</v>
      </c>
      <c r="AB828" s="3">
        <f t="shared" si="420"/>
        <v>0</v>
      </c>
      <c r="AC828" s="3">
        <f t="shared" si="420"/>
        <v>0</v>
      </c>
      <c r="AD828" s="3">
        <f t="shared" si="420"/>
        <v>0</v>
      </c>
      <c r="AE828" s="3">
        <f>SUM(AE817:AE826)-AE827</f>
        <v>0</v>
      </c>
      <c r="AF828" s="3">
        <f>SUM(AF817:AF826)-AF827</f>
        <v>0</v>
      </c>
      <c r="AG828" s="3">
        <f t="shared" ref="AG828:AP828" si="421">SUM(AG817:AG826)-AG827</f>
        <v>0</v>
      </c>
      <c r="AH828" s="3">
        <f t="shared" si="421"/>
        <v>0</v>
      </c>
      <c r="AI828" s="3">
        <f t="shared" si="421"/>
        <v>0</v>
      </c>
      <c r="AJ828" s="3">
        <f t="shared" si="421"/>
        <v>0</v>
      </c>
      <c r="AK828" s="3">
        <f t="shared" si="421"/>
        <v>0</v>
      </c>
      <c r="AL828" s="3">
        <f t="shared" si="421"/>
        <v>0</v>
      </c>
      <c r="AM828" s="3">
        <f t="shared" si="421"/>
        <v>0</v>
      </c>
      <c r="AN828" s="3">
        <f t="shared" si="421"/>
        <v>0</v>
      </c>
      <c r="AO828" s="3">
        <f t="shared" si="421"/>
        <v>0</v>
      </c>
      <c r="AP828" s="3">
        <f t="shared" si="421"/>
        <v>0</v>
      </c>
      <c r="AQ828" s="3">
        <f t="shared" ref="AQ828:AU828" si="422">SUM(AQ817:AQ826)-AQ827</f>
        <v>0</v>
      </c>
      <c r="AR828" s="3">
        <f t="shared" si="422"/>
        <v>0</v>
      </c>
      <c r="AS828" s="3">
        <f t="shared" si="422"/>
        <v>0</v>
      </c>
      <c r="AT828" s="3">
        <f t="shared" si="422"/>
        <v>0</v>
      </c>
      <c r="AU828" s="3">
        <f t="shared" si="422"/>
        <v>0</v>
      </c>
      <c r="AV828" s="3">
        <f>SUM(AV817:AV826)-AV827</f>
        <v>0</v>
      </c>
      <c r="AW828" s="3">
        <f t="shared" ref="AW828:BA828" si="423">SUM(AW817:AW826)-AW827</f>
        <v>0</v>
      </c>
      <c r="AX828" s="3">
        <f t="shared" si="423"/>
        <v>0</v>
      </c>
      <c r="AY828" s="3">
        <f t="shared" si="423"/>
        <v>0</v>
      </c>
      <c r="AZ828" s="3">
        <f t="shared" si="423"/>
        <v>0</v>
      </c>
      <c r="BA828" s="3">
        <f t="shared" si="423"/>
        <v>0</v>
      </c>
      <c r="BB828" s="105"/>
      <c r="BC828" s="3"/>
      <c r="BD828" s="3"/>
      <c r="BE828" s="3"/>
      <c r="BF828" s="3"/>
      <c r="BG828" s="3"/>
      <c r="BH828" s="3"/>
      <c r="BI828" s="3"/>
      <c r="BJ828" s="3"/>
      <c r="BK828" s="3"/>
      <c r="BL828" s="3">
        <f>BL818+BL824-BL827+BL822</f>
        <v>2007.3799999999999</v>
      </c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105">
        <f>SUM(BD828:BN828)</f>
        <v>2007.3799999999999</v>
      </c>
      <c r="BY828" s="1"/>
      <c r="BZ828" s="1"/>
    </row>
    <row r="829" spans="1:81" ht="15.6" customHeight="1">
      <c r="A829" s="148" t="s">
        <v>346</v>
      </c>
      <c r="B829" s="148" t="s">
        <v>347</v>
      </c>
      <c r="C829" s="145" t="s">
        <v>310</v>
      </c>
      <c r="D829" s="145" t="s">
        <v>311</v>
      </c>
      <c r="E829" s="148" t="s">
        <v>312</v>
      </c>
      <c r="F829" s="148" t="s">
        <v>348</v>
      </c>
      <c r="G829" s="145" t="s">
        <v>314</v>
      </c>
      <c r="H829" s="145" t="s">
        <v>315</v>
      </c>
      <c r="I829" s="145" t="s">
        <v>349</v>
      </c>
      <c r="J829" s="146">
        <v>44105</v>
      </c>
      <c r="K829" s="146">
        <v>44136</v>
      </c>
      <c r="L829" s="146">
        <v>44166</v>
      </c>
      <c r="M829" s="146">
        <v>44197</v>
      </c>
      <c r="N829" s="146">
        <v>44228</v>
      </c>
      <c r="O829" s="146">
        <v>44256</v>
      </c>
      <c r="P829" s="146">
        <v>44287</v>
      </c>
      <c r="Q829" s="146">
        <v>44317</v>
      </c>
      <c r="R829" s="146">
        <v>44348</v>
      </c>
      <c r="S829" s="146">
        <v>44378</v>
      </c>
      <c r="T829" s="146">
        <v>44409</v>
      </c>
      <c r="U829" s="146">
        <v>44440</v>
      </c>
      <c r="V829" s="146">
        <v>44470</v>
      </c>
      <c r="W829" s="146">
        <v>44501</v>
      </c>
      <c r="X829" s="146">
        <v>44531</v>
      </c>
      <c r="Y829" s="146">
        <v>44562</v>
      </c>
      <c r="Z829" s="146">
        <v>44593</v>
      </c>
      <c r="AA829" s="146">
        <v>44621</v>
      </c>
      <c r="AB829" s="146">
        <v>44652</v>
      </c>
      <c r="AC829" s="146">
        <v>44682</v>
      </c>
      <c r="AD829" s="146">
        <v>44713</v>
      </c>
      <c r="AE829" s="146">
        <v>44743</v>
      </c>
      <c r="AF829" s="146">
        <v>44774</v>
      </c>
      <c r="AG829" s="146">
        <v>44805</v>
      </c>
      <c r="AH829" s="146">
        <v>44835</v>
      </c>
      <c r="AI829" s="146">
        <v>44866</v>
      </c>
      <c r="AJ829" s="146">
        <v>44896</v>
      </c>
      <c r="AK829" s="146">
        <v>44927</v>
      </c>
      <c r="AL829" s="146">
        <v>44958</v>
      </c>
      <c r="AM829" s="146">
        <v>44986</v>
      </c>
      <c r="AN829" s="146">
        <v>45017</v>
      </c>
      <c r="AO829" s="146">
        <v>45047</v>
      </c>
      <c r="AP829" s="146">
        <v>45078</v>
      </c>
      <c r="AQ829" s="146">
        <v>45108</v>
      </c>
      <c r="AR829" s="146">
        <v>45139</v>
      </c>
      <c r="AS829" s="146">
        <v>45170</v>
      </c>
      <c r="AT829" s="146">
        <v>45200</v>
      </c>
      <c r="AU829" s="146">
        <v>45231</v>
      </c>
      <c r="AV829" s="146">
        <v>45261</v>
      </c>
      <c r="AW829" s="146">
        <v>45292</v>
      </c>
      <c r="AX829" s="146">
        <v>45323</v>
      </c>
      <c r="AY829" s="146">
        <v>45352</v>
      </c>
      <c r="AZ829" s="146">
        <v>45383</v>
      </c>
      <c r="BA829" s="146">
        <v>45413</v>
      </c>
      <c r="BB829" s="146">
        <v>45444</v>
      </c>
      <c r="BC829" s="146">
        <v>45474</v>
      </c>
      <c r="BD829" s="146">
        <v>45505</v>
      </c>
      <c r="BE829" s="146">
        <v>45536</v>
      </c>
      <c r="BF829" s="146">
        <v>45566</v>
      </c>
      <c r="BG829" s="146">
        <v>45597</v>
      </c>
      <c r="BH829" s="146">
        <v>45627</v>
      </c>
      <c r="BI829" s="146">
        <v>45658</v>
      </c>
      <c r="BJ829" s="146">
        <v>45689</v>
      </c>
      <c r="BK829" s="146">
        <v>45717</v>
      </c>
      <c r="BL829" s="146">
        <v>45748</v>
      </c>
      <c r="BM829" s="146">
        <v>45778</v>
      </c>
      <c r="BN829" s="146">
        <v>45809</v>
      </c>
      <c r="BO829" s="146">
        <v>45839</v>
      </c>
      <c r="BP829" s="146">
        <v>45870</v>
      </c>
      <c r="BQ829" s="146">
        <v>45901</v>
      </c>
      <c r="BR829" s="146">
        <v>45931</v>
      </c>
      <c r="BS829" s="146">
        <v>45962</v>
      </c>
      <c r="BT829" s="146">
        <v>45992</v>
      </c>
      <c r="BU829" s="146">
        <v>46023</v>
      </c>
      <c r="BV829" s="146">
        <v>46054</v>
      </c>
      <c r="BW829" s="146"/>
      <c r="BX829" s="147" t="s">
        <v>13</v>
      </c>
      <c r="BY829" s="5"/>
      <c r="BZ829" s="5"/>
      <c r="CA829" s="5"/>
    </row>
    <row r="830" spans="1:81" s="107" customFormat="1" ht="15.75" customHeight="1">
      <c r="A830" s="262">
        <v>62</v>
      </c>
      <c r="B830" s="241" t="s">
        <v>199</v>
      </c>
      <c r="C830" s="241" t="s">
        <v>23</v>
      </c>
      <c r="D830" s="241" t="s">
        <v>89</v>
      </c>
      <c r="E830" s="241" t="s">
        <v>150</v>
      </c>
      <c r="F830" s="241" t="s">
        <v>150</v>
      </c>
      <c r="G830" s="242">
        <v>45751</v>
      </c>
      <c r="H830" s="241"/>
      <c r="I830" s="106" t="s">
        <v>390</v>
      </c>
      <c r="J830" s="106"/>
      <c r="K830" s="106"/>
      <c r="L830" s="106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5"/>
      <c r="BE830" s="105"/>
      <c r="BF830" s="105"/>
      <c r="BG830" s="105"/>
      <c r="BH830" s="105"/>
      <c r="BI830" s="105"/>
      <c r="BJ830" s="105"/>
      <c r="BK830" s="105"/>
      <c r="BL830" s="105"/>
      <c r="BM830" s="105"/>
      <c r="BN830" s="105"/>
      <c r="BO830" s="105"/>
      <c r="BP830" s="105"/>
      <c r="BQ830" s="105"/>
      <c r="BR830" s="105"/>
      <c r="BS830" s="105"/>
      <c r="BT830" s="105"/>
      <c r="BU830" s="105"/>
      <c r="BV830" s="105"/>
      <c r="BW830" s="105"/>
      <c r="BX830" s="105"/>
      <c r="BY830" s="117"/>
      <c r="BZ830" s="117"/>
      <c r="CA830" s="117"/>
      <c r="CC830" s="118"/>
    </row>
    <row r="831" spans="1:81" s="107" customFormat="1" ht="15.75" customHeight="1">
      <c r="A831" s="262"/>
      <c r="B831" s="241"/>
      <c r="C831" s="241"/>
      <c r="D831" s="241"/>
      <c r="E831" s="241"/>
      <c r="F831" s="241"/>
      <c r="G831" s="241"/>
      <c r="H831" s="241"/>
      <c r="I831" s="106" t="s">
        <v>351</v>
      </c>
      <c r="J831" s="106"/>
      <c r="K831" s="106"/>
      <c r="L831" s="106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05"/>
      <c r="AU831" s="105"/>
      <c r="AV831" s="105"/>
      <c r="AW831" s="105"/>
      <c r="AX831" s="105"/>
      <c r="AY831" s="105"/>
      <c r="AZ831" s="105"/>
      <c r="BA831" s="105"/>
      <c r="BB831" s="105"/>
      <c r="BC831" s="105"/>
      <c r="BD831" s="105"/>
      <c r="BE831" s="105"/>
      <c r="BF831" s="105"/>
      <c r="BG831" s="105"/>
      <c r="BH831" s="105"/>
      <c r="BI831" s="105"/>
      <c r="BJ831" s="105"/>
      <c r="BK831" s="105"/>
      <c r="BL831" s="105">
        <v>1664.83</v>
      </c>
      <c r="BM831" s="105">
        <v>1849.81</v>
      </c>
      <c r="BN831" s="105">
        <v>1849.81</v>
      </c>
      <c r="BO831" s="105">
        <v>1849.81</v>
      </c>
      <c r="BP831" s="105">
        <v>1849.81</v>
      </c>
      <c r="BQ831" s="105">
        <v>1849.81</v>
      </c>
      <c r="BR831" s="105">
        <v>1849.81</v>
      </c>
      <c r="BS831" s="105">
        <v>1849.81</v>
      </c>
      <c r="BT831" s="105">
        <v>1849.81</v>
      </c>
      <c r="BU831" s="105"/>
      <c r="BV831" s="105"/>
      <c r="BW831" s="105"/>
      <c r="BX831" s="105"/>
      <c r="BY831" s="117"/>
      <c r="BZ831" s="117"/>
      <c r="CA831" s="117"/>
      <c r="CC831" s="118"/>
    </row>
    <row r="832" spans="1:81" s="107" customFormat="1" ht="15.75" customHeight="1">
      <c r="A832" s="262"/>
      <c r="B832" s="241"/>
      <c r="C832" s="241"/>
      <c r="D832" s="241"/>
      <c r="E832" s="241"/>
      <c r="F832" s="241"/>
      <c r="G832" s="241"/>
      <c r="H832" s="241"/>
      <c r="I832" s="106" t="s">
        <v>391</v>
      </c>
      <c r="J832" s="106"/>
      <c r="K832" s="106"/>
      <c r="L832" s="106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9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5"/>
      <c r="BE832" s="105"/>
      <c r="BF832" s="105"/>
      <c r="BG832" s="105"/>
      <c r="BH832" s="105"/>
      <c r="BI832" s="105"/>
      <c r="BJ832" s="105"/>
      <c r="BK832" s="105"/>
      <c r="BL832" s="105"/>
      <c r="BM832" s="105"/>
      <c r="BN832" s="105"/>
      <c r="BO832" s="105"/>
      <c r="BP832" s="105"/>
      <c r="BQ832" s="105"/>
      <c r="BR832" s="105"/>
      <c r="BS832" s="105"/>
      <c r="BT832" s="105"/>
      <c r="BU832" s="105"/>
      <c r="BV832" s="105"/>
      <c r="BW832" s="105"/>
      <c r="BX832" s="105"/>
      <c r="BY832" s="117"/>
      <c r="BZ832" s="117"/>
      <c r="CA832" s="117"/>
      <c r="CC832" s="118"/>
    </row>
    <row r="833" spans="1:81" s="107" customFormat="1" ht="15.75" customHeight="1">
      <c r="A833" s="262"/>
      <c r="B833" s="241"/>
      <c r="C833" s="241"/>
      <c r="D833" s="241"/>
      <c r="E833" s="241"/>
      <c r="F833" s="241"/>
      <c r="G833" s="241"/>
      <c r="H833" s="241"/>
      <c r="I833" s="106" t="s">
        <v>351</v>
      </c>
      <c r="J833" s="106"/>
      <c r="K833" s="106"/>
      <c r="L833" s="106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9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05"/>
      <c r="AU833" s="105"/>
      <c r="AV833" s="105"/>
      <c r="AW833" s="105"/>
      <c r="AX833" s="105"/>
      <c r="AY833" s="105"/>
      <c r="AZ833" s="105"/>
      <c r="BA833" s="105"/>
      <c r="BB833" s="105"/>
      <c r="BC833" s="105"/>
      <c r="BD833" s="105"/>
      <c r="BE833" s="105"/>
      <c r="BF833" s="105"/>
      <c r="BG833" s="105"/>
      <c r="BH833" s="105"/>
      <c r="BI833" s="105"/>
      <c r="BJ833" s="105"/>
      <c r="BK833" s="105"/>
      <c r="BL833" s="105"/>
      <c r="BM833" s="105"/>
      <c r="BN833" s="105"/>
      <c r="BO833" s="105"/>
      <c r="BP833" s="105"/>
      <c r="BQ833" s="105"/>
      <c r="BR833" s="105"/>
      <c r="BS833" s="105"/>
      <c r="BT833" s="105"/>
      <c r="BU833" s="105"/>
      <c r="BV833" s="105"/>
      <c r="BW833" s="105"/>
      <c r="BX833" s="105"/>
      <c r="BY833" s="117"/>
      <c r="BZ833" s="117"/>
      <c r="CA833" s="117"/>
      <c r="CC833" s="118"/>
    </row>
    <row r="834" spans="1:81" s="107" customFormat="1" ht="15.75" customHeight="1">
      <c r="A834" s="262"/>
      <c r="B834" s="241"/>
      <c r="C834" s="241"/>
      <c r="D834" s="241"/>
      <c r="E834" s="241"/>
      <c r="F834" s="241"/>
      <c r="G834" s="241"/>
      <c r="H834" s="241"/>
      <c r="I834" s="106" t="s">
        <v>353</v>
      </c>
      <c r="J834" s="106"/>
      <c r="K834" s="106"/>
      <c r="L834" s="106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5"/>
      <c r="BE834" s="105"/>
      <c r="BF834" s="105"/>
      <c r="BG834" s="105"/>
      <c r="BH834" s="105"/>
      <c r="BI834" s="105"/>
      <c r="BJ834" s="105"/>
      <c r="BK834" s="105"/>
      <c r="BL834" s="105"/>
      <c r="BM834" s="105"/>
      <c r="BN834" s="105"/>
      <c r="BO834" s="105"/>
      <c r="BP834" s="105"/>
      <c r="BQ834" s="105"/>
      <c r="BR834" s="105"/>
      <c r="BS834" s="105"/>
      <c r="BT834" s="105"/>
      <c r="BU834" s="105"/>
      <c r="BV834" s="105"/>
      <c r="BW834" s="105"/>
      <c r="BX834" s="105"/>
      <c r="BY834" s="117"/>
      <c r="BZ834" s="117"/>
      <c r="CA834" s="117"/>
      <c r="CC834" s="118"/>
    </row>
    <row r="835" spans="1:81" s="107" customFormat="1" ht="15.75" customHeight="1">
      <c r="A835" s="262"/>
      <c r="B835" s="241"/>
      <c r="C835" s="241"/>
      <c r="D835" s="241"/>
      <c r="E835" s="241"/>
      <c r="F835" s="241"/>
      <c r="G835" s="241"/>
      <c r="H835" s="241"/>
      <c r="I835" s="106" t="s">
        <v>354</v>
      </c>
      <c r="J835" s="106"/>
      <c r="K835" s="106"/>
      <c r="L835" s="106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05"/>
      <c r="AU835" s="105"/>
      <c r="AV835" s="105"/>
      <c r="AW835" s="105"/>
      <c r="AX835" s="105"/>
      <c r="AY835" s="105"/>
      <c r="AZ835" s="105"/>
      <c r="BA835" s="105"/>
      <c r="BB835" s="105"/>
      <c r="BC835" s="105"/>
      <c r="BD835" s="105"/>
      <c r="BE835" s="105"/>
      <c r="BF835" s="105"/>
      <c r="BG835" s="105"/>
      <c r="BH835" s="105"/>
      <c r="BI835" s="105"/>
      <c r="BJ835" s="105"/>
      <c r="BK835" s="105"/>
      <c r="BL835" s="105">
        <f>289.5+280</f>
        <v>569.5</v>
      </c>
      <c r="BM835" s="105">
        <v>569</v>
      </c>
      <c r="BN835" s="105">
        <v>612</v>
      </c>
      <c r="BO835" s="105">
        <f>491.4+320</f>
        <v>811.4</v>
      </c>
      <c r="BP835" s="105">
        <f>320+472.5</f>
        <v>792.5</v>
      </c>
      <c r="BQ835" s="105">
        <f>491.4+320</f>
        <v>811.4</v>
      </c>
      <c r="BR835" s="105">
        <f>510.3+320</f>
        <v>830.3</v>
      </c>
      <c r="BS835" s="105">
        <f>434.7+320</f>
        <v>754.7</v>
      </c>
      <c r="BT835" s="105">
        <v>754.7</v>
      </c>
      <c r="BU835" s="105">
        <f>491.4+320</f>
        <v>811.4</v>
      </c>
      <c r="BV835" s="105"/>
      <c r="BW835" s="105"/>
      <c r="BX835" s="105"/>
      <c r="BY835" s="117"/>
      <c r="BZ835" s="117"/>
      <c r="CA835" s="117"/>
      <c r="CC835" s="118"/>
    </row>
    <row r="836" spans="1:81" s="107" customFormat="1" ht="15.75" customHeight="1">
      <c r="A836" s="262"/>
      <c r="B836" s="241"/>
      <c r="C836" s="241"/>
      <c r="D836" s="241"/>
      <c r="E836" s="241"/>
      <c r="F836" s="241"/>
      <c r="G836" s="241"/>
      <c r="H836" s="241"/>
      <c r="I836" s="106" t="s">
        <v>355</v>
      </c>
      <c r="J836" s="106"/>
      <c r="K836" s="106"/>
      <c r="L836" s="106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5"/>
      <c r="BE836" s="105"/>
      <c r="BF836" s="105"/>
      <c r="BG836" s="105"/>
      <c r="BH836" s="105"/>
      <c r="BI836" s="105"/>
      <c r="BJ836" s="105"/>
      <c r="BK836" s="105"/>
      <c r="BL836" s="105"/>
      <c r="BM836" s="105"/>
      <c r="BN836" s="105"/>
      <c r="BO836" s="105"/>
      <c r="BP836" s="105"/>
      <c r="BQ836" s="105"/>
      <c r="BR836" s="105"/>
      <c r="BS836" s="105"/>
      <c r="BT836" s="105"/>
      <c r="BU836" s="105"/>
      <c r="BV836" s="105"/>
      <c r="BW836" s="105"/>
      <c r="BX836" s="105"/>
      <c r="BY836" s="117"/>
      <c r="BZ836" s="117"/>
      <c r="CA836" s="117"/>
      <c r="CC836" s="118"/>
    </row>
    <row r="837" spans="1:81" s="107" customFormat="1" ht="15.75" customHeight="1">
      <c r="A837" s="262"/>
      <c r="B837" s="241"/>
      <c r="C837" s="241"/>
      <c r="D837" s="241"/>
      <c r="E837" s="241"/>
      <c r="F837" s="241"/>
      <c r="G837" s="241"/>
      <c r="H837" s="241"/>
      <c r="I837" s="106" t="s">
        <v>357</v>
      </c>
      <c r="J837" s="106"/>
      <c r="K837" s="106"/>
      <c r="L837" s="106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05"/>
      <c r="AU837" s="105"/>
      <c r="AV837" s="105"/>
      <c r="AW837" s="105"/>
      <c r="AX837" s="105"/>
      <c r="AY837" s="105"/>
      <c r="AZ837" s="105"/>
      <c r="BA837" s="105"/>
      <c r="BB837" s="105"/>
      <c r="BC837" s="105"/>
      <c r="BD837" s="105"/>
      <c r="BE837" s="105"/>
      <c r="BF837" s="105"/>
      <c r="BG837" s="105"/>
      <c r="BH837" s="105"/>
      <c r="BI837" s="105"/>
      <c r="BJ837" s="105"/>
      <c r="BK837" s="105"/>
      <c r="BL837" s="105"/>
      <c r="BM837" s="105"/>
      <c r="BN837" s="105"/>
      <c r="BO837" s="105"/>
      <c r="BP837" s="105"/>
      <c r="BQ837" s="105"/>
      <c r="BR837" s="105"/>
      <c r="BS837" s="105"/>
      <c r="BT837" s="105"/>
      <c r="BU837" s="105"/>
      <c r="BV837" s="105"/>
      <c r="BW837" s="105"/>
      <c r="BX837" s="105"/>
      <c r="BY837" s="117"/>
      <c r="BZ837" s="117"/>
      <c r="CA837" s="117"/>
      <c r="CC837" s="118"/>
    </row>
    <row r="838" spans="1:81" s="107" customFormat="1" ht="15.75" customHeight="1">
      <c r="A838" s="262"/>
      <c r="B838" s="241"/>
      <c r="C838" s="241"/>
      <c r="D838" s="241"/>
      <c r="E838" s="241"/>
      <c r="F838" s="241"/>
      <c r="G838" s="241"/>
      <c r="H838" s="241"/>
      <c r="I838" s="131" t="s">
        <v>362</v>
      </c>
      <c r="J838" s="106"/>
      <c r="K838" s="106"/>
      <c r="L838" s="106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5"/>
      <c r="BE838" s="105"/>
      <c r="BF838" s="105"/>
      <c r="BG838" s="105"/>
      <c r="BH838" s="105"/>
      <c r="BI838" s="105"/>
      <c r="BJ838" s="105"/>
      <c r="BK838" s="105"/>
      <c r="BL838" s="105"/>
      <c r="BM838" s="105"/>
      <c r="BN838" s="105"/>
      <c r="BO838" s="105"/>
      <c r="BP838" s="105"/>
      <c r="BQ838" s="105"/>
      <c r="BR838" s="105"/>
      <c r="BS838" s="105"/>
      <c r="BT838" s="105"/>
      <c r="BU838" s="105">
        <v>5257.42</v>
      </c>
      <c r="BV838" s="105"/>
      <c r="BW838" s="105"/>
      <c r="BX838" s="105"/>
      <c r="BY838" s="117"/>
      <c r="BZ838" s="117"/>
      <c r="CA838" s="117"/>
      <c r="CC838" s="118"/>
    </row>
    <row r="839" spans="1:81" s="107" customFormat="1">
      <c r="A839" s="262"/>
      <c r="B839" s="241"/>
      <c r="C839" s="241"/>
      <c r="D839" s="241"/>
      <c r="E839" s="241"/>
      <c r="F839" s="241"/>
      <c r="G839" s="241"/>
      <c r="H839" s="241"/>
      <c r="I839" s="132" t="s">
        <v>363</v>
      </c>
      <c r="J839" s="132"/>
      <c r="K839" s="132"/>
      <c r="L839" s="132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05"/>
      <c r="AU839" s="105"/>
      <c r="AV839" s="105"/>
      <c r="AW839" s="105"/>
      <c r="AX839" s="105"/>
      <c r="AY839" s="105"/>
      <c r="AZ839" s="105"/>
      <c r="BA839" s="105"/>
      <c r="BB839" s="105"/>
      <c r="BC839" s="105"/>
      <c r="BD839" s="105"/>
      <c r="BE839" s="105"/>
      <c r="BF839" s="105"/>
      <c r="BG839" s="105"/>
      <c r="BH839" s="105"/>
      <c r="BI839" s="105"/>
      <c r="BJ839" s="105"/>
      <c r="BK839" s="105"/>
      <c r="BL839" s="105"/>
      <c r="BM839" s="105"/>
      <c r="BN839" s="105"/>
      <c r="BO839" s="105"/>
      <c r="BP839" s="105"/>
      <c r="BQ839" s="105"/>
      <c r="BR839" s="105"/>
      <c r="BS839" s="105"/>
      <c r="BT839" s="105"/>
      <c r="BU839" s="105"/>
      <c r="BV839" s="105"/>
      <c r="BW839" s="105"/>
      <c r="BX839" s="105"/>
      <c r="BY839" s="117"/>
      <c r="BZ839" s="117"/>
    </row>
    <row r="840" spans="1:81" s="107" customFormat="1">
      <c r="A840" s="262"/>
      <c r="B840" s="241"/>
      <c r="C840" s="241"/>
      <c r="D840" s="241"/>
      <c r="E840" s="241"/>
      <c r="F840" s="241"/>
      <c r="G840" s="241"/>
      <c r="H840" s="241"/>
      <c r="I840" s="133" t="s">
        <v>373</v>
      </c>
      <c r="J840" s="133"/>
      <c r="K840" s="133"/>
      <c r="L840" s="133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5"/>
      <c r="BE840" s="105"/>
      <c r="BF840" s="105"/>
      <c r="BG840" s="105"/>
      <c r="BH840" s="105"/>
      <c r="BI840" s="105"/>
      <c r="BJ840" s="105"/>
      <c r="BK840" s="105"/>
      <c r="BL840" s="105">
        <v>226.95</v>
      </c>
      <c r="BM840" s="105">
        <v>226.95</v>
      </c>
      <c r="BN840" s="105">
        <v>226.95</v>
      </c>
      <c r="BO840" s="105">
        <v>226.95</v>
      </c>
      <c r="BP840" s="105">
        <v>226.95</v>
      </c>
      <c r="BQ840" s="105">
        <v>226.95</v>
      </c>
      <c r="BR840" s="105">
        <v>471.74</v>
      </c>
      <c r="BS840" s="105">
        <v>254.7</v>
      </c>
      <c r="BT840" s="105">
        <v>801.58</v>
      </c>
      <c r="BU840" s="105">
        <v>1694.56</v>
      </c>
      <c r="BV840" s="105"/>
      <c r="BW840" s="105"/>
      <c r="BX840" s="105"/>
      <c r="BY840" s="117"/>
      <c r="BZ840" s="117"/>
    </row>
    <row r="841" spans="1:81" s="107" customFormat="1">
      <c r="A841" s="262"/>
      <c r="B841" s="241"/>
      <c r="C841" s="241"/>
      <c r="D841" s="241"/>
      <c r="E841" s="241"/>
      <c r="F841" s="241"/>
      <c r="G841" s="241"/>
      <c r="H841" s="241"/>
      <c r="I841" s="132"/>
      <c r="J841" s="105">
        <f>SUM(J830:J839)-J840</f>
        <v>0</v>
      </c>
      <c r="K841" s="105">
        <f t="shared" ref="K841:Y841" si="424">SUM(K830:K839)-K840</f>
        <v>0</v>
      </c>
      <c r="L841" s="105">
        <f t="shared" si="424"/>
        <v>0</v>
      </c>
      <c r="M841" s="105">
        <f t="shared" si="424"/>
        <v>0</v>
      </c>
      <c r="N841" s="105">
        <f t="shared" si="424"/>
        <v>0</v>
      </c>
      <c r="O841" s="105">
        <f t="shared" si="424"/>
        <v>0</v>
      </c>
      <c r="P841" s="105">
        <f t="shared" si="424"/>
        <v>0</v>
      </c>
      <c r="Q841" s="105">
        <f t="shared" si="424"/>
        <v>0</v>
      </c>
      <c r="R841" s="105">
        <f t="shared" si="424"/>
        <v>0</v>
      </c>
      <c r="S841" s="105">
        <f t="shared" si="424"/>
        <v>0</v>
      </c>
      <c r="T841" s="105">
        <f t="shared" si="424"/>
        <v>0</v>
      </c>
      <c r="U841" s="105">
        <f t="shared" si="424"/>
        <v>0</v>
      </c>
      <c r="V841" s="105">
        <f t="shared" si="424"/>
        <v>0</v>
      </c>
      <c r="W841" s="105">
        <f t="shared" si="424"/>
        <v>0</v>
      </c>
      <c r="X841" s="105">
        <f t="shared" si="424"/>
        <v>0</v>
      </c>
      <c r="Y841" s="105">
        <f t="shared" si="424"/>
        <v>0</v>
      </c>
      <c r="Z841" s="105">
        <f>SUM(Z830:Z839)-Z840</f>
        <v>0</v>
      </c>
      <c r="AA841" s="105">
        <f t="shared" ref="AA841:AD841" si="425">SUM(AA830:AA839)-AA840</f>
        <v>0</v>
      </c>
      <c r="AB841" s="105">
        <f t="shared" si="425"/>
        <v>0</v>
      </c>
      <c r="AC841" s="105">
        <f t="shared" si="425"/>
        <v>0</v>
      </c>
      <c r="AD841" s="105">
        <f t="shared" si="425"/>
        <v>0</v>
      </c>
      <c r="AE841" s="105">
        <f>SUM(AE830:AE839)-AE840</f>
        <v>0</v>
      </c>
      <c r="AF841" s="105">
        <f>SUM(AF830:AF839)-AF840</f>
        <v>0</v>
      </c>
      <c r="AG841" s="105">
        <f t="shared" ref="AG841:AP841" si="426">SUM(AG830:AG839)-AG840</f>
        <v>0</v>
      </c>
      <c r="AH841" s="105">
        <f t="shared" si="426"/>
        <v>0</v>
      </c>
      <c r="AI841" s="105">
        <f t="shared" si="426"/>
        <v>0</v>
      </c>
      <c r="AJ841" s="105">
        <f t="shared" si="426"/>
        <v>0</v>
      </c>
      <c r="AK841" s="105">
        <f t="shared" si="426"/>
        <v>0</v>
      </c>
      <c r="AL841" s="105">
        <f t="shared" si="426"/>
        <v>0</v>
      </c>
      <c r="AM841" s="105">
        <f t="shared" si="426"/>
        <v>0</v>
      </c>
      <c r="AN841" s="105">
        <f t="shared" si="426"/>
        <v>0</v>
      </c>
      <c r="AO841" s="105">
        <f t="shared" si="426"/>
        <v>0</v>
      </c>
      <c r="AP841" s="105">
        <f t="shared" si="426"/>
        <v>0</v>
      </c>
      <c r="AQ841" s="105">
        <f t="shared" ref="AQ841:AU841" si="427">SUM(AQ830:AQ839)-AQ840</f>
        <v>0</v>
      </c>
      <c r="AR841" s="105">
        <f t="shared" si="427"/>
        <v>0</v>
      </c>
      <c r="AS841" s="105">
        <f t="shared" si="427"/>
        <v>0</v>
      </c>
      <c r="AT841" s="105">
        <f t="shared" si="427"/>
        <v>0</v>
      </c>
      <c r="AU841" s="105">
        <f t="shared" si="427"/>
        <v>0</v>
      </c>
      <c r="AV841" s="105">
        <f>SUM(AV830:AV839)-AV840</f>
        <v>0</v>
      </c>
      <c r="AW841" s="105">
        <f t="shared" ref="AW841:BA841" si="428">SUM(AW830:AW839)-AW840</f>
        <v>0</v>
      </c>
      <c r="AX841" s="105">
        <f t="shared" si="428"/>
        <v>0</v>
      </c>
      <c r="AY841" s="105">
        <f t="shared" si="428"/>
        <v>0</v>
      </c>
      <c r="AZ841" s="105">
        <f t="shared" si="428"/>
        <v>0</v>
      </c>
      <c r="BA841" s="105">
        <f t="shared" si="428"/>
        <v>0</v>
      </c>
      <c r="BB841" s="105"/>
      <c r="BC841" s="105"/>
      <c r="BD841" s="105"/>
      <c r="BE841" s="105"/>
      <c r="BF841" s="105"/>
      <c r="BG841" s="105"/>
      <c r="BH841" s="105"/>
      <c r="BI841" s="105"/>
      <c r="BJ841" s="105"/>
      <c r="BK841" s="105"/>
      <c r="BL841" s="105">
        <f t="shared" ref="BL841:BT841" si="429">BL831+BL837-BL840+BL835</f>
        <v>2007.3799999999999</v>
      </c>
      <c r="BM841" s="105">
        <f t="shared" si="429"/>
        <v>2191.8599999999997</v>
      </c>
      <c r="BN841" s="105">
        <f t="shared" si="429"/>
        <v>2234.8599999999997</v>
      </c>
      <c r="BO841" s="105">
        <f t="shared" si="429"/>
        <v>2434.2599999999998</v>
      </c>
      <c r="BP841" s="105">
        <f t="shared" si="429"/>
        <v>2415.3599999999997</v>
      </c>
      <c r="BQ841" s="105">
        <f t="shared" si="429"/>
        <v>2434.2599999999998</v>
      </c>
      <c r="BR841" s="105">
        <f t="shared" si="429"/>
        <v>2208.37</v>
      </c>
      <c r="BS841" s="105">
        <f t="shared" si="429"/>
        <v>2349.81</v>
      </c>
      <c r="BT841" s="105">
        <f t="shared" si="429"/>
        <v>1802.93</v>
      </c>
      <c r="BU841" s="105">
        <f>BU838+BU835-BU840</f>
        <v>4374.26</v>
      </c>
      <c r="BV841" s="105"/>
      <c r="BW841" s="105"/>
      <c r="BX841" s="105">
        <f>SUM(BD841:BV841)</f>
        <v>24453.35</v>
      </c>
      <c r="BY841" s="117"/>
      <c r="BZ841" s="117"/>
    </row>
    <row r="842" spans="1:81" ht="15.6" customHeight="1">
      <c r="A842" s="148" t="s">
        <v>346</v>
      </c>
      <c r="B842" s="148" t="s">
        <v>347</v>
      </c>
      <c r="C842" s="145" t="s">
        <v>310</v>
      </c>
      <c r="D842" s="145" t="s">
        <v>311</v>
      </c>
      <c r="E842" s="148" t="s">
        <v>312</v>
      </c>
      <c r="F842" s="148" t="s">
        <v>348</v>
      </c>
      <c r="G842" s="145" t="s">
        <v>314</v>
      </c>
      <c r="H842" s="145" t="s">
        <v>315</v>
      </c>
      <c r="I842" s="145" t="s">
        <v>349</v>
      </c>
      <c r="J842" s="146">
        <v>44105</v>
      </c>
      <c r="K842" s="146">
        <v>44136</v>
      </c>
      <c r="L842" s="146">
        <v>44166</v>
      </c>
      <c r="M842" s="146">
        <v>44197</v>
      </c>
      <c r="N842" s="146">
        <v>44228</v>
      </c>
      <c r="O842" s="146">
        <v>44256</v>
      </c>
      <c r="P842" s="146">
        <v>44287</v>
      </c>
      <c r="Q842" s="146">
        <v>44317</v>
      </c>
      <c r="R842" s="146">
        <v>44348</v>
      </c>
      <c r="S842" s="146">
        <v>44378</v>
      </c>
      <c r="T842" s="146">
        <v>44409</v>
      </c>
      <c r="U842" s="146">
        <v>44440</v>
      </c>
      <c r="V842" s="146">
        <v>44470</v>
      </c>
      <c r="W842" s="146">
        <v>44501</v>
      </c>
      <c r="X842" s="146">
        <v>44531</v>
      </c>
      <c r="Y842" s="146">
        <v>44562</v>
      </c>
      <c r="Z842" s="146">
        <v>44593</v>
      </c>
      <c r="AA842" s="146">
        <v>44621</v>
      </c>
      <c r="AB842" s="146">
        <v>44652</v>
      </c>
      <c r="AC842" s="146">
        <v>44682</v>
      </c>
      <c r="AD842" s="146">
        <v>44713</v>
      </c>
      <c r="AE842" s="146">
        <v>44743</v>
      </c>
      <c r="AF842" s="146">
        <v>44774</v>
      </c>
      <c r="AG842" s="146">
        <v>44805</v>
      </c>
      <c r="AH842" s="146">
        <v>44835</v>
      </c>
      <c r="AI842" s="146">
        <v>44866</v>
      </c>
      <c r="AJ842" s="146">
        <v>44896</v>
      </c>
      <c r="AK842" s="146">
        <v>44927</v>
      </c>
      <c r="AL842" s="146">
        <v>44958</v>
      </c>
      <c r="AM842" s="146">
        <v>44986</v>
      </c>
      <c r="AN842" s="146">
        <v>45017</v>
      </c>
      <c r="AO842" s="146">
        <v>45047</v>
      </c>
      <c r="AP842" s="146">
        <v>45078</v>
      </c>
      <c r="AQ842" s="146">
        <v>45108</v>
      </c>
      <c r="AR842" s="146">
        <v>45139</v>
      </c>
      <c r="AS842" s="146">
        <v>45170</v>
      </c>
      <c r="AT842" s="146">
        <v>45200</v>
      </c>
      <c r="AU842" s="146">
        <v>45231</v>
      </c>
      <c r="AV842" s="146">
        <v>45261</v>
      </c>
      <c r="AW842" s="146">
        <v>45292</v>
      </c>
      <c r="AX842" s="146">
        <v>45323</v>
      </c>
      <c r="AY842" s="146">
        <v>45352</v>
      </c>
      <c r="AZ842" s="146">
        <v>45383</v>
      </c>
      <c r="BA842" s="146">
        <v>45413</v>
      </c>
      <c r="BB842" s="146">
        <v>45444</v>
      </c>
      <c r="BC842" s="146">
        <v>45474</v>
      </c>
      <c r="BD842" s="146">
        <v>45505</v>
      </c>
      <c r="BE842" s="146">
        <v>45536</v>
      </c>
      <c r="BF842" s="146">
        <v>45566</v>
      </c>
      <c r="BG842" s="146">
        <v>45597</v>
      </c>
      <c r="BH842" s="146">
        <v>45627</v>
      </c>
      <c r="BI842" s="146">
        <v>45658</v>
      </c>
      <c r="BJ842" s="146">
        <v>45689</v>
      </c>
      <c r="BK842" s="146">
        <v>45717</v>
      </c>
      <c r="BL842" s="146">
        <v>45748</v>
      </c>
      <c r="BM842" s="146">
        <v>45778</v>
      </c>
      <c r="BN842" s="146">
        <v>45809</v>
      </c>
      <c r="BO842" s="146">
        <v>45839</v>
      </c>
      <c r="BP842" s="146">
        <v>45870</v>
      </c>
      <c r="BQ842" s="146">
        <v>45901</v>
      </c>
      <c r="BR842" s="146">
        <v>45931</v>
      </c>
      <c r="BS842" s="146"/>
      <c r="BT842" s="146"/>
      <c r="BU842" s="146"/>
      <c r="BV842" s="146"/>
      <c r="BW842" s="146"/>
      <c r="BX842" s="147" t="s">
        <v>13</v>
      </c>
      <c r="BY842" s="5"/>
      <c r="BZ842" s="5"/>
      <c r="CA842" s="5"/>
    </row>
    <row r="843" spans="1:81" ht="15.75" customHeight="1">
      <c r="A843" s="240">
        <v>63</v>
      </c>
      <c r="B843" s="241" t="s">
        <v>408</v>
      </c>
      <c r="C843" s="241" t="s">
        <v>23</v>
      </c>
      <c r="D843" s="241" t="s">
        <v>89</v>
      </c>
      <c r="E843" s="241" t="s">
        <v>150</v>
      </c>
      <c r="F843" s="241" t="s">
        <v>150</v>
      </c>
      <c r="G843" s="242">
        <v>45751</v>
      </c>
      <c r="H843" s="241"/>
      <c r="I843" s="21" t="s">
        <v>390</v>
      </c>
      <c r="J843" s="21"/>
      <c r="K843" s="21"/>
      <c r="L843" s="21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105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1"/>
      <c r="BZ843" s="1"/>
      <c r="CA843" s="1"/>
      <c r="CC843" s="6"/>
    </row>
    <row r="844" spans="1:81" ht="15.75" customHeight="1">
      <c r="A844" s="240"/>
      <c r="B844" s="241"/>
      <c r="C844" s="241"/>
      <c r="D844" s="241"/>
      <c r="E844" s="241"/>
      <c r="F844" s="241"/>
      <c r="G844" s="241"/>
      <c r="H844" s="241"/>
      <c r="I844" s="21" t="s">
        <v>351</v>
      </c>
      <c r="J844" s="21"/>
      <c r="K844" s="21"/>
      <c r="L844" s="21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105"/>
      <c r="BC844" s="3"/>
      <c r="BD844" s="3"/>
      <c r="BE844" s="3"/>
      <c r="BF844" s="3"/>
      <c r="BG844" s="3"/>
      <c r="BH844" s="3"/>
      <c r="BI844" s="3"/>
      <c r="BJ844" s="3"/>
      <c r="BK844" s="3"/>
      <c r="BL844" s="3">
        <v>1664.83</v>
      </c>
      <c r="BM844" s="3">
        <v>1849.81</v>
      </c>
      <c r="BN844" s="3">
        <v>1849.81</v>
      </c>
      <c r="BO844" s="3">
        <v>1849.81</v>
      </c>
      <c r="BP844" s="3">
        <v>1849.81</v>
      </c>
      <c r="BQ844" s="3">
        <v>1849.81</v>
      </c>
      <c r="BR844" s="3">
        <v>6217.43</v>
      </c>
      <c r="BS844" s="3"/>
      <c r="BT844" s="3"/>
      <c r="BU844" s="3"/>
      <c r="BV844" s="3"/>
      <c r="BW844" s="3"/>
      <c r="BX844" s="3"/>
      <c r="BY844" s="1"/>
      <c r="BZ844" s="1"/>
      <c r="CA844" s="1"/>
      <c r="CC844" s="6"/>
    </row>
    <row r="845" spans="1:81" ht="15.75" customHeight="1">
      <c r="A845" s="240"/>
      <c r="B845" s="241"/>
      <c r="C845" s="241"/>
      <c r="D845" s="241"/>
      <c r="E845" s="241"/>
      <c r="F845" s="241"/>
      <c r="G845" s="241"/>
      <c r="H845" s="241"/>
      <c r="I845" s="21" t="s">
        <v>391</v>
      </c>
      <c r="J845" s="21"/>
      <c r="K845" s="21"/>
      <c r="L845" s="21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12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105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1"/>
      <c r="BZ845" s="1"/>
      <c r="CA845" s="1"/>
      <c r="CC845" s="6"/>
    </row>
    <row r="846" spans="1:81" ht="15.75" customHeight="1">
      <c r="A846" s="240"/>
      <c r="B846" s="241"/>
      <c r="C846" s="241"/>
      <c r="D846" s="241"/>
      <c r="E846" s="241"/>
      <c r="F846" s="241"/>
      <c r="G846" s="241"/>
      <c r="H846" s="241"/>
      <c r="I846" s="21" t="s">
        <v>351</v>
      </c>
      <c r="J846" s="21"/>
      <c r="K846" s="21"/>
      <c r="L846" s="21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12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105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1"/>
      <c r="BZ846" s="1"/>
      <c r="CA846" s="1"/>
      <c r="CC846" s="6"/>
    </row>
    <row r="847" spans="1:81" ht="15.75" customHeight="1">
      <c r="A847" s="240"/>
      <c r="B847" s="241"/>
      <c r="C847" s="241"/>
      <c r="D847" s="241"/>
      <c r="E847" s="241"/>
      <c r="F847" s="241"/>
      <c r="G847" s="241"/>
      <c r="H847" s="241"/>
      <c r="I847" s="21" t="s">
        <v>353</v>
      </c>
      <c r="J847" s="21"/>
      <c r="K847" s="21"/>
      <c r="L847" s="21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105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1"/>
      <c r="BZ847" s="1"/>
      <c r="CA847" s="1"/>
      <c r="CC847" s="6"/>
    </row>
    <row r="848" spans="1:81" ht="15.75" customHeight="1">
      <c r="A848" s="240"/>
      <c r="B848" s="241"/>
      <c r="C848" s="241"/>
      <c r="D848" s="241"/>
      <c r="E848" s="241"/>
      <c r="F848" s="241"/>
      <c r="G848" s="241"/>
      <c r="H848" s="241"/>
      <c r="I848" s="21" t="s">
        <v>354</v>
      </c>
      <c r="J848" s="21"/>
      <c r="K848" s="21"/>
      <c r="L848" s="21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105"/>
      <c r="BC848" s="3"/>
      <c r="BD848" s="3"/>
      <c r="BE848" s="3"/>
      <c r="BF848" s="3"/>
      <c r="BG848" s="3"/>
      <c r="BH848" s="3"/>
      <c r="BI848" s="3"/>
      <c r="BJ848" s="3"/>
      <c r="BK848" s="3"/>
      <c r="BL848" s="3">
        <f>273+280</f>
        <v>553</v>
      </c>
      <c r="BM848" s="3">
        <f>359+320</f>
        <v>679</v>
      </c>
      <c r="BN848" s="3">
        <f>273+280</f>
        <v>553</v>
      </c>
      <c r="BO848" s="3">
        <f>347+320</f>
        <v>667</v>
      </c>
      <c r="BP848" s="3">
        <f>320+347.5</f>
        <v>667.5</v>
      </c>
      <c r="BQ848" s="3">
        <f>347+320</f>
        <v>667</v>
      </c>
      <c r="BR848" s="3">
        <f>320+347.5</f>
        <v>667.5</v>
      </c>
      <c r="BS848" s="3"/>
      <c r="BT848" s="3"/>
      <c r="BU848" s="3"/>
      <c r="BV848" s="3"/>
      <c r="BW848" s="3"/>
      <c r="BX848" s="3"/>
      <c r="BY848" s="1"/>
      <c r="BZ848" s="1"/>
      <c r="CA848" s="1"/>
      <c r="CC848" s="6"/>
    </row>
    <row r="849" spans="1:81" ht="15.75" customHeight="1">
      <c r="A849" s="240"/>
      <c r="B849" s="241"/>
      <c r="C849" s="241"/>
      <c r="D849" s="241"/>
      <c r="E849" s="241"/>
      <c r="F849" s="241"/>
      <c r="G849" s="241"/>
      <c r="H849" s="241"/>
      <c r="I849" s="21" t="s">
        <v>355</v>
      </c>
      <c r="J849" s="21"/>
      <c r="K849" s="21"/>
      <c r="L849" s="21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105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1"/>
      <c r="BZ849" s="1"/>
      <c r="CA849" s="1"/>
      <c r="CC849" s="6"/>
    </row>
    <row r="850" spans="1:81" ht="15.75" customHeight="1">
      <c r="A850" s="240"/>
      <c r="B850" s="241"/>
      <c r="C850" s="241"/>
      <c r="D850" s="241"/>
      <c r="E850" s="241"/>
      <c r="F850" s="241"/>
      <c r="G850" s="241"/>
      <c r="H850" s="241"/>
      <c r="I850" s="21" t="s">
        <v>357</v>
      </c>
      <c r="J850" s="21"/>
      <c r="K850" s="21"/>
      <c r="L850" s="21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105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1"/>
      <c r="BZ850" s="1"/>
      <c r="CA850" s="1"/>
      <c r="CC850" s="6"/>
    </row>
    <row r="851" spans="1:81" ht="15.75" customHeight="1">
      <c r="A851" s="240"/>
      <c r="B851" s="241"/>
      <c r="C851" s="241"/>
      <c r="D851" s="241"/>
      <c r="E851" s="241"/>
      <c r="F851" s="241"/>
      <c r="G851" s="241"/>
      <c r="H851" s="241"/>
      <c r="I851" s="23" t="s">
        <v>362</v>
      </c>
      <c r="J851" s="21"/>
      <c r="K851" s="21"/>
      <c r="L851" s="21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105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1"/>
      <c r="BZ851" s="1"/>
      <c r="CA851" s="1"/>
      <c r="CC851" s="6"/>
    </row>
    <row r="852" spans="1:81">
      <c r="A852" s="240"/>
      <c r="B852" s="241"/>
      <c r="C852" s="241"/>
      <c r="D852" s="241"/>
      <c r="E852" s="241"/>
      <c r="F852" s="241"/>
      <c r="G852" s="241"/>
      <c r="H852" s="241"/>
      <c r="I852" s="22" t="s">
        <v>363</v>
      </c>
      <c r="J852" s="22"/>
      <c r="K852" s="22"/>
      <c r="L852" s="2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105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1"/>
      <c r="BZ852" s="1"/>
    </row>
    <row r="853" spans="1:81">
      <c r="A853" s="240"/>
      <c r="B853" s="241"/>
      <c r="C853" s="241"/>
      <c r="D853" s="241"/>
      <c r="E853" s="241"/>
      <c r="F853" s="241"/>
      <c r="G853" s="241"/>
      <c r="H853" s="241"/>
      <c r="I853" s="44" t="s">
        <v>373</v>
      </c>
      <c r="J853" s="44"/>
      <c r="K853" s="44"/>
      <c r="L853" s="44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105"/>
      <c r="BC853" s="3"/>
      <c r="BD853" s="3"/>
      <c r="BE853" s="3"/>
      <c r="BF853" s="3"/>
      <c r="BG853" s="3"/>
      <c r="BH853" s="3"/>
      <c r="BI853" s="3"/>
      <c r="BJ853" s="3"/>
      <c r="BK853" s="3"/>
      <c r="BL853" s="3">
        <v>226.95</v>
      </c>
      <c r="BM853" s="3">
        <v>226.95</v>
      </c>
      <c r="BN853" s="3">
        <v>226.95</v>
      </c>
      <c r="BO853" s="3">
        <v>226.95</v>
      </c>
      <c r="BP853" s="3">
        <v>226.95</v>
      </c>
      <c r="BQ853" s="3">
        <v>226.95</v>
      </c>
      <c r="BR853" s="3">
        <v>335.62</v>
      </c>
      <c r="BS853" s="3"/>
      <c r="BT853" s="3"/>
      <c r="BU853" s="3"/>
      <c r="BV853" s="3"/>
      <c r="BW853" s="3"/>
      <c r="BX853" s="3"/>
      <c r="BY853" s="1"/>
      <c r="BZ853" s="1"/>
    </row>
    <row r="854" spans="1:81">
      <c r="A854" s="240"/>
      <c r="B854" s="241"/>
      <c r="C854" s="241"/>
      <c r="D854" s="241"/>
      <c r="E854" s="241"/>
      <c r="F854" s="241"/>
      <c r="G854" s="241"/>
      <c r="H854" s="241"/>
      <c r="I854" s="22"/>
      <c r="J854" s="3">
        <f>SUM(J843:J852)-J853</f>
        <v>0</v>
      </c>
      <c r="K854" s="3">
        <f t="shared" ref="K854:Y854" si="430">SUM(K843:K852)-K853</f>
        <v>0</v>
      </c>
      <c r="L854" s="3">
        <f t="shared" si="430"/>
        <v>0</v>
      </c>
      <c r="M854" s="3">
        <f t="shared" si="430"/>
        <v>0</v>
      </c>
      <c r="N854" s="3">
        <f t="shared" si="430"/>
        <v>0</v>
      </c>
      <c r="O854" s="3">
        <f t="shared" si="430"/>
        <v>0</v>
      </c>
      <c r="P854" s="3">
        <f t="shared" si="430"/>
        <v>0</v>
      </c>
      <c r="Q854" s="3">
        <f t="shared" si="430"/>
        <v>0</v>
      </c>
      <c r="R854" s="3">
        <f t="shared" si="430"/>
        <v>0</v>
      </c>
      <c r="S854" s="3">
        <f t="shared" si="430"/>
        <v>0</v>
      </c>
      <c r="T854" s="3">
        <f t="shared" si="430"/>
        <v>0</v>
      </c>
      <c r="U854" s="3">
        <f t="shared" si="430"/>
        <v>0</v>
      </c>
      <c r="V854" s="3">
        <f t="shared" si="430"/>
        <v>0</v>
      </c>
      <c r="W854" s="3">
        <f t="shared" si="430"/>
        <v>0</v>
      </c>
      <c r="X854" s="3">
        <f t="shared" si="430"/>
        <v>0</v>
      </c>
      <c r="Y854" s="3">
        <f t="shared" si="430"/>
        <v>0</v>
      </c>
      <c r="Z854" s="3">
        <f>SUM(Z843:Z852)-Z853</f>
        <v>0</v>
      </c>
      <c r="AA854" s="3">
        <f t="shared" ref="AA854:AD854" si="431">SUM(AA843:AA852)-AA853</f>
        <v>0</v>
      </c>
      <c r="AB854" s="3">
        <f t="shared" si="431"/>
        <v>0</v>
      </c>
      <c r="AC854" s="3">
        <f t="shared" si="431"/>
        <v>0</v>
      </c>
      <c r="AD854" s="3">
        <f t="shared" si="431"/>
        <v>0</v>
      </c>
      <c r="AE854" s="3">
        <f>SUM(AE843:AE852)-AE853</f>
        <v>0</v>
      </c>
      <c r="AF854" s="3">
        <f>SUM(AF843:AF852)-AF853</f>
        <v>0</v>
      </c>
      <c r="AG854" s="3">
        <f t="shared" ref="AG854:AP854" si="432">SUM(AG843:AG852)-AG853</f>
        <v>0</v>
      </c>
      <c r="AH854" s="3">
        <f t="shared" si="432"/>
        <v>0</v>
      </c>
      <c r="AI854" s="3">
        <f t="shared" si="432"/>
        <v>0</v>
      </c>
      <c r="AJ854" s="3">
        <f t="shared" si="432"/>
        <v>0</v>
      </c>
      <c r="AK854" s="3">
        <f t="shared" si="432"/>
        <v>0</v>
      </c>
      <c r="AL854" s="3">
        <f t="shared" si="432"/>
        <v>0</v>
      </c>
      <c r="AM854" s="3">
        <f t="shared" si="432"/>
        <v>0</v>
      </c>
      <c r="AN854" s="3">
        <f t="shared" si="432"/>
        <v>0</v>
      </c>
      <c r="AO854" s="3">
        <f t="shared" si="432"/>
        <v>0</v>
      </c>
      <c r="AP854" s="3">
        <f t="shared" si="432"/>
        <v>0</v>
      </c>
      <c r="AQ854" s="3">
        <f t="shared" ref="AQ854:AU854" si="433">SUM(AQ843:AQ852)-AQ853</f>
        <v>0</v>
      </c>
      <c r="AR854" s="3">
        <f t="shared" si="433"/>
        <v>0</v>
      </c>
      <c r="AS854" s="3">
        <f t="shared" si="433"/>
        <v>0</v>
      </c>
      <c r="AT854" s="3">
        <f t="shared" si="433"/>
        <v>0</v>
      </c>
      <c r="AU854" s="3">
        <f t="shared" si="433"/>
        <v>0</v>
      </c>
      <c r="AV854" s="3">
        <f>SUM(AV843:AV852)-AV853</f>
        <v>0</v>
      </c>
      <c r="AW854" s="3">
        <f t="shared" ref="AW854:BA854" si="434">SUM(AW843:AW852)-AW853</f>
        <v>0</v>
      </c>
      <c r="AX854" s="3">
        <f t="shared" si="434"/>
        <v>0</v>
      </c>
      <c r="AY854" s="3">
        <f t="shared" si="434"/>
        <v>0</v>
      </c>
      <c r="AZ854" s="3">
        <f t="shared" si="434"/>
        <v>0</v>
      </c>
      <c r="BA854" s="3">
        <f t="shared" si="434"/>
        <v>0</v>
      </c>
      <c r="BB854" s="105"/>
      <c r="BC854" s="3"/>
      <c r="BD854" s="3"/>
      <c r="BE854" s="3"/>
      <c r="BF854" s="3"/>
      <c r="BG854" s="3"/>
      <c r="BH854" s="3"/>
      <c r="BI854" s="3"/>
      <c r="BJ854" s="3"/>
      <c r="BK854" s="3"/>
      <c r="BL854" s="3">
        <f t="shared" ref="BL854:BR854" si="435">BL844+BL850-BL853+BL848</f>
        <v>1990.8799999999999</v>
      </c>
      <c r="BM854" s="3">
        <f t="shared" si="435"/>
        <v>2301.8599999999997</v>
      </c>
      <c r="BN854" s="3">
        <f t="shared" si="435"/>
        <v>2175.8599999999997</v>
      </c>
      <c r="BO854" s="3">
        <f t="shared" si="435"/>
        <v>2289.8599999999997</v>
      </c>
      <c r="BP854" s="3">
        <f t="shared" si="435"/>
        <v>2290.3599999999997</v>
      </c>
      <c r="BQ854" s="3">
        <f t="shared" si="435"/>
        <v>2289.8599999999997</v>
      </c>
      <c r="BR854" s="3">
        <f t="shared" si="435"/>
        <v>6549.31</v>
      </c>
      <c r="BS854" s="3"/>
      <c r="BT854" s="3"/>
      <c r="BU854" s="3"/>
      <c r="BV854" s="3"/>
      <c r="BW854" s="3"/>
      <c r="BX854" s="105">
        <f>SUM(BD854:BR854)</f>
        <v>19887.990000000002</v>
      </c>
      <c r="BY854" s="1"/>
      <c r="BZ854" s="1"/>
    </row>
    <row r="855" spans="1:81" ht="15.6" customHeight="1">
      <c r="A855" s="148" t="s">
        <v>346</v>
      </c>
      <c r="B855" s="148" t="s">
        <v>347</v>
      </c>
      <c r="C855" s="145" t="s">
        <v>310</v>
      </c>
      <c r="D855" s="145" t="s">
        <v>311</v>
      </c>
      <c r="E855" s="148" t="s">
        <v>312</v>
      </c>
      <c r="F855" s="148" t="s">
        <v>348</v>
      </c>
      <c r="G855" s="145" t="s">
        <v>314</v>
      </c>
      <c r="H855" s="145" t="s">
        <v>315</v>
      </c>
      <c r="I855" s="145" t="s">
        <v>349</v>
      </c>
      <c r="J855" s="146">
        <v>44105</v>
      </c>
      <c r="K855" s="146">
        <v>44136</v>
      </c>
      <c r="L855" s="146">
        <v>44166</v>
      </c>
      <c r="M855" s="146">
        <v>44197</v>
      </c>
      <c r="N855" s="146">
        <v>44228</v>
      </c>
      <c r="O855" s="146">
        <v>44256</v>
      </c>
      <c r="P855" s="146">
        <v>44287</v>
      </c>
      <c r="Q855" s="146">
        <v>44317</v>
      </c>
      <c r="R855" s="146">
        <v>44348</v>
      </c>
      <c r="S855" s="146">
        <v>44378</v>
      </c>
      <c r="T855" s="146">
        <v>44409</v>
      </c>
      <c r="U855" s="146">
        <v>44440</v>
      </c>
      <c r="V855" s="146">
        <v>44470</v>
      </c>
      <c r="W855" s="146">
        <v>44501</v>
      </c>
      <c r="X855" s="146">
        <v>44531</v>
      </c>
      <c r="Y855" s="146">
        <v>44562</v>
      </c>
      <c r="Z855" s="146">
        <v>44593</v>
      </c>
      <c r="AA855" s="146">
        <v>44621</v>
      </c>
      <c r="AB855" s="146">
        <v>44652</v>
      </c>
      <c r="AC855" s="146">
        <v>44682</v>
      </c>
      <c r="AD855" s="146">
        <v>44713</v>
      </c>
      <c r="AE855" s="146">
        <v>44743</v>
      </c>
      <c r="AF855" s="146">
        <v>44774</v>
      </c>
      <c r="AG855" s="146">
        <v>44805</v>
      </c>
      <c r="AH855" s="146">
        <v>44835</v>
      </c>
      <c r="AI855" s="146">
        <v>44866</v>
      </c>
      <c r="AJ855" s="146">
        <v>44896</v>
      </c>
      <c r="AK855" s="146">
        <v>44927</v>
      </c>
      <c r="AL855" s="146">
        <v>44958</v>
      </c>
      <c r="AM855" s="146">
        <v>44986</v>
      </c>
      <c r="AN855" s="146">
        <v>45017</v>
      </c>
      <c r="AO855" s="146">
        <v>45047</v>
      </c>
      <c r="AP855" s="146">
        <v>45078</v>
      </c>
      <c r="AQ855" s="146">
        <v>45108</v>
      </c>
      <c r="AR855" s="146">
        <v>45139</v>
      </c>
      <c r="AS855" s="146">
        <v>45170</v>
      </c>
      <c r="AT855" s="146">
        <v>45200</v>
      </c>
      <c r="AU855" s="146">
        <v>45231</v>
      </c>
      <c r="AV855" s="146">
        <v>45261</v>
      </c>
      <c r="AW855" s="146">
        <v>45292</v>
      </c>
      <c r="AX855" s="146">
        <v>45323</v>
      </c>
      <c r="AY855" s="146">
        <v>45352</v>
      </c>
      <c r="AZ855" s="146">
        <v>45383</v>
      </c>
      <c r="BA855" s="146">
        <v>45413</v>
      </c>
      <c r="BB855" s="146">
        <v>45444</v>
      </c>
      <c r="BC855" s="146">
        <v>45474</v>
      </c>
      <c r="BD855" s="146">
        <v>45505</v>
      </c>
      <c r="BE855" s="146">
        <v>45536</v>
      </c>
      <c r="BF855" s="146">
        <v>45566</v>
      </c>
      <c r="BG855" s="146">
        <v>45597</v>
      </c>
      <c r="BH855" s="146">
        <v>45627</v>
      </c>
      <c r="BI855" s="146">
        <v>45658</v>
      </c>
      <c r="BJ855" s="146">
        <v>45689</v>
      </c>
      <c r="BK855" s="146">
        <v>45717</v>
      </c>
      <c r="BL855" s="146">
        <v>45748</v>
      </c>
      <c r="BM855" s="146">
        <v>45778</v>
      </c>
      <c r="BN855" s="146">
        <v>45809</v>
      </c>
      <c r="BO855" s="146">
        <v>45839</v>
      </c>
      <c r="BP855" s="146">
        <v>45870</v>
      </c>
      <c r="BQ855" s="146">
        <v>45901</v>
      </c>
      <c r="BR855" s="146"/>
      <c r="BS855" s="146"/>
      <c r="BT855" s="146"/>
      <c r="BU855" s="146"/>
      <c r="BV855" s="146"/>
      <c r="BW855" s="146"/>
      <c r="BX855" s="147" t="s">
        <v>13</v>
      </c>
      <c r="BY855" s="5"/>
      <c r="BZ855" s="5"/>
      <c r="CA855" s="5"/>
    </row>
    <row r="856" spans="1:81" ht="15.75" customHeight="1">
      <c r="A856" s="240">
        <v>64</v>
      </c>
      <c r="B856" s="241" t="s">
        <v>205</v>
      </c>
      <c r="C856" s="241" t="s">
        <v>23</v>
      </c>
      <c r="D856" s="241" t="s">
        <v>89</v>
      </c>
      <c r="E856" s="241" t="s">
        <v>150</v>
      </c>
      <c r="F856" s="241" t="s">
        <v>150</v>
      </c>
      <c r="G856" s="242">
        <v>45751</v>
      </c>
      <c r="H856" s="241"/>
      <c r="I856" s="21" t="s">
        <v>390</v>
      </c>
      <c r="J856" s="21"/>
      <c r="K856" s="21"/>
      <c r="L856" s="21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105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1"/>
      <c r="BZ856" s="1"/>
      <c r="CA856" s="1"/>
      <c r="CC856" s="6"/>
    </row>
    <row r="857" spans="1:81" ht="15.75" customHeight="1">
      <c r="A857" s="240"/>
      <c r="B857" s="241"/>
      <c r="C857" s="241"/>
      <c r="D857" s="241"/>
      <c r="E857" s="241"/>
      <c r="F857" s="241"/>
      <c r="G857" s="241"/>
      <c r="H857" s="241"/>
      <c r="I857" s="21" t="s">
        <v>351</v>
      </c>
      <c r="J857" s="21"/>
      <c r="K857" s="21"/>
      <c r="L857" s="21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105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>
        <v>1418.19</v>
      </c>
      <c r="BN857" s="111">
        <f>1849.81+65</f>
        <v>1914.81</v>
      </c>
      <c r="BO857" s="111">
        <f>1849.81+65</f>
        <v>1914.81</v>
      </c>
      <c r="BP857" s="111">
        <f>1849.81+65</f>
        <v>1914.81</v>
      </c>
      <c r="BQ857" s="111">
        <v>1723.33</v>
      </c>
      <c r="BR857" s="111"/>
      <c r="BS857" s="111"/>
      <c r="BT857" s="111"/>
      <c r="BU857" s="111"/>
      <c r="BV857" s="111"/>
      <c r="BW857" s="111"/>
      <c r="BX857" s="3"/>
      <c r="BY857" s="1"/>
      <c r="BZ857" s="1"/>
      <c r="CA857" s="1"/>
      <c r="CC857" s="6"/>
    </row>
    <row r="858" spans="1:81" ht="15.75" customHeight="1">
      <c r="A858" s="240"/>
      <c r="B858" s="241"/>
      <c r="C858" s="241"/>
      <c r="D858" s="241"/>
      <c r="E858" s="241"/>
      <c r="F858" s="241"/>
      <c r="G858" s="241"/>
      <c r="H858" s="241"/>
      <c r="I858" s="21" t="s">
        <v>391</v>
      </c>
      <c r="J858" s="21"/>
      <c r="K858" s="21"/>
      <c r="L858" s="21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12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105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1"/>
      <c r="BZ858" s="1"/>
      <c r="CA858" s="1"/>
      <c r="CC858" s="6"/>
    </row>
    <row r="859" spans="1:81" ht="15.75" customHeight="1">
      <c r="A859" s="240"/>
      <c r="B859" s="241"/>
      <c r="C859" s="241"/>
      <c r="D859" s="241"/>
      <c r="E859" s="241"/>
      <c r="F859" s="241"/>
      <c r="G859" s="241"/>
      <c r="H859" s="241"/>
      <c r="I859" s="21" t="s">
        <v>351</v>
      </c>
      <c r="J859" s="21"/>
      <c r="K859" s="21"/>
      <c r="L859" s="21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12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105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1"/>
      <c r="BZ859" s="1"/>
      <c r="CA859" s="1"/>
      <c r="CC859" s="6"/>
    </row>
    <row r="860" spans="1:81" ht="15.75" customHeight="1">
      <c r="A860" s="240"/>
      <c r="B860" s="241"/>
      <c r="C860" s="241"/>
      <c r="D860" s="241"/>
      <c r="E860" s="241"/>
      <c r="F860" s="241"/>
      <c r="G860" s="241"/>
      <c r="H860" s="241"/>
      <c r="I860" s="21" t="s">
        <v>353</v>
      </c>
      <c r="J860" s="21"/>
      <c r="K860" s="21"/>
      <c r="L860" s="21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105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1"/>
      <c r="BZ860" s="1"/>
      <c r="CA860" s="1"/>
      <c r="CC860" s="6"/>
    </row>
    <row r="861" spans="1:81" ht="15.75" customHeight="1">
      <c r="A861" s="240"/>
      <c r="B861" s="241"/>
      <c r="C861" s="241"/>
      <c r="D861" s="241"/>
      <c r="E861" s="241"/>
      <c r="F861" s="241"/>
      <c r="G861" s="241"/>
      <c r="H861" s="241"/>
      <c r="I861" s="21" t="s">
        <v>354</v>
      </c>
      <c r="J861" s="21"/>
      <c r="K861" s="21"/>
      <c r="L861" s="21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105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>
        <f>320+273</f>
        <v>593</v>
      </c>
      <c r="BN861" s="3">
        <f>354+320</f>
        <v>674</v>
      </c>
      <c r="BO861" s="3">
        <f>320+380</f>
        <v>700</v>
      </c>
      <c r="BP861" s="3">
        <f>320+377.5</f>
        <v>697.5</v>
      </c>
      <c r="BQ861" s="3"/>
      <c r="BR861" s="3"/>
      <c r="BS861" s="3"/>
      <c r="BT861" s="3"/>
      <c r="BU861" s="3"/>
      <c r="BV861" s="3"/>
      <c r="BW861" s="3"/>
      <c r="BX861" s="3"/>
      <c r="BY861" s="1"/>
      <c r="BZ861" s="1"/>
      <c r="CA861" s="1"/>
      <c r="CC861" s="6"/>
    </row>
    <row r="862" spans="1:81" ht="15.75" customHeight="1">
      <c r="A862" s="240"/>
      <c r="B862" s="241"/>
      <c r="C862" s="241"/>
      <c r="D862" s="241"/>
      <c r="E862" s="241"/>
      <c r="F862" s="241"/>
      <c r="G862" s="241"/>
      <c r="H862" s="241"/>
      <c r="I862" s="21" t="s">
        <v>355</v>
      </c>
      <c r="J862" s="21"/>
      <c r="K862" s="21"/>
      <c r="L862" s="21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105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1"/>
      <c r="BZ862" s="1"/>
      <c r="CA862" s="1"/>
      <c r="CC862" s="6"/>
    </row>
    <row r="863" spans="1:81" ht="15.75" customHeight="1">
      <c r="A863" s="240"/>
      <c r="B863" s="241"/>
      <c r="C863" s="241"/>
      <c r="D863" s="241"/>
      <c r="E863" s="241"/>
      <c r="F863" s="241"/>
      <c r="G863" s="241"/>
      <c r="H863" s="241"/>
      <c r="I863" s="21" t="s">
        <v>357</v>
      </c>
      <c r="J863" s="21"/>
      <c r="K863" s="21"/>
      <c r="L863" s="21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105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1"/>
      <c r="BZ863" s="1"/>
      <c r="CA863" s="1"/>
      <c r="CC863" s="6"/>
    </row>
    <row r="864" spans="1:81" ht="15.75" customHeight="1">
      <c r="A864" s="240"/>
      <c r="B864" s="241"/>
      <c r="C864" s="241"/>
      <c r="D864" s="241"/>
      <c r="E864" s="241"/>
      <c r="F864" s="241"/>
      <c r="G864" s="241"/>
      <c r="H864" s="241"/>
      <c r="I864" s="23" t="s">
        <v>362</v>
      </c>
      <c r="J864" s="21"/>
      <c r="K864" s="21"/>
      <c r="L864" s="21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105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1"/>
      <c r="BZ864" s="1"/>
      <c r="CA864" s="1"/>
      <c r="CC864" s="6"/>
    </row>
    <row r="865" spans="1:81">
      <c r="A865" s="240"/>
      <c r="B865" s="241"/>
      <c r="C865" s="241"/>
      <c r="D865" s="241"/>
      <c r="E865" s="241"/>
      <c r="F865" s="241"/>
      <c r="G865" s="241"/>
      <c r="H865" s="241"/>
      <c r="I865" s="22" t="s">
        <v>363</v>
      </c>
      <c r="J865" s="22"/>
      <c r="K865" s="22"/>
      <c r="L865" s="2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105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1"/>
      <c r="BZ865" s="1"/>
    </row>
    <row r="866" spans="1:81">
      <c r="A866" s="240"/>
      <c r="B866" s="241"/>
      <c r="C866" s="241"/>
      <c r="D866" s="241"/>
      <c r="E866" s="241"/>
      <c r="F866" s="241"/>
      <c r="G866" s="241"/>
      <c r="H866" s="241"/>
      <c r="I866" s="44" t="s">
        <v>373</v>
      </c>
      <c r="J866" s="44"/>
      <c r="K866" s="44"/>
      <c r="L866" s="44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105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>
        <v>106.36</v>
      </c>
      <c r="BN866" s="3">
        <v>143.71</v>
      </c>
      <c r="BO866" s="3">
        <v>143.71</v>
      </c>
      <c r="BP866" s="3">
        <v>144.71</v>
      </c>
      <c r="BQ866" s="3">
        <v>978.28</v>
      </c>
      <c r="BR866" s="3"/>
      <c r="BS866" s="3"/>
      <c r="BT866" s="3"/>
      <c r="BU866" s="3"/>
      <c r="BV866" s="3"/>
      <c r="BW866" s="3"/>
      <c r="BX866" s="3"/>
      <c r="BY866" s="1"/>
      <c r="BZ866" s="1"/>
    </row>
    <row r="867" spans="1:81">
      <c r="A867" s="240"/>
      <c r="B867" s="241"/>
      <c r="C867" s="241"/>
      <c r="D867" s="241"/>
      <c r="E867" s="241"/>
      <c r="F867" s="241"/>
      <c r="G867" s="241"/>
      <c r="H867" s="241"/>
      <c r="I867" s="22"/>
      <c r="J867" s="3">
        <f>SUM(J856:J865)-J866</f>
        <v>0</v>
      </c>
      <c r="K867" s="3">
        <f t="shared" ref="K867:Y867" si="436">SUM(K856:K865)-K866</f>
        <v>0</v>
      </c>
      <c r="L867" s="3">
        <f t="shared" si="436"/>
        <v>0</v>
      </c>
      <c r="M867" s="3">
        <f t="shared" si="436"/>
        <v>0</v>
      </c>
      <c r="N867" s="3">
        <f t="shared" si="436"/>
        <v>0</v>
      </c>
      <c r="O867" s="3">
        <f t="shared" si="436"/>
        <v>0</v>
      </c>
      <c r="P867" s="3">
        <f t="shared" si="436"/>
        <v>0</v>
      </c>
      <c r="Q867" s="3">
        <f t="shared" si="436"/>
        <v>0</v>
      </c>
      <c r="R867" s="3">
        <f t="shared" si="436"/>
        <v>0</v>
      </c>
      <c r="S867" s="3">
        <f t="shared" si="436"/>
        <v>0</v>
      </c>
      <c r="T867" s="3">
        <f t="shared" si="436"/>
        <v>0</v>
      </c>
      <c r="U867" s="3">
        <f t="shared" si="436"/>
        <v>0</v>
      </c>
      <c r="V867" s="3">
        <f t="shared" si="436"/>
        <v>0</v>
      </c>
      <c r="W867" s="3">
        <f t="shared" si="436"/>
        <v>0</v>
      </c>
      <c r="X867" s="3">
        <f t="shared" si="436"/>
        <v>0</v>
      </c>
      <c r="Y867" s="3">
        <f t="shared" si="436"/>
        <v>0</v>
      </c>
      <c r="Z867" s="3">
        <f>SUM(Z856:Z865)-Z866</f>
        <v>0</v>
      </c>
      <c r="AA867" s="3">
        <f t="shared" ref="AA867:AD867" si="437">SUM(AA856:AA865)-AA866</f>
        <v>0</v>
      </c>
      <c r="AB867" s="3">
        <f t="shared" si="437"/>
        <v>0</v>
      </c>
      <c r="AC867" s="3">
        <f t="shared" si="437"/>
        <v>0</v>
      </c>
      <c r="AD867" s="3">
        <f t="shared" si="437"/>
        <v>0</v>
      </c>
      <c r="AE867" s="3">
        <f>SUM(AE856:AE865)-AE866</f>
        <v>0</v>
      </c>
      <c r="AF867" s="3">
        <f>SUM(AF856:AF865)-AF866</f>
        <v>0</v>
      </c>
      <c r="AG867" s="3">
        <f t="shared" ref="AG867:AP867" si="438">SUM(AG856:AG865)-AG866</f>
        <v>0</v>
      </c>
      <c r="AH867" s="3">
        <f t="shared" si="438"/>
        <v>0</v>
      </c>
      <c r="AI867" s="3">
        <f t="shared" si="438"/>
        <v>0</v>
      </c>
      <c r="AJ867" s="3">
        <f t="shared" si="438"/>
        <v>0</v>
      </c>
      <c r="AK867" s="3">
        <f t="shared" si="438"/>
        <v>0</v>
      </c>
      <c r="AL867" s="3">
        <f t="shared" si="438"/>
        <v>0</v>
      </c>
      <c r="AM867" s="3">
        <f t="shared" si="438"/>
        <v>0</v>
      </c>
      <c r="AN867" s="3">
        <f t="shared" si="438"/>
        <v>0</v>
      </c>
      <c r="AO867" s="3">
        <f t="shared" si="438"/>
        <v>0</v>
      </c>
      <c r="AP867" s="3">
        <f t="shared" si="438"/>
        <v>0</v>
      </c>
      <c r="AQ867" s="3">
        <f t="shared" ref="AQ867:AU867" si="439">SUM(AQ856:AQ865)-AQ866</f>
        <v>0</v>
      </c>
      <c r="AR867" s="3">
        <f t="shared" si="439"/>
        <v>0</v>
      </c>
      <c r="AS867" s="3">
        <f t="shared" si="439"/>
        <v>0</v>
      </c>
      <c r="AT867" s="3">
        <f t="shared" si="439"/>
        <v>0</v>
      </c>
      <c r="AU867" s="3">
        <f t="shared" si="439"/>
        <v>0</v>
      </c>
      <c r="AV867" s="3">
        <f>SUM(AV856:AV865)-AV866</f>
        <v>0</v>
      </c>
      <c r="AW867" s="3">
        <f t="shared" ref="AW867:BA867" si="440">SUM(AW856:AW865)-AW866</f>
        <v>0</v>
      </c>
      <c r="AX867" s="3">
        <f t="shared" si="440"/>
        <v>0</v>
      </c>
      <c r="AY867" s="3">
        <f t="shared" si="440"/>
        <v>0</v>
      </c>
      <c r="AZ867" s="3">
        <f t="shared" si="440"/>
        <v>0</v>
      </c>
      <c r="BA867" s="3">
        <f t="shared" si="440"/>
        <v>0</v>
      </c>
      <c r="BB867" s="105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>
        <f>BM857+BM863-BM866+BM861</f>
        <v>1904.8300000000002</v>
      </c>
      <c r="BN867" s="3">
        <f>BN857+BN863-BN866+BN861</f>
        <v>2445.1</v>
      </c>
      <c r="BO867" s="3">
        <f>BO857+BO863-BO866+BO861</f>
        <v>2471.1</v>
      </c>
      <c r="BP867" s="3">
        <f>BP857+BP863-BP866+BP861</f>
        <v>2467.6</v>
      </c>
      <c r="BQ867" s="3">
        <f>BQ857+BQ863-BQ866+BQ861</f>
        <v>745.05</v>
      </c>
      <c r="BR867" s="3"/>
      <c r="BS867" s="3"/>
      <c r="BT867" s="3"/>
      <c r="BU867" s="3"/>
      <c r="BV867" s="3"/>
      <c r="BW867" s="3"/>
      <c r="BX867" s="105">
        <f>SUM(BD867:BR867)</f>
        <v>10033.68</v>
      </c>
      <c r="BY867" s="1"/>
      <c r="BZ867" s="1"/>
    </row>
    <row r="868" spans="1:81" ht="15.6" customHeight="1">
      <c r="A868" s="148" t="s">
        <v>346</v>
      </c>
      <c r="B868" s="148" t="s">
        <v>347</v>
      </c>
      <c r="C868" s="145" t="s">
        <v>310</v>
      </c>
      <c r="D868" s="145" t="s">
        <v>311</v>
      </c>
      <c r="E868" s="148" t="s">
        <v>312</v>
      </c>
      <c r="F868" s="148" t="s">
        <v>348</v>
      </c>
      <c r="G868" s="145" t="s">
        <v>314</v>
      </c>
      <c r="H868" s="145" t="s">
        <v>315</v>
      </c>
      <c r="I868" s="145" t="s">
        <v>349</v>
      </c>
      <c r="J868" s="146">
        <v>44105</v>
      </c>
      <c r="K868" s="146">
        <v>44136</v>
      </c>
      <c r="L868" s="146">
        <v>44166</v>
      </c>
      <c r="M868" s="146">
        <v>44197</v>
      </c>
      <c r="N868" s="146">
        <v>44228</v>
      </c>
      <c r="O868" s="146">
        <v>44256</v>
      </c>
      <c r="P868" s="146">
        <v>44287</v>
      </c>
      <c r="Q868" s="146">
        <v>44317</v>
      </c>
      <c r="R868" s="146">
        <v>44348</v>
      </c>
      <c r="S868" s="146">
        <v>44378</v>
      </c>
      <c r="T868" s="146">
        <v>44409</v>
      </c>
      <c r="U868" s="146">
        <v>44440</v>
      </c>
      <c r="V868" s="146">
        <v>44470</v>
      </c>
      <c r="W868" s="146">
        <v>44501</v>
      </c>
      <c r="X868" s="146">
        <v>44531</v>
      </c>
      <c r="Y868" s="146">
        <v>44562</v>
      </c>
      <c r="Z868" s="146">
        <v>44593</v>
      </c>
      <c r="AA868" s="146">
        <v>44621</v>
      </c>
      <c r="AB868" s="146">
        <v>44652</v>
      </c>
      <c r="AC868" s="146">
        <v>44682</v>
      </c>
      <c r="AD868" s="146">
        <v>44713</v>
      </c>
      <c r="AE868" s="146">
        <v>44743</v>
      </c>
      <c r="AF868" s="146">
        <v>44774</v>
      </c>
      <c r="AG868" s="146">
        <v>44805</v>
      </c>
      <c r="AH868" s="146">
        <v>44835</v>
      </c>
      <c r="AI868" s="146">
        <v>44866</v>
      </c>
      <c r="AJ868" s="146">
        <v>44896</v>
      </c>
      <c r="AK868" s="146">
        <v>44927</v>
      </c>
      <c r="AL868" s="146">
        <v>44958</v>
      </c>
      <c r="AM868" s="146">
        <v>44986</v>
      </c>
      <c r="AN868" s="146">
        <v>45017</v>
      </c>
      <c r="AO868" s="146">
        <v>45047</v>
      </c>
      <c r="AP868" s="146">
        <v>45078</v>
      </c>
      <c r="AQ868" s="146">
        <v>45108</v>
      </c>
      <c r="AR868" s="146">
        <v>45139</v>
      </c>
      <c r="AS868" s="146">
        <v>45170</v>
      </c>
      <c r="AT868" s="146">
        <v>45200</v>
      </c>
      <c r="AU868" s="146">
        <v>45231</v>
      </c>
      <c r="AV868" s="146">
        <v>45261</v>
      </c>
      <c r="AW868" s="146">
        <v>45292</v>
      </c>
      <c r="AX868" s="146">
        <v>45323</v>
      </c>
      <c r="AY868" s="146">
        <v>45352</v>
      </c>
      <c r="AZ868" s="146">
        <v>45383</v>
      </c>
      <c r="BA868" s="146">
        <v>45413</v>
      </c>
      <c r="BB868" s="146">
        <v>45444</v>
      </c>
      <c r="BC868" s="146">
        <v>45474</v>
      </c>
      <c r="BD868" s="146">
        <v>45505</v>
      </c>
      <c r="BE868" s="146">
        <v>45536</v>
      </c>
      <c r="BF868" s="146">
        <v>45566</v>
      </c>
      <c r="BG868" s="146">
        <v>45597</v>
      </c>
      <c r="BH868" s="146">
        <v>45627</v>
      </c>
      <c r="BI868" s="146">
        <v>45658</v>
      </c>
      <c r="BJ868" s="146">
        <v>45689</v>
      </c>
      <c r="BK868" s="146">
        <v>45717</v>
      </c>
      <c r="BL868" s="146">
        <v>45748</v>
      </c>
      <c r="BM868" s="146">
        <v>45778</v>
      </c>
      <c r="BN868" s="146">
        <v>45809</v>
      </c>
      <c r="BO868" s="146">
        <v>45839</v>
      </c>
      <c r="BP868" s="146">
        <v>45870</v>
      </c>
      <c r="BQ868" s="146">
        <v>45901</v>
      </c>
      <c r="BR868" s="146">
        <v>45931</v>
      </c>
      <c r="BS868" s="146">
        <v>45962</v>
      </c>
      <c r="BT868" s="146">
        <v>45992</v>
      </c>
      <c r="BU868" s="146">
        <v>46023</v>
      </c>
      <c r="BV868" s="146">
        <v>46054</v>
      </c>
      <c r="BW868" s="146">
        <v>46082</v>
      </c>
      <c r="BX868" s="147" t="s">
        <v>13</v>
      </c>
      <c r="BY868" s="5"/>
      <c r="BZ868" s="5"/>
      <c r="CA868" s="5"/>
    </row>
    <row r="869" spans="1:81" s="178" customFormat="1" ht="15.75" customHeight="1">
      <c r="A869" s="226">
        <v>65</v>
      </c>
      <c r="B869" s="227" t="s">
        <v>204</v>
      </c>
      <c r="C869" s="227" t="s">
        <v>23</v>
      </c>
      <c r="D869" s="227" t="s">
        <v>89</v>
      </c>
      <c r="E869" s="227" t="s">
        <v>150</v>
      </c>
      <c r="F869" s="227" t="s">
        <v>150</v>
      </c>
      <c r="G869" s="233">
        <v>45785</v>
      </c>
      <c r="H869" s="227"/>
      <c r="I869" s="175" t="s">
        <v>390</v>
      </c>
      <c r="J869" s="175"/>
      <c r="K869" s="175"/>
      <c r="L869" s="175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  <c r="AA869" s="176"/>
      <c r="AB869" s="176"/>
      <c r="AC869" s="176"/>
      <c r="AD869" s="176"/>
      <c r="AE869" s="176"/>
      <c r="AF869" s="176"/>
      <c r="AG869" s="176"/>
      <c r="AH869" s="176"/>
      <c r="AI869" s="176"/>
      <c r="AJ869" s="176"/>
      <c r="AK869" s="176"/>
      <c r="AL869" s="176"/>
      <c r="AM869" s="176"/>
      <c r="AN869" s="176"/>
      <c r="AO869" s="176"/>
      <c r="AP869" s="176"/>
      <c r="AQ869" s="176"/>
      <c r="AR869" s="176"/>
      <c r="AS869" s="176"/>
      <c r="AT869" s="176"/>
      <c r="AU869" s="176"/>
      <c r="AV869" s="176"/>
      <c r="AW869" s="176"/>
      <c r="AX869" s="176"/>
      <c r="AY869" s="176"/>
      <c r="AZ869" s="176"/>
      <c r="BA869" s="176"/>
      <c r="BB869" s="176"/>
      <c r="BC869" s="176"/>
      <c r="BD869" s="176"/>
      <c r="BE869" s="176"/>
      <c r="BF869" s="176"/>
      <c r="BG869" s="176"/>
      <c r="BH869" s="176"/>
      <c r="BI869" s="176"/>
      <c r="BJ869" s="176"/>
      <c r="BK869" s="176"/>
      <c r="BL869" s="176"/>
      <c r="BM869" s="176"/>
      <c r="BN869" s="176"/>
      <c r="BO869" s="176"/>
      <c r="BP869" s="176"/>
      <c r="BQ869" s="176"/>
      <c r="BR869" s="176"/>
      <c r="BS869" s="176"/>
      <c r="BT869" s="176"/>
      <c r="BU869" s="176"/>
      <c r="BV869" s="176"/>
      <c r="BW869" s="176"/>
      <c r="BX869" s="176"/>
      <c r="BY869" s="191"/>
      <c r="BZ869" s="191"/>
      <c r="CA869" s="191"/>
      <c r="CC869" s="182"/>
    </row>
    <row r="870" spans="1:81" s="178" customFormat="1" ht="15.75" customHeight="1">
      <c r="A870" s="226"/>
      <c r="B870" s="227"/>
      <c r="C870" s="227"/>
      <c r="D870" s="227"/>
      <c r="E870" s="227"/>
      <c r="F870" s="227"/>
      <c r="G870" s="227"/>
      <c r="H870" s="227"/>
      <c r="I870" s="175" t="s">
        <v>351</v>
      </c>
      <c r="J870" s="175"/>
      <c r="K870" s="175"/>
      <c r="L870" s="175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  <c r="AA870" s="176"/>
      <c r="AB870" s="176"/>
      <c r="AC870" s="176"/>
      <c r="AD870" s="176"/>
      <c r="AE870" s="176"/>
      <c r="AF870" s="176"/>
      <c r="AG870" s="176"/>
      <c r="AH870" s="176"/>
      <c r="AI870" s="176"/>
      <c r="AJ870" s="176"/>
      <c r="AK870" s="176"/>
      <c r="AL870" s="176"/>
      <c r="AM870" s="176"/>
      <c r="AN870" s="176"/>
      <c r="AO870" s="176"/>
      <c r="AP870" s="176"/>
      <c r="AQ870" s="176"/>
      <c r="AR870" s="176"/>
      <c r="AS870" s="176"/>
      <c r="AT870" s="176"/>
      <c r="AU870" s="176"/>
      <c r="AV870" s="176"/>
      <c r="AW870" s="176"/>
      <c r="AX870" s="176"/>
      <c r="AY870" s="176"/>
      <c r="AZ870" s="176"/>
      <c r="BA870" s="176"/>
      <c r="BB870" s="176"/>
      <c r="BC870" s="176"/>
      <c r="BD870" s="176"/>
      <c r="BE870" s="176"/>
      <c r="BF870" s="176"/>
      <c r="BG870" s="176"/>
      <c r="BH870" s="176"/>
      <c r="BI870" s="176"/>
      <c r="BJ870" s="176"/>
      <c r="BK870" s="176"/>
      <c r="BL870" s="176"/>
      <c r="BM870" s="176">
        <v>1418.19</v>
      </c>
      <c r="BN870" s="176">
        <f>1849.81+65</f>
        <v>1914.81</v>
      </c>
      <c r="BO870" s="176">
        <f>1849.81+65</f>
        <v>1914.81</v>
      </c>
      <c r="BP870" s="176">
        <f>1849.81+65</f>
        <v>1914.81</v>
      </c>
      <c r="BQ870" s="176">
        <f>1849.81+65</f>
        <v>1914.81</v>
      </c>
      <c r="BR870" s="176">
        <f>1849.81+65</f>
        <v>1914.81</v>
      </c>
      <c r="BS870" s="176">
        <v>1914.81</v>
      </c>
      <c r="BT870" s="176">
        <v>1914.81</v>
      </c>
      <c r="BU870" s="176">
        <v>1917.35</v>
      </c>
      <c r="BV870" s="176">
        <v>1917.35</v>
      </c>
      <c r="BW870" s="176">
        <f>1849.81+67.54</f>
        <v>1917.35</v>
      </c>
      <c r="BX870" s="176"/>
      <c r="BY870" s="191"/>
      <c r="BZ870" s="191"/>
      <c r="CA870" s="191"/>
      <c r="CC870" s="182"/>
    </row>
    <row r="871" spans="1:81" s="178" customFormat="1" ht="15.75" customHeight="1">
      <c r="A871" s="226"/>
      <c r="B871" s="227"/>
      <c r="C871" s="227"/>
      <c r="D871" s="227"/>
      <c r="E871" s="227"/>
      <c r="F871" s="227"/>
      <c r="G871" s="227"/>
      <c r="H871" s="227"/>
      <c r="I871" s="175" t="s">
        <v>385</v>
      </c>
      <c r="J871" s="175"/>
      <c r="K871" s="175"/>
      <c r="L871" s="175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7"/>
      <c r="Z871" s="176"/>
      <c r="AA871" s="176"/>
      <c r="AB871" s="176"/>
      <c r="AC871" s="176"/>
      <c r="AD871" s="176"/>
      <c r="AE871" s="176"/>
      <c r="AF871" s="176"/>
      <c r="AG871" s="176"/>
      <c r="AH871" s="176"/>
      <c r="AI871" s="176"/>
      <c r="AJ871" s="176"/>
      <c r="AK871" s="176"/>
      <c r="AL871" s="176"/>
      <c r="AM871" s="176"/>
      <c r="AN871" s="176"/>
      <c r="AO871" s="176"/>
      <c r="AP871" s="176"/>
      <c r="AQ871" s="176"/>
      <c r="AR871" s="176"/>
      <c r="AS871" s="176"/>
      <c r="AT871" s="176"/>
      <c r="AU871" s="176"/>
      <c r="AV871" s="176"/>
      <c r="AW871" s="176"/>
      <c r="AX871" s="176"/>
      <c r="AY871" s="176"/>
      <c r="AZ871" s="176"/>
      <c r="BA871" s="176"/>
      <c r="BB871" s="176"/>
      <c r="BC871" s="176"/>
      <c r="BD871" s="176"/>
      <c r="BE871" s="176"/>
      <c r="BF871" s="176"/>
      <c r="BG871" s="176"/>
      <c r="BH871" s="176"/>
      <c r="BI871" s="176"/>
      <c r="BJ871" s="176"/>
      <c r="BK871" s="176"/>
      <c r="BL871" s="176"/>
      <c r="BM871" s="176"/>
      <c r="BN871" s="176"/>
      <c r="BO871" s="176"/>
      <c r="BP871" s="176"/>
      <c r="BQ871" s="176"/>
      <c r="BR871" s="176"/>
      <c r="BS871" s="176"/>
      <c r="BT871" s="176"/>
      <c r="BU871" s="176"/>
      <c r="BV871" s="176"/>
      <c r="BW871" s="176">
        <v>203.48</v>
      </c>
      <c r="BX871" s="176"/>
      <c r="BY871" s="191"/>
      <c r="BZ871" s="191"/>
      <c r="CA871" s="191"/>
      <c r="CC871" s="182"/>
    </row>
    <row r="872" spans="1:81" s="178" customFormat="1" ht="15.75" customHeight="1">
      <c r="A872" s="226"/>
      <c r="B872" s="227"/>
      <c r="C872" s="227"/>
      <c r="D872" s="227"/>
      <c r="E872" s="227"/>
      <c r="F872" s="227"/>
      <c r="G872" s="227"/>
      <c r="H872" s="227"/>
      <c r="I872" s="175" t="s">
        <v>351</v>
      </c>
      <c r="J872" s="175"/>
      <c r="K872" s="175"/>
      <c r="L872" s="175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7"/>
      <c r="Z872" s="176"/>
      <c r="AA872" s="176"/>
      <c r="AB872" s="176"/>
      <c r="AC872" s="176"/>
      <c r="AD872" s="176"/>
      <c r="AE872" s="176"/>
      <c r="AF872" s="176"/>
      <c r="AG872" s="176"/>
      <c r="AH872" s="176"/>
      <c r="AI872" s="176"/>
      <c r="AJ872" s="176"/>
      <c r="AK872" s="176"/>
      <c r="AL872" s="176"/>
      <c r="AM872" s="176"/>
      <c r="AN872" s="176"/>
      <c r="AO872" s="176"/>
      <c r="AP872" s="176"/>
      <c r="AQ872" s="176"/>
      <c r="AR872" s="176"/>
      <c r="AS872" s="176"/>
      <c r="AT872" s="176"/>
      <c r="AU872" s="176"/>
      <c r="AV872" s="176"/>
      <c r="AW872" s="176"/>
      <c r="AX872" s="176"/>
      <c r="AY872" s="176"/>
      <c r="AZ872" s="176"/>
      <c r="BA872" s="176"/>
      <c r="BB872" s="176"/>
      <c r="BC872" s="176"/>
      <c r="BD872" s="176"/>
      <c r="BE872" s="176"/>
      <c r="BF872" s="176"/>
      <c r="BG872" s="176"/>
      <c r="BH872" s="176"/>
      <c r="BI872" s="176"/>
      <c r="BJ872" s="176"/>
      <c r="BK872" s="176"/>
      <c r="BL872" s="176"/>
      <c r="BM872" s="176"/>
      <c r="BN872" s="176"/>
      <c r="BO872" s="176"/>
      <c r="BP872" s="176"/>
      <c r="BQ872" s="176"/>
      <c r="BR872" s="176"/>
      <c r="BS872" s="176"/>
      <c r="BT872" s="176"/>
      <c r="BU872" s="176"/>
      <c r="BV872" s="176"/>
      <c r="BW872" s="176"/>
      <c r="BX872" s="176"/>
      <c r="BY872" s="191"/>
      <c r="BZ872" s="191"/>
      <c r="CA872" s="191"/>
      <c r="CC872" s="182"/>
    </row>
    <row r="873" spans="1:81" s="178" customFormat="1" ht="15.75" customHeight="1">
      <c r="A873" s="226"/>
      <c r="B873" s="227"/>
      <c r="C873" s="227"/>
      <c r="D873" s="227"/>
      <c r="E873" s="227"/>
      <c r="F873" s="227"/>
      <c r="G873" s="227"/>
      <c r="H873" s="227"/>
      <c r="I873" s="175" t="s">
        <v>353</v>
      </c>
      <c r="J873" s="175"/>
      <c r="K873" s="175"/>
      <c r="L873" s="175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  <c r="AA873" s="176"/>
      <c r="AB873" s="176"/>
      <c r="AC873" s="176"/>
      <c r="AD873" s="176"/>
      <c r="AE873" s="176"/>
      <c r="AF873" s="176"/>
      <c r="AG873" s="176"/>
      <c r="AH873" s="176"/>
      <c r="AI873" s="176"/>
      <c r="AJ873" s="176"/>
      <c r="AK873" s="176"/>
      <c r="AL873" s="176"/>
      <c r="AM873" s="176"/>
      <c r="AN873" s="176"/>
      <c r="AO873" s="176"/>
      <c r="AP873" s="176"/>
      <c r="AQ873" s="176"/>
      <c r="AR873" s="176"/>
      <c r="AS873" s="176"/>
      <c r="AT873" s="176"/>
      <c r="AU873" s="176"/>
      <c r="AV873" s="176"/>
      <c r="AW873" s="176"/>
      <c r="AX873" s="176"/>
      <c r="AY873" s="176"/>
      <c r="AZ873" s="176"/>
      <c r="BA873" s="176"/>
      <c r="BB873" s="176"/>
      <c r="BC873" s="176"/>
      <c r="BD873" s="176"/>
      <c r="BE873" s="176"/>
      <c r="BF873" s="176"/>
      <c r="BG873" s="176"/>
      <c r="BH873" s="176"/>
      <c r="BI873" s="176"/>
      <c r="BJ873" s="176"/>
      <c r="BK873" s="176"/>
      <c r="BL873" s="176"/>
      <c r="BM873" s="176"/>
      <c r="BN873" s="176"/>
      <c r="BO873" s="176"/>
      <c r="BP873" s="176"/>
      <c r="BQ873" s="176"/>
      <c r="BR873" s="176"/>
      <c r="BS873" s="176"/>
      <c r="BT873" s="176"/>
      <c r="BU873" s="176"/>
      <c r="BV873" s="176"/>
      <c r="BW873" s="176"/>
      <c r="BX873" s="176"/>
      <c r="BY873" s="191"/>
      <c r="BZ873" s="191"/>
      <c r="CA873" s="191"/>
      <c r="CC873" s="182"/>
    </row>
    <row r="874" spans="1:81" s="178" customFormat="1" ht="15.75" customHeight="1">
      <c r="A874" s="226"/>
      <c r="B874" s="227"/>
      <c r="C874" s="227"/>
      <c r="D874" s="227"/>
      <c r="E874" s="227"/>
      <c r="F874" s="227"/>
      <c r="G874" s="227"/>
      <c r="H874" s="227"/>
      <c r="I874" s="175" t="s">
        <v>354</v>
      </c>
      <c r="J874" s="175"/>
      <c r="K874" s="175"/>
      <c r="L874" s="175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  <c r="AA874" s="176"/>
      <c r="AB874" s="176"/>
      <c r="AC874" s="176"/>
      <c r="AD874" s="176"/>
      <c r="AE874" s="176"/>
      <c r="AF874" s="176"/>
      <c r="AG874" s="176"/>
      <c r="AH874" s="176"/>
      <c r="AI874" s="176"/>
      <c r="AJ874" s="176"/>
      <c r="AK874" s="176"/>
      <c r="AL874" s="176"/>
      <c r="AM874" s="176"/>
      <c r="AN874" s="176"/>
      <c r="AO874" s="176"/>
      <c r="AP874" s="176"/>
      <c r="AQ874" s="176"/>
      <c r="AR874" s="176"/>
      <c r="AS874" s="176"/>
      <c r="AT874" s="176"/>
      <c r="AU874" s="176"/>
      <c r="AV874" s="176"/>
      <c r="AW874" s="176"/>
      <c r="AX874" s="176"/>
      <c r="AY874" s="176"/>
      <c r="AZ874" s="176"/>
      <c r="BA874" s="176"/>
      <c r="BB874" s="176"/>
      <c r="BC874" s="176"/>
      <c r="BD874" s="176"/>
      <c r="BE874" s="176"/>
      <c r="BF874" s="176"/>
      <c r="BG874" s="176"/>
      <c r="BH874" s="176"/>
      <c r="BI874" s="176"/>
      <c r="BJ874" s="176"/>
      <c r="BK874" s="176"/>
      <c r="BL874" s="176"/>
      <c r="BM874" s="176">
        <f>320+299.5</f>
        <v>619.5</v>
      </c>
      <c r="BN874" s="176">
        <f>312+320</f>
        <v>632</v>
      </c>
      <c r="BO874" s="176">
        <f>491.4+320</f>
        <v>811.4</v>
      </c>
      <c r="BP874" s="176">
        <f>320+472.5</f>
        <v>792.5</v>
      </c>
      <c r="BQ874" s="176">
        <f>491.4+320</f>
        <v>811.4</v>
      </c>
      <c r="BR874" s="176">
        <f>510.3+320</f>
        <v>830.3</v>
      </c>
      <c r="BS874" s="176">
        <f>434.7+320</f>
        <v>754.7</v>
      </c>
      <c r="BT874" s="176">
        <v>754.7</v>
      </c>
      <c r="BU874" s="176">
        <f>491.4+320</f>
        <v>811.4</v>
      </c>
      <c r="BV874" s="176">
        <f>453.6+320</f>
        <v>773.6</v>
      </c>
      <c r="BW874" s="176">
        <f>491.4+320</f>
        <v>811.4</v>
      </c>
      <c r="BX874" s="176"/>
      <c r="BY874" s="191"/>
      <c r="BZ874" s="191"/>
      <c r="CA874" s="191"/>
      <c r="CC874" s="182"/>
    </row>
    <row r="875" spans="1:81" s="178" customFormat="1" ht="15.75" customHeight="1">
      <c r="A875" s="226"/>
      <c r="B875" s="227"/>
      <c r="C875" s="227"/>
      <c r="D875" s="227"/>
      <c r="E875" s="227"/>
      <c r="F875" s="227"/>
      <c r="G875" s="227"/>
      <c r="H875" s="227"/>
      <c r="I875" s="175" t="s">
        <v>355</v>
      </c>
      <c r="J875" s="175"/>
      <c r="K875" s="175"/>
      <c r="L875" s="175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  <c r="AA875" s="176"/>
      <c r="AB875" s="176"/>
      <c r="AC875" s="176"/>
      <c r="AD875" s="176"/>
      <c r="AE875" s="176"/>
      <c r="AF875" s="176"/>
      <c r="AG875" s="176"/>
      <c r="AH875" s="176"/>
      <c r="AI875" s="176"/>
      <c r="AJ875" s="176"/>
      <c r="AK875" s="176"/>
      <c r="AL875" s="176"/>
      <c r="AM875" s="176"/>
      <c r="AN875" s="176"/>
      <c r="AO875" s="176"/>
      <c r="AP875" s="176"/>
      <c r="AQ875" s="176"/>
      <c r="AR875" s="176"/>
      <c r="AS875" s="176"/>
      <c r="AT875" s="176"/>
      <c r="AU875" s="176"/>
      <c r="AV875" s="176"/>
      <c r="AW875" s="176"/>
      <c r="AX875" s="176"/>
      <c r="AY875" s="176"/>
      <c r="AZ875" s="176"/>
      <c r="BA875" s="176"/>
      <c r="BB875" s="176"/>
      <c r="BC875" s="176"/>
      <c r="BD875" s="176"/>
      <c r="BE875" s="176"/>
      <c r="BF875" s="176"/>
      <c r="BG875" s="176"/>
      <c r="BH875" s="176"/>
      <c r="BI875" s="176"/>
      <c r="BJ875" s="176"/>
      <c r="BK875" s="176"/>
      <c r="BL875" s="176"/>
      <c r="BM875" s="176"/>
      <c r="BN875" s="176"/>
      <c r="BO875" s="176"/>
      <c r="BP875" s="176"/>
      <c r="BQ875" s="176"/>
      <c r="BR875" s="176"/>
      <c r="BS875" s="176"/>
      <c r="BT875" s="176"/>
      <c r="BU875" s="176"/>
      <c r="BV875" s="176"/>
      <c r="BW875" s="176"/>
      <c r="BX875" s="176"/>
      <c r="BY875" s="191"/>
      <c r="BZ875" s="191"/>
      <c r="CA875" s="191"/>
      <c r="CC875" s="182"/>
    </row>
    <row r="876" spans="1:81" s="178" customFormat="1" ht="15.75" customHeight="1">
      <c r="A876" s="226"/>
      <c r="B876" s="227"/>
      <c r="C876" s="227"/>
      <c r="D876" s="227"/>
      <c r="E876" s="227"/>
      <c r="F876" s="227"/>
      <c r="G876" s="227"/>
      <c r="H876" s="227"/>
      <c r="I876" s="175" t="s">
        <v>357</v>
      </c>
      <c r="J876" s="175"/>
      <c r="K876" s="175"/>
      <c r="L876" s="175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  <c r="AA876" s="176"/>
      <c r="AB876" s="176"/>
      <c r="AC876" s="176"/>
      <c r="AD876" s="176"/>
      <c r="AE876" s="176"/>
      <c r="AF876" s="176"/>
      <c r="AG876" s="176"/>
      <c r="AH876" s="176"/>
      <c r="AI876" s="176"/>
      <c r="AJ876" s="176"/>
      <c r="AK876" s="176"/>
      <c r="AL876" s="176"/>
      <c r="AM876" s="176"/>
      <c r="AN876" s="176"/>
      <c r="AO876" s="176"/>
      <c r="AP876" s="176"/>
      <c r="AQ876" s="176"/>
      <c r="AR876" s="176"/>
      <c r="AS876" s="176"/>
      <c r="AT876" s="176"/>
      <c r="AU876" s="176"/>
      <c r="AV876" s="176"/>
      <c r="AW876" s="176"/>
      <c r="AX876" s="176"/>
      <c r="AY876" s="176"/>
      <c r="AZ876" s="176"/>
      <c r="BA876" s="176"/>
      <c r="BB876" s="176"/>
      <c r="BC876" s="176"/>
      <c r="BD876" s="176"/>
      <c r="BE876" s="176"/>
      <c r="BF876" s="176"/>
      <c r="BG876" s="176"/>
      <c r="BH876" s="176"/>
      <c r="BI876" s="176"/>
      <c r="BJ876" s="176"/>
      <c r="BK876" s="176"/>
      <c r="BL876" s="176"/>
      <c r="BM876" s="176"/>
      <c r="BN876" s="176"/>
      <c r="BO876" s="176"/>
      <c r="BP876" s="176"/>
      <c r="BQ876" s="176"/>
      <c r="BR876" s="176"/>
      <c r="BS876" s="176"/>
      <c r="BT876" s="176"/>
      <c r="BU876" s="176"/>
      <c r="BV876" s="176"/>
      <c r="BW876" s="176"/>
      <c r="BX876" s="176"/>
      <c r="BY876" s="191"/>
      <c r="BZ876" s="191"/>
      <c r="CA876" s="191"/>
      <c r="CC876" s="182"/>
    </row>
    <row r="877" spans="1:81" s="178" customFormat="1" ht="15.75" customHeight="1">
      <c r="A877" s="226"/>
      <c r="B877" s="227"/>
      <c r="C877" s="227"/>
      <c r="D877" s="227"/>
      <c r="E877" s="227"/>
      <c r="F877" s="227"/>
      <c r="G877" s="227"/>
      <c r="H877" s="227"/>
      <c r="I877" s="184" t="s">
        <v>362</v>
      </c>
      <c r="J877" s="175"/>
      <c r="K877" s="175"/>
      <c r="L877" s="175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  <c r="AA877" s="176"/>
      <c r="AB877" s="176"/>
      <c r="AC877" s="176"/>
      <c r="AD877" s="176"/>
      <c r="AE877" s="176"/>
      <c r="AF877" s="176"/>
      <c r="AG877" s="176"/>
      <c r="AH877" s="176"/>
      <c r="AI877" s="176"/>
      <c r="AJ877" s="176"/>
      <c r="AK877" s="176"/>
      <c r="AL877" s="176"/>
      <c r="AM877" s="176"/>
      <c r="AN877" s="176"/>
      <c r="AO877" s="176"/>
      <c r="AP877" s="176"/>
      <c r="AQ877" s="176"/>
      <c r="AR877" s="176"/>
      <c r="AS877" s="176"/>
      <c r="AT877" s="176"/>
      <c r="AU877" s="176"/>
      <c r="AV877" s="176"/>
      <c r="AW877" s="176"/>
      <c r="AX877" s="176"/>
      <c r="AY877" s="176"/>
      <c r="AZ877" s="176"/>
      <c r="BA877" s="176"/>
      <c r="BB877" s="176"/>
      <c r="BC877" s="176"/>
      <c r="BD877" s="176"/>
      <c r="BE877" s="176"/>
      <c r="BF877" s="176"/>
      <c r="BG877" s="176"/>
      <c r="BH877" s="176"/>
      <c r="BI877" s="176"/>
      <c r="BJ877" s="176"/>
      <c r="BK877" s="176"/>
      <c r="BL877" s="176"/>
      <c r="BM877" s="176"/>
      <c r="BN877" s="176"/>
      <c r="BO877" s="176"/>
      <c r="BP877" s="176"/>
      <c r="BQ877" s="176"/>
      <c r="BR877" s="176"/>
      <c r="BS877" s="176"/>
      <c r="BT877" s="176"/>
      <c r="BU877" s="176"/>
      <c r="BV877" s="176"/>
      <c r="BW877" s="176"/>
      <c r="BX877" s="176"/>
      <c r="BY877" s="191"/>
      <c r="BZ877" s="191"/>
      <c r="CA877" s="191"/>
      <c r="CC877" s="182"/>
    </row>
    <row r="878" spans="1:81" s="178" customFormat="1">
      <c r="A878" s="226"/>
      <c r="B878" s="227"/>
      <c r="C878" s="227"/>
      <c r="D878" s="227"/>
      <c r="E878" s="227"/>
      <c r="F878" s="227"/>
      <c r="G878" s="227"/>
      <c r="H878" s="227"/>
      <c r="I878" s="190" t="s">
        <v>363</v>
      </c>
      <c r="J878" s="190"/>
      <c r="K878" s="190"/>
      <c r="L878" s="190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  <c r="AA878" s="176"/>
      <c r="AB878" s="176"/>
      <c r="AC878" s="176"/>
      <c r="AD878" s="176"/>
      <c r="AE878" s="176"/>
      <c r="AF878" s="176"/>
      <c r="AG878" s="176"/>
      <c r="AH878" s="176"/>
      <c r="AI878" s="176"/>
      <c r="AJ878" s="176"/>
      <c r="AK878" s="176"/>
      <c r="AL878" s="176"/>
      <c r="AM878" s="176"/>
      <c r="AN878" s="176"/>
      <c r="AO878" s="176"/>
      <c r="AP878" s="176"/>
      <c r="AQ878" s="176"/>
      <c r="AR878" s="176"/>
      <c r="AS878" s="176"/>
      <c r="AT878" s="176"/>
      <c r="AU878" s="176"/>
      <c r="AV878" s="176"/>
      <c r="AW878" s="176"/>
      <c r="AX878" s="176"/>
      <c r="AY878" s="176"/>
      <c r="AZ878" s="176"/>
      <c r="BA878" s="176"/>
      <c r="BB878" s="176"/>
      <c r="BC878" s="176"/>
      <c r="BD878" s="176"/>
      <c r="BE878" s="176"/>
      <c r="BF878" s="176"/>
      <c r="BG878" s="176"/>
      <c r="BH878" s="176"/>
      <c r="BI878" s="176"/>
      <c r="BJ878" s="176"/>
      <c r="BK878" s="176"/>
      <c r="BL878" s="176"/>
      <c r="BM878" s="176"/>
      <c r="BN878" s="176"/>
      <c r="BO878" s="176"/>
      <c r="BP878" s="176"/>
      <c r="BQ878" s="176"/>
      <c r="BR878" s="176"/>
      <c r="BS878" s="176"/>
      <c r="BT878" s="176"/>
      <c r="BU878" s="176"/>
      <c r="BV878" s="176"/>
      <c r="BW878" s="176"/>
      <c r="BX878" s="176"/>
      <c r="BY878" s="191"/>
      <c r="BZ878" s="191"/>
    </row>
    <row r="879" spans="1:81" s="178" customFormat="1">
      <c r="A879" s="226"/>
      <c r="B879" s="227"/>
      <c r="C879" s="227"/>
      <c r="D879" s="227"/>
      <c r="E879" s="227"/>
      <c r="F879" s="227"/>
      <c r="G879" s="227"/>
      <c r="H879" s="227"/>
      <c r="I879" s="193" t="s">
        <v>373</v>
      </c>
      <c r="J879" s="193"/>
      <c r="K879" s="193"/>
      <c r="L879" s="193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  <c r="AA879" s="176"/>
      <c r="AB879" s="176"/>
      <c r="AC879" s="176"/>
      <c r="AD879" s="176"/>
      <c r="AE879" s="176"/>
      <c r="AF879" s="176"/>
      <c r="AG879" s="176"/>
      <c r="AH879" s="176"/>
      <c r="AI879" s="176"/>
      <c r="AJ879" s="176"/>
      <c r="AK879" s="176"/>
      <c r="AL879" s="176"/>
      <c r="AM879" s="176"/>
      <c r="AN879" s="176"/>
      <c r="AO879" s="176"/>
      <c r="AP879" s="176"/>
      <c r="AQ879" s="176"/>
      <c r="AR879" s="176"/>
      <c r="AS879" s="176"/>
      <c r="AT879" s="176"/>
      <c r="AU879" s="176"/>
      <c r="AV879" s="176"/>
      <c r="AW879" s="176"/>
      <c r="AX879" s="176"/>
      <c r="AY879" s="176"/>
      <c r="AZ879" s="176"/>
      <c r="BA879" s="176"/>
      <c r="BB879" s="176"/>
      <c r="BC879" s="176"/>
      <c r="BD879" s="176"/>
      <c r="BE879" s="176"/>
      <c r="BF879" s="176"/>
      <c r="BG879" s="176"/>
      <c r="BH879" s="176"/>
      <c r="BI879" s="176"/>
      <c r="BJ879" s="176"/>
      <c r="BK879" s="176"/>
      <c r="BL879" s="176"/>
      <c r="BM879" s="176">
        <v>106.36</v>
      </c>
      <c r="BN879" s="176">
        <v>143.71</v>
      </c>
      <c r="BO879" s="176">
        <v>143.71</v>
      </c>
      <c r="BP879" s="176">
        <v>143.71</v>
      </c>
      <c r="BQ879" s="176">
        <v>143.71</v>
      </c>
      <c r="BR879" s="176">
        <v>254.7</v>
      </c>
      <c r="BS879" s="176">
        <v>254.7</v>
      </c>
      <c r="BT879" s="176">
        <f>1127.85-600</f>
        <v>527.84999999999991</v>
      </c>
      <c r="BU879" s="176">
        <f>1127.85-600</f>
        <v>527.84999999999991</v>
      </c>
      <c r="BV879" s="176">
        <f>1127.85-600</f>
        <v>527.84999999999991</v>
      </c>
      <c r="BW879" s="176">
        <f>1210.38-739.92</f>
        <v>470.46000000000015</v>
      </c>
      <c r="BX879" s="176"/>
      <c r="BY879" s="191"/>
      <c r="BZ879" s="191"/>
    </row>
    <row r="880" spans="1:81" s="178" customFormat="1">
      <c r="A880" s="226"/>
      <c r="B880" s="227"/>
      <c r="C880" s="227"/>
      <c r="D880" s="227"/>
      <c r="E880" s="227"/>
      <c r="F880" s="227"/>
      <c r="G880" s="227"/>
      <c r="H880" s="227"/>
      <c r="I880" s="190"/>
      <c r="J880" s="176">
        <f>SUM(J869:J878)-J879</f>
        <v>0</v>
      </c>
      <c r="K880" s="176">
        <f t="shared" ref="K880:Y880" si="441">SUM(K869:K878)-K879</f>
        <v>0</v>
      </c>
      <c r="L880" s="176">
        <f t="shared" si="441"/>
        <v>0</v>
      </c>
      <c r="M880" s="176">
        <f t="shared" si="441"/>
        <v>0</v>
      </c>
      <c r="N880" s="176">
        <f t="shared" si="441"/>
        <v>0</v>
      </c>
      <c r="O880" s="176">
        <f t="shared" si="441"/>
        <v>0</v>
      </c>
      <c r="P880" s="176">
        <f t="shared" si="441"/>
        <v>0</v>
      </c>
      <c r="Q880" s="176">
        <f t="shared" si="441"/>
        <v>0</v>
      </c>
      <c r="R880" s="176">
        <f t="shared" si="441"/>
        <v>0</v>
      </c>
      <c r="S880" s="176">
        <f t="shared" si="441"/>
        <v>0</v>
      </c>
      <c r="T880" s="176">
        <f t="shared" si="441"/>
        <v>0</v>
      </c>
      <c r="U880" s="176">
        <f t="shared" si="441"/>
        <v>0</v>
      </c>
      <c r="V880" s="176">
        <f t="shared" si="441"/>
        <v>0</v>
      </c>
      <c r="W880" s="176">
        <f t="shared" si="441"/>
        <v>0</v>
      </c>
      <c r="X880" s="176">
        <f t="shared" si="441"/>
        <v>0</v>
      </c>
      <c r="Y880" s="176">
        <f t="shared" si="441"/>
        <v>0</v>
      </c>
      <c r="Z880" s="176">
        <f>SUM(Z869:Z878)-Z879</f>
        <v>0</v>
      </c>
      <c r="AA880" s="176">
        <f t="shared" ref="AA880:AD880" si="442">SUM(AA869:AA878)-AA879</f>
        <v>0</v>
      </c>
      <c r="AB880" s="176">
        <f t="shared" si="442"/>
        <v>0</v>
      </c>
      <c r="AC880" s="176">
        <f t="shared" si="442"/>
        <v>0</v>
      </c>
      <c r="AD880" s="176">
        <f t="shared" si="442"/>
        <v>0</v>
      </c>
      <c r="AE880" s="176">
        <f>SUM(AE869:AE878)-AE879</f>
        <v>0</v>
      </c>
      <c r="AF880" s="176">
        <f>SUM(AF869:AF878)-AF879</f>
        <v>0</v>
      </c>
      <c r="AG880" s="176">
        <f t="shared" ref="AG880:AP880" si="443">SUM(AG869:AG878)-AG879</f>
        <v>0</v>
      </c>
      <c r="AH880" s="176">
        <f t="shared" si="443"/>
        <v>0</v>
      </c>
      <c r="AI880" s="176">
        <f t="shared" si="443"/>
        <v>0</v>
      </c>
      <c r="AJ880" s="176">
        <f t="shared" si="443"/>
        <v>0</v>
      </c>
      <c r="AK880" s="176">
        <f t="shared" si="443"/>
        <v>0</v>
      </c>
      <c r="AL880" s="176">
        <f t="shared" si="443"/>
        <v>0</v>
      </c>
      <c r="AM880" s="176">
        <f t="shared" si="443"/>
        <v>0</v>
      </c>
      <c r="AN880" s="176">
        <f t="shared" si="443"/>
        <v>0</v>
      </c>
      <c r="AO880" s="176">
        <f t="shared" si="443"/>
        <v>0</v>
      </c>
      <c r="AP880" s="176">
        <f t="shared" si="443"/>
        <v>0</v>
      </c>
      <c r="AQ880" s="176">
        <f t="shared" ref="AQ880:AU880" si="444">SUM(AQ869:AQ878)-AQ879</f>
        <v>0</v>
      </c>
      <c r="AR880" s="176">
        <f t="shared" si="444"/>
        <v>0</v>
      </c>
      <c r="AS880" s="176">
        <f t="shared" si="444"/>
        <v>0</v>
      </c>
      <c r="AT880" s="176">
        <f t="shared" si="444"/>
        <v>0</v>
      </c>
      <c r="AU880" s="176">
        <f t="shared" si="444"/>
        <v>0</v>
      </c>
      <c r="AV880" s="176">
        <f>SUM(AV869:AV878)-AV879</f>
        <v>0</v>
      </c>
      <c r="AW880" s="176">
        <f t="shared" ref="AW880:BA880" si="445">SUM(AW869:AW878)-AW879</f>
        <v>0</v>
      </c>
      <c r="AX880" s="176">
        <f t="shared" si="445"/>
        <v>0</v>
      </c>
      <c r="AY880" s="176">
        <f t="shared" si="445"/>
        <v>0</v>
      </c>
      <c r="AZ880" s="176">
        <f t="shared" si="445"/>
        <v>0</v>
      </c>
      <c r="BA880" s="176">
        <f t="shared" si="445"/>
        <v>0</v>
      </c>
      <c r="BB880" s="176"/>
      <c r="BC880" s="176"/>
      <c r="BD880" s="176"/>
      <c r="BE880" s="176"/>
      <c r="BF880" s="176"/>
      <c r="BG880" s="176"/>
      <c r="BH880" s="176"/>
      <c r="BI880" s="176"/>
      <c r="BJ880" s="176"/>
      <c r="BK880" s="176"/>
      <c r="BL880" s="176"/>
      <c r="BM880" s="176">
        <f t="shared" ref="BM880:BT880" si="446">BM870+BM876-BM879+BM874</f>
        <v>1931.3300000000002</v>
      </c>
      <c r="BN880" s="176">
        <f t="shared" si="446"/>
        <v>2403.1</v>
      </c>
      <c r="BO880" s="176">
        <f t="shared" si="446"/>
        <v>2582.5</v>
      </c>
      <c r="BP880" s="176">
        <f t="shared" si="446"/>
        <v>2563.6</v>
      </c>
      <c r="BQ880" s="176">
        <f t="shared" si="446"/>
        <v>2582.5</v>
      </c>
      <c r="BR880" s="176">
        <f t="shared" si="446"/>
        <v>2490.41</v>
      </c>
      <c r="BS880" s="176">
        <f t="shared" si="446"/>
        <v>2414.81</v>
      </c>
      <c r="BT880" s="176">
        <f t="shared" si="446"/>
        <v>2141.66</v>
      </c>
      <c r="BU880" s="176">
        <f t="shared" ref="BU880:BV880" si="447">BU870+BU876-BU879+BU874</f>
        <v>2200.9</v>
      </c>
      <c r="BV880" s="176">
        <f t="shared" si="447"/>
        <v>2163.1</v>
      </c>
      <c r="BW880" s="176">
        <f>BW870+BW874-BW879+BW871</f>
        <v>2461.77</v>
      </c>
      <c r="BX880" s="176">
        <f>SUM(BD880:BW880)</f>
        <v>25935.68</v>
      </c>
      <c r="BY880" s="191"/>
      <c r="BZ880" s="191"/>
    </row>
    <row r="881" spans="1:81" ht="15.6" customHeight="1">
      <c r="A881" s="148" t="s">
        <v>346</v>
      </c>
      <c r="B881" s="148" t="s">
        <v>347</v>
      </c>
      <c r="C881" s="145" t="s">
        <v>310</v>
      </c>
      <c r="D881" s="145" t="s">
        <v>311</v>
      </c>
      <c r="E881" s="148" t="s">
        <v>312</v>
      </c>
      <c r="F881" s="148" t="s">
        <v>348</v>
      </c>
      <c r="G881" s="145" t="s">
        <v>314</v>
      </c>
      <c r="H881" s="145" t="s">
        <v>315</v>
      </c>
      <c r="I881" s="145" t="s">
        <v>349</v>
      </c>
      <c r="J881" s="146">
        <v>44105</v>
      </c>
      <c r="K881" s="146">
        <v>44136</v>
      </c>
      <c r="L881" s="146">
        <v>44166</v>
      </c>
      <c r="M881" s="146">
        <v>44197</v>
      </c>
      <c r="N881" s="146">
        <v>44228</v>
      </c>
      <c r="O881" s="146">
        <v>44256</v>
      </c>
      <c r="P881" s="146">
        <v>44287</v>
      </c>
      <c r="Q881" s="146">
        <v>44317</v>
      </c>
      <c r="R881" s="146">
        <v>44348</v>
      </c>
      <c r="S881" s="146">
        <v>44378</v>
      </c>
      <c r="T881" s="146">
        <v>44409</v>
      </c>
      <c r="U881" s="146">
        <v>44440</v>
      </c>
      <c r="V881" s="146">
        <v>44470</v>
      </c>
      <c r="W881" s="146">
        <v>44501</v>
      </c>
      <c r="X881" s="146">
        <v>44531</v>
      </c>
      <c r="Y881" s="146">
        <v>44562</v>
      </c>
      <c r="Z881" s="146">
        <v>44593</v>
      </c>
      <c r="AA881" s="146">
        <v>44621</v>
      </c>
      <c r="AB881" s="146">
        <v>44652</v>
      </c>
      <c r="AC881" s="146">
        <v>44682</v>
      </c>
      <c r="AD881" s="146">
        <v>44713</v>
      </c>
      <c r="AE881" s="146">
        <v>44743</v>
      </c>
      <c r="AF881" s="146">
        <v>44774</v>
      </c>
      <c r="AG881" s="146">
        <v>44805</v>
      </c>
      <c r="AH881" s="146">
        <v>44835</v>
      </c>
      <c r="AI881" s="146">
        <v>44866</v>
      </c>
      <c r="AJ881" s="146">
        <v>44896</v>
      </c>
      <c r="AK881" s="146">
        <v>44927</v>
      </c>
      <c r="AL881" s="146">
        <v>44958</v>
      </c>
      <c r="AM881" s="146">
        <v>44986</v>
      </c>
      <c r="AN881" s="146">
        <v>45017</v>
      </c>
      <c r="AO881" s="146">
        <v>45047</v>
      </c>
      <c r="AP881" s="146">
        <v>45078</v>
      </c>
      <c r="AQ881" s="146">
        <v>45108</v>
      </c>
      <c r="AR881" s="146">
        <v>45139</v>
      </c>
      <c r="AS881" s="146">
        <v>45170</v>
      </c>
      <c r="AT881" s="146">
        <v>45200</v>
      </c>
      <c r="AU881" s="146">
        <v>45231</v>
      </c>
      <c r="AV881" s="146">
        <v>45261</v>
      </c>
      <c r="AW881" s="146">
        <v>45292</v>
      </c>
      <c r="AX881" s="146">
        <v>45323</v>
      </c>
      <c r="AY881" s="146">
        <v>45352</v>
      </c>
      <c r="AZ881" s="146">
        <v>45383</v>
      </c>
      <c r="BA881" s="146">
        <v>45413</v>
      </c>
      <c r="BB881" s="146">
        <v>45444</v>
      </c>
      <c r="BC881" s="146">
        <v>45474</v>
      </c>
      <c r="BD881" s="146">
        <v>45505</v>
      </c>
      <c r="BE881" s="146">
        <v>45536</v>
      </c>
      <c r="BF881" s="146">
        <v>45566</v>
      </c>
      <c r="BG881" s="146">
        <v>45597</v>
      </c>
      <c r="BH881" s="146">
        <v>45627</v>
      </c>
      <c r="BI881" s="146">
        <v>45658</v>
      </c>
      <c r="BJ881" s="146">
        <v>45689</v>
      </c>
      <c r="BK881" s="146">
        <v>45717</v>
      </c>
      <c r="BL881" s="146">
        <v>45748</v>
      </c>
      <c r="BM881" s="146">
        <v>45778</v>
      </c>
      <c r="BN881" s="146">
        <v>45809</v>
      </c>
      <c r="BO881" s="146">
        <v>45839</v>
      </c>
      <c r="BP881" s="146">
        <v>45870</v>
      </c>
      <c r="BQ881" s="146">
        <v>45901</v>
      </c>
      <c r="BR881" s="146">
        <v>45931</v>
      </c>
      <c r="BS881" s="146">
        <v>45962</v>
      </c>
      <c r="BT881" s="146">
        <v>45992</v>
      </c>
      <c r="BU881" s="146">
        <v>46023</v>
      </c>
      <c r="BV881" s="146">
        <v>46054</v>
      </c>
      <c r="BW881" s="146">
        <v>46082</v>
      </c>
      <c r="BX881" s="147" t="s">
        <v>13</v>
      </c>
      <c r="BY881" s="5"/>
      <c r="BZ881" s="5"/>
      <c r="CA881" s="5"/>
    </row>
    <row r="882" spans="1:81" s="178" customFormat="1" ht="15.75" customHeight="1">
      <c r="A882" s="226">
        <v>66</v>
      </c>
      <c r="B882" s="227" t="s">
        <v>235</v>
      </c>
      <c r="C882" s="227" t="s">
        <v>23</v>
      </c>
      <c r="D882" s="227" t="s">
        <v>89</v>
      </c>
      <c r="E882" s="227" t="s">
        <v>150</v>
      </c>
      <c r="F882" s="227" t="s">
        <v>150</v>
      </c>
      <c r="G882" s="233">
        <v>45859</v>
      </c>
      <c r="H882" s="227"/>
      <c r="I882" s="175" t="s">
        <v>390</v>
      </c>
      <c r="J882" s="175"/>
      <c r="K882" s="175"/>
      <c r="L882" s="175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  <c r="AA882" s="176"/>
      <c r="AB882" s="176"/>
      <c r="AC882" s="176"/>
      <c r="AD882" s="176"/>
      <c r="AE882" s="176"/>
      <c r="AF882" s="176"/>
      <c r="AG882" s="176"/>
      <c r="AH882" s="176"/>
      <c r="AI882" s="176"/>
      <c r="AJ882" s="176"/>
      <c r="AK882" s="176"/>
      <c r="AL882" s="176"/>
      <c r="AM882" s="176"/>
      <c r="AN882" s="176"/>
      <c r="AO882" s="176"/>
      <c r="AP882" s="176"/>
      <c r="AQ882" s="176"/>
      <c r="AR882" s="176"/>
      <c r="AS882" s="176"/>
      <c r="AT882" s="176"/>
      <c r="AU882" s="176"/>
      <c r="AV882" s="176"/>
      <c r="AW882" s="176"/>
      <c r="AX882" s="176"/>
      <c r="AY882" s="176"/>
      <c r="AZ882" s="176"/>
      <c r="BA882" s="176"/>
      <c r="BB882" s="176"/>
      <c r="BC882" s="176"/>
      <c r="BD882" s="176"/>
      <c r="BE882" s="176"/>
      <c r="BF882" s="176"/>
      <c r="BG882" s="176"/>
      <c r="BH882" s="176"/>
      <c r="BI882" s="176"/>
      <c r="BJ882" s="176"/>
      <c r="BK882" s="176"/>
      <c r="BL882" s="176"/>
      <c r="BM882" s="176"/>
      <c r="BN882" s="176"/>
      <c r="BO882" s="176"/>
      <c r="BP882" s="176"/>
      <c r="BQ882" s="176"/>
      <c r="BR882" s="176"/>
      <c r="BS882" s="176"/>
      <c r="BT882" s="176"/>
      <c r="BU882" s="176"/>
      <c r="BV882" s="176"/>
      <c r="BW882" s="176"/>
      <c r="BX882" s="176"/>
      <c r="BY882" s="191"/>
      <c r="BZ882" s="191"/>
      <c r="CA882" s="191"/>
      <c r="CC882" s="182"/>
    </row>
    <row r="883" spans="1:81" s="178" customFormat="1" ht="15.75" customHeight="1">
      <c r="A883" s="226"/>
      <c r="B883" s="227"/>
      <c r="C883" s="227"/>
      <c r="D883" s="227"/>
      <c r="E883" s="227"/>
      <c r="F883" s="227"/>
      <c r="G883" s="227"/>
      <c r="H883" s="227"/>
      <c r="I883" s="175" t="s">
        <v>351</v>
      </c>
      <c r="J883" s="175"/>
      <c r="K883" s="175"/>
      <c r="L883" s="175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  <c r="AA883" s="176"/>
      <c r="AB883" s="176"/>
      <c r="AC883" s="176"/>
      <c r="AD883" s="176"/>
      <c r="AE883" s="176"/>
      <c r="AF883" s="176"/>
      <c r="AG883" s="176"/>
      <c r="AH883" s="176"/>
      <c r="AI883" s="176"/>
      <c r="AJ883" s="176"/>
      <c r="AK883" s="176"/>
      <c r="AL883" s="176"/>
      <c r="AM883" s="176"/>
      <c r="AN883" s="176"/>
      <c r="AO883" s="176"/>
      <c r="AP883" s="176"/>
      <c r="AQ883" s="176"/>
      <c r="AR883" s="176"/>
      <c r="AS883" s="176"/>
      <c r="AT883" s="176"/>
      <c r="AU883" s="176"/>
      <c r="AV883" s="176"/>
      <c r="AW883" s="176"/>
      <c r="AX883" s="176"/>
      <c r="AY883" s="176"/>
      <c r="AZ883" s="176"/>
      <c r="BA883" s="176"/>
      <c r="BB883" s="176"/>
      <c r="BC883" s="176"/>
      <c r="BD883" s="176"/>
      <c r="BE883" s="176"/>
      <c r="BF883" s="176"/>
      <c r="BG883" s="176"/>
      <c r="BH883" s="176"/>
      <c r="BI883" s="176"/>
      <c r="BJ883" s="176"/>
      <c r="BK883" s="176"/>
      <c r="BL883" s="176"/>
      <c r="BM883" s="176"/>
      <c r="BN883" s="176"/>
      <c r="BO883" s="176">
        <v>616</v>
      </c>
      <c r="BP883" s="176">
        <v>1914.81</v>
      </c>
      <c r="BQ883" s="176">
        <v>1914.81</v>
      </c>
      <c r="BR883" s="176">
        <v>1914.81</v>
      </c>
      <c r="BS883" s="176">
        <v>2131.4699999999998</v>
      </c>
      <c r="BT883" s="176">
        <v>1914.81</v>
      </c>
      <c r="BU883" s="176">
        <v>1917.35</v>
      </c>
      <c r="BV883" s="176">
        <v>1917.35</v>
      </c>
      <c r="BW883" s="176">
        <v>1917.35</v>
      </c>
      <c r="BX883" s="176"/>
      <c r="BY883" s="191"/>
      <c r="BZ883" s="191"/>
      <c r="CA883" s="191"/>
      <c r="CC883" s="182"/>
    </row>
    <row r="884" spans="1:81" s="178" customFormat="1" ht="15.75" customHeight="1">
      <c r="A884" s="226"/>
      <c r="B884" s="227"/>
      <c r="C884" s="227"/>
      <c r="D884" s="227"/>
      <c r="E884" s="227"/>
      <c r="F884" s="227"/>
      <c r="G884" s="227"/>
      <c r="H884" s="227"/>
      <c r="I884" s="175" t="s">
        <v>391</v>
      </c>
      <c r="J884" s="175"/>
      <c r="K884" s="175"/>
      <c r="L884" s="175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7"/>
      <c r="Z884" s="176"/>
      <c r="AA884" s="176"/>
      <c r="AB884" s="176"/>
      <c r="AC884" s="176"/>
      <c r="AD884" s="176"/>
      <c r="AE884" s="176"/>
      <c r="AF884" s="176"/>
      <c r="AG884" s="176"/>
      <c r="AH884" s="176"/>
      <c r="AI884" s="176"/>
      <c r="AJ884" s="176"/>
      <c r="AK884" s="176"/>
      <c r="AL884" s="176"/>
      <c r="AM884" s="176"/>
      <c r="AN884" s="176"/>
      <c r="AO884" s="176"/>
      <c r="AP884" s="176"/>
      <c r="AQ884" s="176"/>
      <c r="AR884" s="176"/>
      <c r="AS884" s="176"/>
      <c r="AT884" s="176"/>
      <c r="AU884" s="176"/>
      <c r="AV884" s="176"/>
      <c r="AW884" s="176"/>
      <c r="AX884" s="176"/>
      <c r="AY884" s="176"/>
      <c r="AZ884" s="176"/>
      <c r="BA884" s="176"/>
      <c r="BB884" s="176"/>
      <c r="BC884" s="176"/>
      <c r="BD884" s="176"/>
      <c r="BE884" s="176"/>
      <c r="BF884" s="176"/>
      <c r="BG884" s="176"/>
      <c r="BH884" s="176"/>
      <c r="BI884" s="176"/>
      <c r="BJ884" s="176"/>
      <c r="BK884" s="176"/>
      <c r="BL884" s="176"/>
      <c r="BM884" s="176"/>
      <c r="BN884" s="176"/>
      <c r="BO884" s="176"/>
      <c r="BP884" s="176"/>
      <c r="BQ884" s="176"/>
      <c r="BR884" s="176"/>
      <c r="BS884" s="176"/>
      <c r="BT884" s="176"/>
      <c r="BU884" s="176"/>
      <c r="BV884" s="176"/>
      <c r="BW884" s="176"/>
      <c r="BX884" s="176"/>
      <c r="BY884" s="191"/>
      <c r="BZ884" s="191"/>
      <c r="CA884" s="191"/>
      <c r="CC884" s="182"/>
    </row>
    <row r="885" spans="1:81" s="178" customFormat="1" ht="15.75" customHeight="1">
      <c r="A885" s="226"/>
      <c r="B885" s="227"/>
      <c r="C885" s="227"/>
      <c r="D885" s="227"/>
      <c r="E885" s="227"/>
      <c r="F885" s="227"/>
      <c r="G885" s="227"/>
      <c r="H885" s="227"/>
      <c r="I885" s="175" t="s">
        <v>351</v>
      </c>
      <c r="J885" s="175"/>
      <c r="K885" s="175"/>
      <c r="L885" s="175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7"/>
      <c r="Z885" s="176"/>
      <c r="AA885" s="176"/>
      <c r="AB885" s="176"/>
      <c r="AC885" s="176"/>
      <c r="AD885" s="176"/>
      <c r="AE885" s="176"/>
      <c r="AF885" s="176"/>
      <c r="AG885" s="176"/>
      <c r="AH885" s="176"/>
      <c r="AI885" s="176"/>
      <c r="AJ885" s="176"/>
      <c r="AK885" s="176"/>
      <c r="AL885" s="176"/>
      <c r="AM885" s="176"/>
      <c r="AN885" s="176"/>
      <c r="AO885" s="176"/>
      <c r="AP885" s="176"/>
      <c r="AQ885" s="176"/>
      <c r="AR885" s="176"/>
      <c r="AS885" s="176"/>
      <c r="AT885" s="176"/>
      <c r="AU885" s="176"/>
      <c r="AV885" s="176"/>
      <c r="AW885" s="176"/>
      <c r="AX885" s="176"/>
      <c r="AY885" s="176"/>
      <c r="AZ885" s="176"/>
      <c r="BA885" s="176"/>
      <c r="BB885" s="176"/>
      <c r="BC885" s="176"/>
      <c r="BD885" s="176"/>
      <c r="BE885" s="176"/>
      <c r="BF885" s="176"/>
      <c r="BG885" s="176"/>
      <c r="BH885" s="176"/>
      <c r="BI885" s="176"/>
      <c r="BJ885" s="176"/>
      <c r="BK885" s="176"/>
      <c r="BL885" s="176"/>
      <c r="BM885" s="176"/>
      <c r="BN885" s="176"/>
      <c r="BO885" s="176"/>
      <c r="BP885" s="176"/>
      <c r="BQ885" s="176"/>
      <c r="BR885" s="176"/>
      <c r="BS885" s="176"/>
      <c r="BT885" s="176"/>
      <c r="BU885" s="176"/>
      <c r="BV885" s="176"/>
      <c r="BW885" s="176"/>
      <c r="BX885" s="176"/>
      <c r="BY885" s="191"/>
      <c r="BZ885" s="191"/>
      <c r="CA885" s="191"/>
      <c r="CC885" s="182"/>
    </row>
    <row r="886" spans="1:81" s="178" customFormat="1" ht="15.75" customHeight="1">
      <c r="A886" s="226"/>
      <c r="B886" s="227"/>
      <c r="C886" s="227"/>
      <c r="D886" s="227"/>
      <c r="E886" s="227"/>
      <c r="F886" s="227"/>
      <c r="G886" s="227"/>
      <c r="H886" s="227"/>
      <c r="I886" s="175" t="s">
        <v>353</v>
      </c>
      <c r="J886" s="175"/>
      <c r="K886" s="175"/>
      <c r="L886" s="175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  <c r="AA886" s="176"/>
      <c r="AB886" s="176"/>
      <c r="AC886" s="176"/>
      <c r="AD886" s="176"/>
      <c r="AE886" s="176"/>
      <c r="AF886" s="176"/>
      <c r="AG886" s="176"/>
      <c r="AH886" s="176"/>
      <c r="AI886" s="176"/>
      <c r="AJ886" s="176"/>
      <c r="AK886" s="176"/>
      <c r="AL886" s="176"/>
      <c r="AM886" s="176"/>
      <c r="AN886" s="176"/>
      <c r="AO886" s="176"/>
      <c r="AP886" s="176"/>
      <c r="AQ886" s="176"/>
      <c r="AR886" s="176"/>
      <c r="AS886" s="176"/>
      <c r="AT886" s="176"/>
      <c r="AU886" s="176"/>
      <c r="AV886" s="176"/>
      <c r="AW886" s="176"/>
      <c r="AX886" s="176"/>
      <c r="AY886" s="176"/>
      <c r="AZ886" s="176"/>
      <c r="BA886" s="176"/>
      <c r="BB886" s="176"/>
      <c r="BC886" s="176"/>
      <c r="BD886" s="176"/>
      <c r="BE886" s="176"/>
      <c r="BF886" s="176"/>
      <c r="BG886" s="176"/>
      <c r="BH886" s="176"/>
      <c r="BI886" s="176"/>
      <c r="BJ886" s="176"/>
      <c r="BK886" s="176"/>
      <c r="BL886" s="176"/>
      <c r="BM886" s="176"/>
      <c r="BN886" s="176"/>
      <c r="BO886" s="176"/>
      <c r="BP886" s="176"/>
      <c r="BQ886" s="176"/>
      <c r="BR886" s="176"/>
      <c r="BS886" s="176"/>
      <c r="BT886" s="176"/>
      <c r="BU886" s="176"/>
      <c r="BV886" s="176"/>
      <c r="BW886" s="176"/>
      <c r="BX886" s="176"/>
      <c r="BY886" s="191"/>
      <c r="BZ886" s="191"/>
      <c r="CA886" s="191"/>
      <c r="CC886" s="182"/>
    </row>
    <row r="887" spans="1:81" s="178" customFormat="1" ht="15.75" customHeight="1">
      <c r="A887" s="226"/>
      <c r="B887" s="227"/>
      <c r="C887" s="227"/>
      <c r="D887" s="227"/>
      <c r="E887" s="227"/>
      <c r="F887" s="227"/>
      <c r="G887" s="227"/>
      <c r="H887" s="227"/>
      <c r="I887" s="175" t="s">
        <v>354</v>
      </c>
      <c r="J887" s="175"/>
      <c r="K887" s="175"/>
      <c r="L887" s="175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  <c r="AA887" s="176"/>
      <c r="AB887" s="176"/>
      <c r="AC887" s="176"/>
      <c r="AD887" s="176"/>
      <c r="AE887" s="176"/>
      <c r="AF887" s="176"/>
      <c r="AG887" s="176"/>
      <c r="AH887" s="176"/>
      <c r="AI887" s="176"/>
      <c r="AJ887" s="176"/>
      <c r="AK887" s="176"/>
      <c r="AL887" s="176"/>
      <c r="AM887" s="176"/>
      <c r="AN887" s="176"/>
      <c r="AO887" s="176"/>
      <c r="AP887" s="176"/>
      <c r="AQ887" s="176"/>
      <c r="AR887" s="176"/>
      <c r="AS887" s="176"/>
      <c r="AT887" s="176"/>
      <c r="AU887" s="176"/>
      <c r="AV887" s="176"/>
      <c r="AW887" s="176"/>
      <c r="AX887" s="176"/>
      <c r="AY887" s="176"/>
      <c r="AZ887" s="176"/>
      <c r="BA887" s="176"/>
      <c r="BB887" s="176"/>
      <c r="BC887" s="176"/>
      <c r="BD887" s="176"/>
      <c r="BE887" s="176"/>
      <c r="BF887" s="176"/>
      <c r="BG887" s="176"/>
      <c r="BH887" s="176"/>
      <c r="BI887" s="176"/>
      <c r="BJ887" s="176"/>
      <c r="BK887" s="176"/>
      <c r="BL887" s="176"/>
      <c r="BM887" s="176"/>
      <c r="BN887" s="176"/>
      <c r="BO887" s="176">
        <f>117.83+128</f>
        <v>245.82999999999998</v>
      </c>
      <c r="BP887" s="176">
        <f>320+226</f>
        <v>546</v>
      </c>
      <c r="BQ887" s="176">
        <f>351+320</f>
        <v>671</v>
      </c>
      <c r="BR887" s="176">
        <f>253+320</f>
        <v>573</v>
      </c>
      <c r="BS887" s="176">
        <f>316.5+320</f>
        <v>636.5</v>
      </c>
      <c r="BT887" s="176">
        <v>636.5</v>
      </c>
      <c r="BU887" s="176">
        <f>364+320</f>
        <v>684</v>
      </c>
      <c r="BV887" s="176">
        <f>380.8+320</f>
        <v>700.8</v>
      </c>
      <c r="BW887" s="176">
        <f>408+320</f>
        <v>728</v>
      </c>
      <c r="BX887" s="176"/>
      <c r="BY887" s="191"/>
      <c r="BZ887" s="191"/>
      <c r="CA887" s="191"/>
      <c r="CC887" s="182"/>
    </row>
    <row r="888" spans="1:81" s="178" customFormat="1" ht="15.75" customHeight="1">
      <c r="A888" s="226"/>
      <c r="B888" s="227"/>
      <c r="C888" s="227"/>
      <c r="D888" s="227"/>
      <c r="E888" s="227"/>
      <c r="F888" s="227"/>
      <c r="G888" s="227"/>
      <c r="H888" s="227"/>
      <c r="I888" s="175" t="s">
        <v>355</v>
      </c>
      <c r="J888" s="175"/>
      <c r="K888" s="175"/>
      <c r="L888" s="175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  <c r="AA888" s="176"/>
      <c r="AB888" s="176"/>
      <c r="AC888" s="176"/>
      <c r="AD888" s="176"/>
      <c r="AE888" s="176"/>
      <c r="AF888" s="176"/>
      <c r="AG888" s="176"/>
      <c r="AH888" s="176"/>
      <c r="AI888" s="176"/>
      <c r="AJ888" s="176"/>
      <c r="AK888" s="176"/>
      <c r="AL888" s="176"/>
      <c r="AM888" s="176"/>
      <c r="AN888" s="176"/>
      <c r="AO888" s="176"/>
      <c r="AP888" s="176"/>
      <c r="AQ888" s="176"/>
      <c r="AR888" s="176"/>
      <c r="AS888" s="176"/>
      <c r="AT888" s="176"/>
      <c r="AU888" s="176"/>
      <c r="AV888" s="176"/>
      <c r="AW888" s="176"/>
      <c r="AX888" s="176"/>
      <c r="AY888" s="176"/>
      <c r="AZ888" s="176"/>
      <c r="BA888" s="176"/>
      <c r="BB888" s="176"/>
      <c r="BC888" s="176"/>
      <c r="BD888" s="176"/>
      <c r="BE888" s="176"/>
      <c r="BF888" s="176"/>
      <c r="BG888" s="176"/>
      <c r="BH888" s="176"/>
      <c r="BI888" s="176"/>
      <c r="BJ888" s="176"/>
      <c r="BK888" s="176"/>
      <c r="BL888" s="176"/>
      <c r="BM888" s="176"/>
      <c r="BN888" s="176"/>
      <c r="BO888" s="176"/>
      <c r="BP888" s="176"/>
      <c r="BQ888" s="176"/>
      <c r="BR888" s="176"/>
      <c r="BS888" s="176"/>
      <c r="BT888" s="176"/>
      <c r="BU888" s="176"/>
      <c r="BV888" s="176"/>
      <c r="BW888" s="176"/>
      <c r="BX888" s="176"/>
      <c r="BY888" s="191"/>
      <c r="BZ888" s="191"/>
      <c r="CA888" s="191"/>
      <c r="CC888" s="182"/>
    </row>
    <row r="889" spans="1:81" s="178" customFormat="1" ht="15.75" customHeight="1">
      <c r="A889" s="226"/>
      <c r="B889" s="227"/>
      <c r="C889" s="227"/>
      <c r="D889" s="227"/>
      <c r="E889" s="227"/>
      <c r="F889" s="227"/>
      <c r="G889" s="227"/>
      <c r="H889" s="227"/>
      <c r="I889" s="175" t="s">
        <v>357</v>
      </c>
      <c r="J889" s="175"/>
      <c r="K889" s="175"/>
      <c r="L889" s="175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  <c r="AA889" s="176"/>
      <c r="AB889" s="176"/>
      <c r="AC889" s="176"/>
      <c r="AD889" s="176"/>
      <c r="AE889" s="176"/>
      <c r="AF889" s="176"/>
      <c r="AG889" s="176"/>
      <c r="AH889" s="176"/>
      <c r="AI889" s="176"/>
      <c r="AJ889" s="176"/>
      <c r="AK889" s="176"/>
      <c r="AL889" s="176"/>
      <c r="AM889" s="176"/>
      <c r="AN889" s="176"/>
      <c r="AO889" s="176"/>
      <c r="AP889" s="176"/>
      <c r="AQ889" s="176"/>
      <c r="AR889" s="176"/>
      <c r="AS889" s="176"/>
      <c r="AT889" s="176"/>
      <c r="AU889" s="176"/>
      <c r="AV889" s="176"/>
      <c r="AW889" s="176"/>
      <c r="AX889" s="176"/>
      <c r="AY889" s="176"/>
      <c r="AZ889" s="176"/>
      <c r="BA889" s="176"/>
      <c r="BB889" s="176"/>
      <c r="BC889" s="176"/>
      <c r="BD889" s="176"/>
      <c r="BE889" s="176"/>
      <c r="BF889" s="176"/>
      <c r="BG889" s="176"/>
      <c r="BH889" s="176"/>
      <c r="BI889" s="176"/>
      <c r="BJ889" s="176"/>
      <c r="BK889" s="176"/>
      <c r="BL889" s="176"/>
      <c r="BM889" s="176"/>
      <c r="BN889" s="176"/>
      <c r="BO889" s="176"/>
      <c r="BP889" s="176"/>
      <c r="BQ889" s="176"/>
      <c r="BR889" s="176"/>
      <c r="BS889" s="176"/>
      <c r="BT889" s="176"/>
      <c r="BU889" s="176"/>
      <c r="BV889" s="176"/>
      <c r="BW889" s="176"/>
      <c r="BX889" s="176"/>
      <c r="BY889" s="191"/>
      <c r="BZ889" s="191"/>
      <c r="CA889" s="191"/>
      <c r="CC889" s="182"/>
    </row>
    <row r="890" spans="1:81" s="178" customFormat="1" ht="15.75" customHeight="1">
      <c r="A890" s="226"/>
      <c r="B890" s="227"/>
      <c r="C890" s="227"/>
      <c r="D890" s="227"/>
      <c r="E890" s="227"/>
      <c r="F890" s="227"/>
      <c r="G890" s="227"/>
      <c r="H890" s="227"/>
      <c r="I890" s="184" t="s">
        <v>362</v>
      </c>
      <c r="J890" s="175"/>
      <c r="K890" s="175"/>
      <c r="L890" s="175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  <c r="AA890" s="176"/>
      <c r="AB890" s="176"/>
      <c r="AC890" s="176"/>
      <c r="AD890" s="176"/>
      <c r="AE890" s="176"/>
      <c r="AF890" s="176"/>
      <c r="AG890" s="176"/>
      <c r="AH890" s="176"/>
      <c r="AI890" s="176"/>
      <c r="AJ890" s="176"/>
      <c r="AK890" s="176"/>
      <c r="AL890" s="176"/>
      <c r="AM890" s="176"/>
      <c r="AN890" s="176"/>
      <c r="AO890" s="176"/>
      <c r="AP890" s="176"/>
      <c r="AQ890" s="176"/>
      <c r="AR890" s="176"/>
      <c r="AS890" s="176"/>
      <c r="AT890" s="176"/>
      <c r="AU890" s="176"/>
      <c r="AV890" s="176"/>
      <c r="AW890" s="176"/>
      <c r="AX890" s="176"/>
      <c r="AY890" s="176"/>
      <c r="AZ890" s="176"/>
      <c r="BA890" s="176"/>
      <c r="BB890" s="176"/>
      <c r="BC890" s="176"/>
      <c r="BD890" s="176"/>
      <c r="BE890" s="176"/>
      <c r="BF890" s="176"/>
      <c r="BG890" s="176"/>
      <c r="BH890" s="176"/>
      <c r="BI890" s="176"/>
      <c r="BJ890" s="176"/>
      <c r="BK890" s="176"/>
      <c r="BL890" s="176"/>
      <c r="BM890" s="176"/>
      <c r="BN890" s="176"/>
      <c r="BO890" s="176"/>
      <c r="BP890" s="176"/>
      <c r="BQ890" s="176"/>
      <c r="BR890" s="176"/>
      <c r="BS890" s="176"/>
      <c r="BT890" s="176"/>
      <c r="BU890" s="176"/>
      <c r="BV890" s="176"/>
      <c r="BW890" s="176"/>
      <c r="BX890" s="176"/>
      <c r="BY890" s="191"/>
      <c r="BZ890" s="191"/>
      <c r="CA890" s="191"/>
      <c r="CC890" s="182"/>
    </row>
    <row r="891" spans="1:81" s="178" customFormat="1">
      <c r="A891" s="226"/>
      <c r="B891" s="227"/>
      <c r="C891" s="227"/>
      <c r="D891" s="227"/>
      <c r="E891" s="227"/>
      <c r="F891" s="227"/>
      <c r="G891" s="227"/>
      <c r="H891" s="227"/>
      <c r="I891" s="190" t="s">
        <v>363</v>
      </c>
      <c r="J891" s="190"/>
      <c r="K891" s="190"/>
      <c r="L891" s="190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  <c r="AA891" s="176"/>
      <c r="AB891" s="176"/>
      <c r="AC891" s="176"/>
      <c r="AD891" s="176"/>
      <c r="AE891" s="176"/>
      <c r="AF891" s="176"/>
      <c r="AG891" s="176"/>
      <c r="AH891" s="176"/>
      <c r="AI891" s="176"/>
      <c r="AJ891" s="176"/>
      <c r="AK891" s="176"/>
      <c r="AL891" s="176"/>
      <c r="AM891" s="176"/>
      <c r="AN891" s="176"/>
      <c r="AO891" s="176"/>
      <c r="AP891" s="176"/>
      <c r="AQ891" s="176"/>
      <c r="AR891" s="176"/>
      <c r="AS891" s="176"/>
      <c r="AT891" s="176"/>
      <c r="AU891" s="176"/>
      <c r="AV891" s="176"/>
      <c r="AW891" s="176"/>
      <c r="AX891" s="176"/>
      <c r="AY891" s="176"/>
      <c r="AZ891" s="176"/>
      <c r="BA891" s="176"/>
      <c r="BB891" s="176"/>
      <c r="BC891" s="176"/>
      <c r="BD891" s="176"/>
      <c r="BE891" s="176"/>
      <c r="BF891" s="176"/>
      <c r="BG891" s="176"/>
      <c r="BH891" s="176"/>
      <c r="BI891" s="176"/>
      <c r="BJ891" s="176"/>
      <c r="BK891" s="176"/>
      <c r="BL891" s="176"/>
      <c r="BM891" s="176"/>
      <c r="BN891" s="176"/>
      <c r="BO891" s="176"/>
      <c r="BP891" s="176"/>
      <c r="BQ891" s="176"/>
      <c r="BR891" s="176"/>
      <c r="BS891" s="176"/>
      <c r="BT891" s="176"/>
      <c r="BU891" s="176"/>
      <c r="BV891" s="176"/>
      <c r="BW891" s="176"/>
      <c r="BX891" s="176"/>
      <c r="BY891" s="191"/>
      <c r="BZ891" s="191"/>
    </row>
    <row r="892" spans="1:81" s="178" customFormat="1">
      <c r="A892" s="226"/>
      <c r="B892" s="227"/>
      <c r="C892" s="227"/>
      <c r="D892" s="227"/>
      <c r="E892" s="227"/>
      <c r="F892" s="227"/>
      <c r="G892" s="227"/>
      <c r="H892" s="227"/>
      <c r="I892" s="193" t="s">
        <v>373</v>
      </c>
      <c r="J892" s="193"/>
      <c r="K892" s="193"/>
      <c r="L892" s="193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  <c r="AA892" s="176"/>
      <c r="AB892" s="176"/>
      <c r="AC892" s="176"/>
      <c r="AD892" s="176"/>
      <c r="AE892" s="176"/>
      <c r="AF892" s="176"/>
      <c r="AG892" s="176"/>
      <c r="AH892" s="176"/>
      <c r="AI892" s="176"/>
      <c r="AJ892" s="176"/>
      <c r="AK892" s="176"/>
      <c r="AL892" s="176"/>
      <c r="AM892" s="176"/>
      <c r="AN892" s="176"/>
      <c r="AO892" s="176"/>
      <c r="AP892" s="176"/>
      <c r="AQ892" s="176"/>
      <c r="AR892" s="176"/>
      <c r="AS892" s="176"/>
      <c r="AT892" s="176"/>
      <c r="AU892" s="176"/>
      <c r="AV892" s="176"/>
      <c r="AW892" s="176"/>
      <c r="AX892" s="176"/>
      <c r="AY892" s="176"/>
      <c r="AZ892" s="176"/>
      <c r="BA892" s="176"/>
      <c r="BB892" s="176"/>
      <c r="BC892" s="176"/>
      <c r="BD892" s="176"/>
      <c r="BE892" s="176"/>
      <c r="BF892" s="176"/>
      <c r="BG892" s="176"/>
      <c r="BH892" s="176"/>
      <c r="BI892" s="176"/>
      <c r="BJ892" s="176"/>
      <c r="BK892" s="176"/>
      <c r="BL892" s="176"/>
      <c r="BM892" s="176"/>
      <c r="BN892" s="176"/>
      <c r="BO892" s="176">
        <v>83.24</v>
      </c>
      <c r="BP892" s="176">
        <v>143.71</v>
      </c>
      <c r="BQ892" s="176">
        <v>143.71</v>
      </c>
      <c r="BR892" s="176">
        <v>363.22</v>
      </c>
      <c r="BS892" s="176">
        <v>527.85</v>
      </c>
      <c r="BT892" s="176">
        <v>363.22</v>
      </c>
      <c r="BU892" s="176">
        <v>363.22</v>
      </c>
      <c r="BV892" s="176">
        <v>363.22</v>
      </c>
      <c r="BW892" s="176">
        <f>993.07-739.92</f>
        <v>253.15000000000009</v>
      </c>
      <c r="BX892" s="176"/>
      <c r="BY892" s="191"/>
      <c r="BZ892" s="191"/>
    </row>
    <row r="893" spans="1:81" s="178" customFormat="1">
      <c r="A893" s="226"/>
      <c r="B893" s="227"/>
      <c r="C893" s="227"/>
      <c r="D893" s="227"/>
      <c r="E893" s="227"/>
      <c r="F893" s="227"/>
      <c r="G893" s="227"/>
      <c r="H893" s="227"/>
      <c r="I893" s="190"/>
      <c r="J893" s="176">
        <f>SUM(J882:J891)-J892</f>
        <v>0</v>
      </c>
      <c r="K893" s="176">
        <f t="shared" ref="K893:Y893" si="448">SUM(K882:K891)-K892</f>
        <v>0</v>
      </c>
      <c r="L893" s="176">
        <f t="shared" si="448"/>
        <v>0</v>
      </c>
      <c r="M893" s="176">
        <f t="shared" si="448"/>
        <v>0</v>
      </c>
      <c r="N893" s="176">
        <f t="shared" si="448"/>
        <v>0</v>
      </c>
      <c r="O893" s="176">
        <f t="shared" si="448"/>
        <v>0</v>
      </c>
      <c r="P893" s="176">
        <f t="shared" si="448"/>
        <v>0</v>
      </c>
      <c r="Q893" s="176">
        <f t="shared" si="448"/>
        <v>0</v>
      </c>
      <c r="R893" s="176">
        <f t="shared" si="448"/>
        <v>0</v>
      </c>
      <c r="S893" s="176">
        <f t="shared" si="448"/>
        <v>0</v>
      </c>
      <c r="T893" s="176">
        <f t="shared" si="448"/>
        <v>0</v>
      </c>
      <c r="U893" s="176">
        <f t="shared" si="448"/>
        <v>0</v>
      </c>
      <c r="V893" s="176">
        <f t="shared" si="448"/>
        <v>0</v>
      </c>
      <c r="W893" s="176">
        <f t="shared" si="448"/>
        <v>0</v>
      </c>
      <c r="X893" s="176">
        <f t="shared" si="448"/>
        <v>0</v>
      </c>
      <c r="Y893" s="176">
        <f t="shared" si="448"/>
        <v>0</v>
      </c>
      <c r="Z893" s="176">
        <f>SUM(Z882:Z891)-Z892</f>
        <v>0</v>
      </c>
      <c r="AA893" s="176">
        <f t="shared" ref="AA893:AD893" si="449">SUM(AA882:AA891)-AA892</f>
        <v>0</v>
      </c>
      <c r="AB893" s="176">
        <f t="shared" si="449"/>
        <v>0</v>
      </c>
      <c r="AC893" s="176">
        <f t="shared" si="449"/>
        <v>0</v>
      </c>
      <c r="AD893" s="176">
        <f t="shared" si="449"/>
        <v>0</v>
      </c>
      <c r="AE893" s="176">
        <f>SUM(AE882:AE891)-AE892</f>
        <v>0</v>
      </c>
      <c r="AF893" s="176">
        <f>SUM(AF882:AF891)-AF892</f>
        <v>0</v>
      </c>
      <c r="AG893" s="176">
        <f t="shared" ref="AG893:AP893" si="450">SUM(AG882:AG891)-AG892</f>
        <v>0</v>
      </c>
      <c r="AH893" s="176">
        <f t="shared" si="450"/>
        <v>0</v>
      </c>
      <c r="AI893" s="176">
        <f t="shared" si="450"/>
        <v>0</v>
      </c>
      <c r="AJ893" s="176">
        <f t="shared" si="450"/>
        <v>0</v>
      </c>
      <c r="AK893" s="176">
        <f t="shared" si="450"/>
        <v>0</v>
      </c>
      <c r="AL893" s="176">
        <f t="shared" si="450"/>
        <v>0</v>
      </c>
      <c r="AM893" s="176">
        <f t="shared" si="450"/>
        <v>0</v>
      </c>
      <c r="AN893" s="176">
        <f t="shared" si="450"/>
        <v>0</v>
      </c>
      <c r="AO893" s="176">
        <f t="shared" si="450"/>
        <v>0</v>
      </c>
      <c r="AP893" s="176">
        <f t="shared" si="450"/>
        <v>0</v>
      </c>
      <c r="AQ893" s="176">
        <f t="shared" ref="AQ893:AU893" si="451">SUM(AQ882:AQ891)-AQ892</f>
        <v>0</v>
      </c>
      <c r="AR893" s="176">
        <f t="shared" si="451"/>
        <v>0</v>
      </c>
      <c r="AS893" s="176">
        <f t="shared" si="451"/>
        <v>0</v>
      </c>
      <c r="AT893" s="176">
        <f t="shared" si="451"/>
        <v>0</v>
      </c>
      <c r="AU893" s="176">
        <f t="shared" si="451"/>
        <v>0</v>
      </c>
      <c r="AV893" s="176">
        <f>SUM(AV882:AV891)-AV892</f>
        <v>0</v>
      </c>
      <c r="AW893" s="176">
        <f t="shared" ref="AW893:BA893" si="452">SUM(AW882:AW891)-AW892</f>
        <v>0</v>
      </c>
      <c r="AX893" s="176">
        <f t="shared" si="452"/>
        <v>0</v>
      </c>
      <c r="AY893" s="176">
        <f t="shared" si="452"/>
        <v>0</v>
      </c>
      <c r="AZ893" s="176">
        <f t="shared" si="452"/>
        <v>0</v>
      </c>
      <c r="BA893" s="176">
        <f t="shared" si="452"/>
        <v>0</v>
      </c>
      <c r="BB893" s="176"/>
      <c r="BC893" s="176"/>
      <c r="BD893" s="176"/>
      <c r="BE893" s="176"/>
      <c r="BF893" s="176"/>
      <c r="BG893" s="176"/>
      <c r="BH893" s="176"/>
      <c r="BI893" s="176"/>
      <c r="BJ893" s="176"/>
      <c r="BK893" s="176"/>
      <c r="BL893" s="176"/>
      <c r="BM893" s="176">
        <f t="shared" ref="BM893:BT893" si="453">BM883+BM889-BM892+BM887</f>
        <v>0</v>
      </c>
      <c r="BN893" s="176">
        <f t="shared" si="453"/>
        <v>0</v>
      </c>
      <c r="BO893" s="176">
        <f t="shared" si="453"/>
        <v>778.58999999999992</v>
      </c>
      <c r="BP893" s="176">
        <f t="shared" si="453"/>
        <v>2317.1</v>
      </c>
      <c r="BQ893" s="176">
        <f t="shared" si="453"/>
        <v>2442.1</v>
      </c>
      <c r="BR893" s="176">
        <f t="shared" si="453"/>
        <v>2124.59</v>
      </c>
      <c r="BS893" s="176">
        <f t="shared" si="453"/>
        <v>2240.12</v>
      </c>
      <c r="BT893" s="176">
        <f t="shared" si="453"/>
        <v>2188.09</v>
      </c>
      <c r="BU893" s="176">
        <f t="shared" ref="BU893:BV893" si="454">BU883+BU889-BU892+BU887</f>
        <v>2238.13</v>
      </c>
      <c r="BV893" s="176">
        <f t="shared" si="454"/>
        <v>2254.9299999999998</v>
      </c>
      <c r="BW893" s="176">
        <f>BW883+BW887-BW892</f>
        <v>2392.1999999999998</v>
      </c>
      <c r="BX893" s="176">
        <f>SUM(BD893:BW893)</f>
        <v>18975.850000000002</v>
      </c>
      <c r="BY893" s="191"/>
      <c r="BZ893" s="191"/>
    </row>
    <row r="894" spans="1:81" ht="15.6" customHeight="1">
      <c r="A894" s="148" t="s">
        <v>346</v>
      </c>
      <c r="B894" s="148" t="s">
        <v>347</v>
      </c>
      <c r="C894" s="145" t="s">
        <v>310</v>
      </c>
      <c r="D894" s="145" t="s">
        <v>311</v>
      </c>
      <c r="E894" s="148" t="s">
        <v>312</v>
      </c>
      <c r="F894" s="148" t="s">
        <v>348</v>
      </c>
      <c r="G894" s="145" t="s">
        <v>314</v>
      </c>
      <c r="H894" s="145" t="s">
        <v>315</v>
      </c>
      <c r="I894" s="145" t="s">
        <v>349</v>
      </c>
      <c r="J894" s="146">
        <v>44105</v>
      </c>
      <c r="K894" s="146">
        <v>44136</v>
      </c>
      <c r="L894" s="146">
        <v>44166</v>
      </c>
      <c r="M894" s="146">
        <v>44197</v>
      </c>
      <c r="N894" s="146">
        <v>44228</v>
      </c>
      <c r="O894" s="146">
        <v>44256</v>
      </c>
      <c r="P894" s="146">
        <v>44287</v>
      </c>
      <c r="Q894" s="146">
        <v>44317</v>
      </c>
      <c r="R894" s="146">
        <v>44348</v>
      </c>
      <c r="S894" s="146">
        <v>44378</v>
      </c>
      <c r="T894" s="146">
        <v>44409</v>
      </c>
      <c r="U894" s="146">
        <v>44440</v>
      </c>
      <c r="V894" s="146">
        <v>44470</v>
      </c>
      <c r="W894" s="146">
        <v>44501</v>
      </c>
      <c r="X894" s="146">
        <v>44531</v>
      </c>
      <c r="Y894" s="146">
        <v>44562</v>
      </c>
      <c r="Z894" s="146">
        <v>44593</v>
      </c>
      <c r="AA894" s="146">
        <v>44621</v>
      </c>
      <c r="AB894" s="146">
        <v>44652</v>
      </c>
      <c r="AC894" s="146">
        <v>44682</v>
      </c>
      <c r="AD894" s="146">
        <v>44713</v>
      </c>
      <c r="AE894" s="146">
        <v>44743</v>
      </c>
      <c r="AF894" s="146">
        <v>44774</v>
      </c>
      <c r="AG894" s="146">
        <v>44805</v>
      </c>
      <c r="AH894" s="146">
        <v>44835</v>
      </c>
      <c r="AI894" s="146">
        <v>44866</v>
      </c>
      <c r="AJ894" s="146">
        <v>44896</v>
      </c>
      <c r="AK894" s="146">
        <v>44927</v>
      </c>
      <c r="AL894" s="146">
        <v>44958</v>
      </c>
      <c r="AM894" s="146">
        <v>44986</v>
      </c>
      <c r="AN894" s="146">
        <v>45017</v>
      </c>
      <c r="AO894" s="146">
        <v>45047</v>
      </c>
      <c r="AP894" s="146">
        <v>45078</v>
      </c>
      <c r="AQ894" s="146">
        <v>45108</v>
      </c>
      <c r="AR894" s="146">
        <v>45139</v>
      </c>
      <c r="AS894" s="146">
        <v>45170</v>
      </c>
      <c r="AT894" s="146">
        <v>45200</v>
      </c>
      <c r="AU894" s="146">
        <v>45231</v>
      </c>
      <c r="AV894" s="146">
        <v>45261</v>
      </c>
      <c r="AW894" s="146">
        <v>45292</v>
      </c>
      <c r="AX894" s="146">
        <v>45323</v>
      </c>
      <c r="AY894" s="146">
        <v>45352</v>
      </c>
      <c r="AZ894" s="146">
        <v>45383</v>
      </c>
      <c r="BA894" s="146">
        <v>45413</v>
      </c>
      <c r="BB894" s="146">
        <v>45444</v>
      </c>
      <c r="BC894" s="146">
        <v>45474</v>
      </c>
      <c r="BD894" s="146">
        <v>45505</v>
      </c>
      <c r="BE894" s="146">
        <v>45536</v>
      </c>
      <c r="BF894" s="146">
        <v>45566</v>
      </c>
      <c r="BG894" s="146">
        <v>45597</v>
      </c>
      <c r="BH894" s="146">
        <v>45627</v>
      </c>
      <c r="BI894" s="146">
        <v>45658</v>
      </c>
      <c r="BJ894" s="146">
        <v>45689</v>
      </c>
      <c r="BK894" s="146">
        <v>45717</v>
      </c>
      <c r="BL894" s="146">
        <v>45748</v>
      </c>
      <c r="BM894" s="146">
        <v>45778</v>
      </c>
      <c r="BN894" s="146">
        <v>45809</v>
      </c>
      <c r="BO894" s="146">
        <v>45839</v>
      </c>
      <c r="BP894" s="146">
        <v>45870</v>
      </c>
      <c r="BQ894" s="146">
        <v>45901</v>
      </c>
      <c r="BR894" s="146">
        <v>45931</v>
      </c>
      <c r="BS894" s="146">
        <v>45962</v>
      </c>
      <c r="BT894" s="146"/>
      <c r="BU894" s="146"/>
      <c r="BV894" s="146"/>
      <c r="BW894" s="146"/>
      <c r="BX894" s="147" t="s">
        <v>13</v>
      </c>
      <c r="BY894" s="5"/>
      <c r="BZ894" s="5"/>
      <c r="CA894" s="5"/>
    </row>
    <row r="895" spans="1:81" ht="15.75" customHeight="1">
      <c r="A895" s="240">
        <v>67</v>
      </c>
      <c r="B895" s="241" t="s">
        <v>222</v>
      </c>
      <c r="C895" s="241" t="s">
        <v>23</v>
      </c>
      <c r="D895" s="241" t="s">
        <v>89</v>
      </c>
      <c r="E895" s="241" t="s">
        <v>150</v>
      </c>
      <c r="F895" s="241" t="s">
        <v>150</v>
      </c>
      <c r="G895" s="242">
        <v>45845</v>
      </c>
      <c r="H895" s="241"/>
      <c r="I895" s="21" t="s">
        <v>390</v>
      </c>
      <c r="J895" s="21"/>
      <c r="K895" s="21"/>
      <c r="L895" s="21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105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1"/>
      <c r="BZ895" s="1"/>
      <c r="CA895" s="1"/>
      <c r="CC895" s="6"/>
    </row>
    <row r="896" spans="1:81" ht="15.75" customHeight="1">
      <c r="A896" s="240"/>
      <c r="B896" s="241"/>
      <c r="C896" s="241"/>
      <c r="D896" s="241"/>
      <c r="E896" s="241"/>
      <c r="F896" s="241"/>
      <c r="G896" s="241"/>
      <c r="H896" s="241"/>
      <c r="I896" s="21" t="s">
        <v>351</v>
      </c>
      <c r="J896" s="21"/>
      <c r="K896" s="21"/>
      <c r="L896" s="21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105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105"/>
      <c r="BO896" s="105">
        <v>1479.85</v>
      </c>
      <c r="BP896" s="105">
        <v>1849.81</v>
      </c>
      <c r="BQ896" s="105">
        <v>1849.81</v>
      </c>
      <c r="BR896" s="105">
        <v>1849.81</v>
      </c>
      <c r="BS896" s="105">
        <v>2274.81</v>
      </c>
      <c r="BT896" s="105"/>
      <c r="BU896" s="105"/>
      <c r="BV896" s="105"/>
      <c r="BW896" s="105"/>
      <c r="BX896" s="3"/>
      <c r="BY896" s="1"/>
      <c r="BZ896" s="1"/>
      <c r="CA896" s="1"/>
      <c r="CC896" s="6"/>
    </row>
    <row r="897" spans="1:81" ht="15.75" customHeight="1">
      <c r="A897" s="240"/>
      <c r="B897" s="241"/>
      <c r="C897" s="241"/>
      <c r="D897" s="241"/>
      <c r="E897" s="241"/>
      <c r="F897" s="241"/>
      <c r="G897" s="241"/>
      <c r="H897" s="241"/>
      <c r="I897" s="21" t="s">
        <v>391</v>
      </c>
      <c r="J897" s="21"/>
      <c r="K897" s="21"/>
      <c r="L897" s="21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12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105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1"/>
      <c r="BZ897" s="1"/>
      <c r="CA897" s="1"/>
      <c r="CC897" s="6"/>
    </row>
    <row r="898" spans="1:81" ht="15.75" customHeight="1">
      <c r="A898" s="240"/>
      <c r="B898" s="241"/>
      <c r="C898" s="241"/>
      <c r="D898" s="241"/>
      <c r="E898" s="241"/>
      <c r="F898" s="241"/>
      <c r="G898" s="241"/>
      <c r="H898" s="241"/>
      <c r="I898" s="21" t="s">
        <v>351</v>
      </c>
      <c r="J898" s="21"/>
      <c r="K898" s="21"/>
      <c r="L898" s="21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12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105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1"/>
      <c r="BZ898" s="1"/>
      <c r="CA898" s="1"/>
      <c r="CC898" s="6"/>
    </row>
    <row r="899" spans="1:81" ht="15.75" customHeight="1">
      <c r="A899" s="240"/>
      <c r="B899" s="241"/>
      <c r="C899" s="241"/>
      <c r="D899" s="241"/>
      <c r="E899" s="241"/>
      <c r="F899" s="241"/>
      <c r="G899" s="241"/>
      <c r="H899" s="241"/>
      <c r="I899" s="21" t="s">
        <v>353</v>
      </c>
      <c r="J899" s="21"/>
      <c r="K899" s="21"/>
      <c r="L899" s="21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105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1"/>
      <c r="BZ899" s="1"/>
      <c r="CA899" s="1"/>
      <c r="CC899" s="6"/>
    </row>
    <row r="900" spans="1:81" ht="15.75" customHeight="1">
      <c r="A900" s="240"/>
      <c r="B900" s="241"/>
      <c r="C900" s="241"/>
      <c r="D900" s="241"/>
      <c r="E900" s="241"/>
      <c r="F900" s="241"/>
      <c r="G900" s="241"/>
      <c r="H900" s="241"/>
      <c r="I900" s="21" t="s">
        <v>354</v>
      </c>
      <c r="J900" s="21"/>
      <c r="K900" s="21"/>
      <c r="L900" s="21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105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>
        <v>739</v>
      </c>
      <c r="BP900" s="3">
        <v>792.5</v>
      </c>
      <c r="BQ900" s="3">
        <v>824</v>
      </c>
      <c r="BR900" s="3">
        <v>834.5</v>
      </c>
      <c r="BS900" s="3">
        <f>441+320</f>
        <v>761</v>
      </c>
      <c r="BT900" s="3"/>
      <c r="BU900" s="3"/>
      <c r="BV900" s="3"/>
      <c r="BW900" s="3"/>
      <c r="BX900" s="3"/>
      <c r="BY900" s="1"/>
      <c r="BZ900" s="1"/>
      <c r="CA900" s="1"/>
      <c r="CC900" s="6"/>
    </row>
    <row r="901" spans="1:81" ht="15.75" customHeight="1">
      <c r="A901" s="240"/>
      <c r="B901" s="241"/>
      <c r="C901" s="241"/>
      <c r="D901" s="241"/>
      <c r="E901" s="241"/>
      <c r="F901" s="241"/>
      <c r="G901" s="241"/>
      <c r="H901" s="241"/>
      <c r="I901" s="21" t="s">
        <v>355</v>
      </c>
      <c r="J901" s="21"/>
      <c r="K901" s="21"/>
      <c r="L901" s="21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105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1"/>
      <c r="BZ901" s="1"/>
      <c r="CA901" s="1"/>
      <c r="CC901" s="6"/>
    </row>
    <row r="902" spans="1:81" ht="15.75" customHeight="1">
      <c r="A902" s="240"/>
      <c r="B902" s="241"/>
      <c r="C902" s="241"/>
      <c r="D902" s="241"/>
      <c r="E902" s="241"/>
      <c r="F902" s="241"/>
      <c r="G902" s="241"/>
      <c r="H902" s="241"/>
      <c r="I902" s="21" t="s">
        <v>357</v>
      </c>
      <c r="J902" s="21"/>
      <c r="K902" s="21"/>
      <c r="L902" s="21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105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1"/>
      <c r="BZ902" s="1"/>
      <c r="CA902" s="1"/>
      <c r="CC902" s="6"/>
    </row>
    <row r="903" spans="1:81" ht="15.75" customHeight="1">
      <c r="A903" s="240"/>
      <c r="B903" s="241"/>
      <c r="C903" s="241"/>
      <c r="D903" s="241"/>
      <c r="E903" s="241"/>
      <c r="F903" s="241"/>
      <c r="G903" s="241"/>
      <c r="H903" s="241"/>
      <c r="I903" s="23" t="s">
        <v>362</v>
      </c>
      <c r="J903" s="21"/>
      <c r="K903" s="21"/>
      <c r="L903" s="21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105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1"/>
      <c r="BZ903" s="1"/>
      <c r="CA903" s="1"/>
      <c r="CC903" s="6"/>
    </row>
    <row r="904" spans="1:81">
      <c r="A904" s="240"/>
      <c r="B904" s="241"/>
      <c r="C904" s="241"/>
      <c r="D904" s="241"/>
      <c r="E904" s="241"/>
      <c r="F904" s="241"/>
      <c r="G904" s="241"/>
      <c r="H904" s="241"/>
      <c r="I904" s="22" t="s">
        <v>363</v>
      </c>
      <c r="J904" s="22"/>
      <c r="K904" s="22"/>
      <c r="L904" s="22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105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1"/>
      <c r="BZ904" s="1"/>
    </row>
    <row r="905" spans="1:81">
      <c r="A905" s="240"/>
      <c r="B905" s="241"/>
      <c r="C905" s="241"/>
      <c r="D905" s="241"/>
      <c r="E905" s="241"/>
      <c r="F905" s="241"/>
      <c r="G905" s="241"/>
      <c r="H905" s="241"/>
      <c r="I905" s="44" t="s">
        <v>373</v>
      </c>
      <c r="J905" s="44"/>
      <c r="K905" s="44"/>
      <c r="L905" s="44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105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>
        <v>199.77</v>
      </c>
      <c r="BP905" s="3">
        <v>254.7</v>
      </c>
      <c r="BQ905" s="3">
        <v>254.7</v>
      </c>
      <c r="BR905" s="3">
        <v>415.63</v>
      </c>
      <c r="BS905" s="3">
        <v>1839.42</v>
      </c>
      <c r="BT905" s="3"/>
      <c r="BU905" s="3"/>
      <c r="BV905" s="3"/>
      <c r="BW905" s="3"/>
      <c r="BX905" s="3"/>
      <c r="BY905" s="1"/>
      <c r="BZ905" s="1"/>
    </row>
    <row r="906" spans="1:81">
      <c r="A906" s="240"/>
      <c r="B906" s="241"/>
      <c r="C906" s="241"/>
      <c r="D906" s="241"/>
      <c r="E906" s="241"/>
      <c r="F906" s="241"/>
      <c r="G906" s="241"/>
      <c r="H906" s="241"/>
      <c r="I906" s="22"/>
      <c r="J906" s="3">
        <f>SUM(J895:J904)-J905</f>
        <v>0</v>
      </c>
      <c r="K906" s="3">
        <f t="shared" ref="K906:Y906" si="455">SUM(K895:K904)-K905</f>
        <v>0</v>
      </c>
      <c r="L906" s="3">
        <f t="shared" si="455"/>
        <v>0</v>
      </c>
      <c r="M906" s="3">
        <f t="shared" si="455"/>
        <v>0</v>
      </c>
      <c r="N906" s="3">
        <f t="shared" si="455"/>
        <v>0</v>
      </c>
      <c r="O906" s="3">
        <f t="shared" si="455"/>
        <v>0</v>
      </c>
      <c r="P906" s="3">
        <f t="shared" si="455"/>
        <v>0</v>
      </c>
      <c r="Q906" s="3">
        <f t="shared" si="455"/>
        <v>0</v>
      </c>
      <c r="R906" s="3">
        <f t="shared" si="455"/>
        <v>0</v>
      </c>
      <c r="S906" s="3">
        <f t="shared" si="455"/>
        <v>0</v>
      </c>
      <c r="T906" s="3">
        <f t="shared" si="455"/>
        <v>0</v>
      </c>
      <c r="U906" s="3">
        <f t="shared" si="455"/>
        <v>0</v>
      </c>
      <c r="V906" s="3">
        <f t="shared" si="455"/>
        <v>0</v>
      </c>
      <c r="W906" s="3">
        <f t="shared" si="455"/>
        <v>0</v>
      </c>
      <c r="X906" s="3">
        <f t="shared" si="455"/>
        <v>0</v>
      </c>
      <c r="Y906" s="3">
        <f t="shared" si="455"/>
        <v>0</v>
      </c>
      <c r="Z906" s="3">
        <f>SUM(Z895:Z904)-Z905</f>
        <v>0</v>
      </c>
      <c r="AA906" s="3">
        <f t="shared" ref="AA906:AD906" si="456">SUM(AA895:AA904)-AA905</f>
        <v>0</v>
      </c>
      <c r="AB906" s="3">
        <f t="shared" si="456"/>
        <v>0</v>
      </c>
      <c r="AC906" s="3">
        <f t="shared" si="456"/>
        <v>0</v>
      </c>
      <c r="AD906" s="3">
        <f t="shared" si="456"/>
        <v>0</v>
      </c>
      <c r="AE906" s="3">
        <f>SUM(AE895:AE904)-AE905</f>
        <v>0</v>
      </c>
      <c r="AF906" s="3">
        <f>SUM(AF895:AF904)-AF905</f>
        <v>0</v>
      </c>
      <c r="AG906" s="3">
        <f t="shared" ref="AG906:AP906" si="457">SUM(AG895:AG904)-AG905</f>
        <v>0</v>
      </c>
      <c r="AH906" s="3">
        <f t="shared" si="457"/>
        <v>0</v>
      </c>
      <c r="AI906" s="3">
        <f t="shared" si="457"/>
        <v>0</v>
      </c>
      <c r="AJ906" s="3">
        <f t="shared" si="457"/>
        <v>0</v>
      </c>
      <c r="AK906" s="3">
        <f t="shared" si="457"/>
        <v>0</v>
      </c>
      <c r="AL906" s="3">
        <f t="shared" si="457"/>
        <v>0</v>
      </c>
      <c r="AM906" s="3">
        <f t="shared" si="457"/>
        <v>0</v>
      </c>
      <c r="AN906" s="3">
        <f t="shared" si="457"/>
        <v>0</v>
      </c>
      <c r="AO906" s="3">
        <f t="shared" si="457"/>
        <v>0</v>
      </c>
      <c r="AP906" s="3">
        <f t="shared" si="457"/>
        <v>0</v>
      </c>
      <c r="AQ906" s="3">
        <f t="shared" ref="AQ906:AU906" si="458">SUM(AQ895:AQ904)-AQ905</f>
        <v>0</v>
      </c>
      <c r="AR906" s="3">
        <f t="shared" si="458"/>
        <v>0</v>
      </c>
      <c r="AS906" s="3">
        <f t="shared" si="458"/>
        <v>0</v>
      </c>
      <c r="AT906" s="3">
        <f t="shared" si="458"/>
        <v>0</v>
      </c>
      <c r="AU906" s="3">
        <f t="shared" si="458"/>
        <v>0</v>
      </c>
      <c r="AV906" s="3">
        <f>SUM(AV895:AV904)-AV905</f>
        <v>0</v>
      </c>
      <c r="AW906" s="3">
        <f t="shared" ref="AW906:BA906" si="459">SUM(AW895:AW904)-AW905</f>
        <v>0</v>
      </c>
      <c r="AX906" s="3">
        <f t="shared" si="459"/>
        <v>0</v>
      </c>
      <c r="AY906" s="3">
        <f t="shared" si="459"/>
        <v>0</v>
      </c>
      <c r="AZ906" s="3">
        <f t="shared" si="459"/>
        <v>0</v>
      </c>
      <c r="BA906" s="3">
        <f t="shared" si="459"/>
        <v>0</v>
      </c>
      <c r="BB906" s="105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>
        <f t="shared" ref="BM906:BR906" si="460">BM896+BM902-BM905+BM900</f>
        <v>0</v>
      </c>
      <c r="BN906" s="3">
        <f t="shared" si="460"/>
        <v>0</v>
      </c>
      <c r="BO906" s="3">
        <f t="shared" si="460"/>
        <v>2019.08</v>
      </c>
      <c r="BP906" s="3">
        <f>BP896+BP902-BP905+BP900</f>
        <v>2387.6099999999997</v>
      </c>
      <c r="BQ906" s="3">
        <f>BQ896+BQ902-BQ905+BQ900</f>
        <v>2419.1099999999997</v>
      </c>
      <c r="BR906" s="3">
        <f t="shared" si="460"/>
        <v>2268.6799999999998</v>
      </c>
      <c r="BS906" s="3">
        <f>BS896+BS902-BS905+BS900</f>
        <v>1196.3899999999999</v>
      </c>
      <c r="BT906" s="3"/>
      <c r="BU906" s="3"/>
      <c r="BV906" s="3"/>
      <c r="BW906" s="3"/>
      <c r="BX906" s="105">
        <f>SUM(BD906:BS906)</f>
        <v>10290.869999999999</v>
      </c>
      <c r="BY906" s="1"/>
      <c r="BZ906" s="1"/>
    </row>
    <row r="907" spans="1:81" ht="15.6" customHeight="1">
      <c r="A907" s="148" t="s">
        <v>346</v>
      </c>
      <c r="B907" s="148" t="s">
        <v>347</v>
      </c>
      <c r="C907" s="145" t="s">
        <v>310</v>
      </c>
      <c r="D907" s="145" t="s">
        <v>311</v>
      </c>
      <c r="E907" s="148" t="s">
        <v>312</v>
      </c>
      <c r="F907" s="148" t="s">
        <v>348</v>
      </c>
      <c r="G907" s="145" t="s">
        <v>314</v>
      </c>
      <c r="H907" s="145" t="s">
        <v>315</v>
      </c>
      <c r="I907" s="145" t="s">
        <v>349</v>
      </c>
      <c r="J907" s="146">
        <v>44105</v>
      </c>
      <c r="K907" s="146">
        <v>44136</v>
      </c>
      <c r="L907" s="146">
        <v>44166</v>
      </c>
      <c r="M907" s="146">
        <v>44197</v>
      </c>
      <c r="N907" s="146">
        <v>44228</v>
      </c>
      <c r="O907" s="146">
        <v>44256</v>
      </c>
      <c r="P907" s="146">
        <v>44287</v>
      </c>
      <c r="Q907" s="146">
        <v>44317</v>
      </c>
      <c r="R907" s="146">
        <v>44348</v>
      </c>
      <c r="S907" s="146">
        <v>44378</v>
      </c>
      <c r="T907" s="146">
        <v>44409</v>
      </c>
      <c r="U907" s="146">
        <v>44440</v>
      </c>
      <c r="V907" s="146">
        <v>44470</v>
      </c>
      <c r="W907" s="146">
        <v>44501</v>
      </c>
      <c r="X907" s="146">
        <v>44531</v>
      </c>
      <c r="Y907" s="146">
        <v>44562</v>
      </c>
      <c r="Z907" s="146">
        <v>44593</v>
      </c>
      <c r="AA907" s="146">
        <v>44621</v>
      </c>
      <c r="AB907" s="146">
        <v>44652</v>
      </c>
      <c r="AC907" s="146">
        <v>44682</v>
      </c>
      <c r="AD907" s="146">
        <v>44713</v>
      </c>
      <c r="AE907" s="146">
        <v>44743</v>
      </c>
      <c r="AF907" s="146">
        <v>44774</v>
      </c>
      <c r="AG907" s="146">
        <v>44805</v>
      </c>
      <c r="AH907" s="146">
        <v>44835</v>
      </c>
      <c r="AI907" s="146">
        <v>44866</v>
      </c>
      <c r="AJ907" s="146">
        <v>44896</v>
      </c>
      <c r="AK907" s="146">
        <v>44927</v>
      </c>
      <c r="AL907" s="146">
        <v>44958</v>
      </c>
      <c r="AM907" s="146">
        <v>44986</v>
      </c>
      <c r="AN907" s="146">
        <v>45017</v>
      </c>
      <c r="AO907" s="146">
        <v>45047</v>
      </c>
      <c r="AP907" s="146">
        <v>45078</v>
      </c>
      <c r="AQ907" s="146">
        <v>45108</v>
      </c>
      <c r="AR907" s="146">
        <v>45139</v>
      </c>
      <c r="AS907" s="146">
        <v>45170</v>
      </c>
      <c r="AT907" s="146">
        <v>45200</v>
      </c>
      <c r="AU907" s="146">
        <v>45231</v>
      </c>
      <c r="AV907" s="146">
        <v>45261</v>
      </c>
      <c r="AW907" s="146">
        <v>45292</v>
      </c>
      <c r="AX907" s="146">
        <v>45323</v>
      </c>
      <c r="AY907" s="146">
        <v>45352</v>
      </c>
      <c r="AZ907" s="146">
        <v>45383</v>
      </c>
      <c r="BA907" s="146">
        <v>45413</v>
      </c>
      <c r="BB907" s="146">
        <v>45444</v>
      </c>
      <c r="BC907" s="146">
        <v>45474</v>
      </c>
      <c r="BD907" s="146">
        <v>45505</v>
      </c>
      <c r="BE907" s="146">
        <v>45536</v>
      </c>
      <c r="BF907" s="146">
        <v>45566</v>
      </c>
      <c r="BG907" s="146">
        <v>45597</v>
      </c>
      <c r="BH907" s="146">
        <v>45627</v>
      </c>
      <c r="BI907" s="146">
        <v>45658</v>
      </c>
      <c r="BJ907" s="146">
        <v>45689</v>
      </c>
      <c r="BK907" s="146">
        <v>45717</v>
      </c>
      <c r="BL907" s="146">
        <v>45748</v>
      </c>
      <c r="BM907" s="146">
        <v>45778</v>
      </c>
      <c r="BN907" s="146">
        <v>45809</v>
      </c>
      <c r="BO907" s="146">
        <v>45839</v>
      </c>
      <c r="BP907" s="146">
        <v>45870</v>
      </c>
      <c r="BQ907" s="146">
        <v>45901</v>
      </c>
      <c r="BR907" s="146">
        <v>45931</v>
      </c>
      <c r="BS907" s="146">
        <v>45962</v>
      </c>
      <c r="BT907" s="146">
        <v>45992</v>
      </c>
      <c r="BU907" s="146">
        <v>46023</v>
      </c>
      <c r="BV907" s="146">
        <v>46054</v>
      </c>
      <c r="BW907" s="146">
        <v>46082</v>
      </c>
      <c r="BX907" s="147" t="s">
        <v>13</v>
      </c>
      <c r="BY907" s="5"/>
      <c r="BZ907" s="5"/>
      <c r="CA907" s="5"/>
    </row>
    <row r="908" spans="1:81" s="178" customFormat="1" ht="15.75" customHeight="1">
      <c r="A908" s="226">
        <v>68</v>
      </c>
      <c r="B908" s="227" t="s">
        <v>261</v>
      </c>
      <c r="C908" s="227" t="s">
        <v>23</v>
      </c>
      <c r="D908" s="227" t="s">
        <v>89</v>
      </c>
      <c r="E908" s="227" t="s">
        <v>150</v>
      </c>
      <c r="F908" s="227" t="s">
        <v>150</v>
      </c>
      <c r="G908" s="233">
        <v>45924</v>
      </c>
      <c r="H908" s="227"/>
      <c r="I908" s="175" t="s">
        <v>390</v>
      </c>
      <c r="J908" s="175"/>
      <c r="K908" s="175"/>
      <c r="L908" s="175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  <c r="AA908" s="176"/>
      <c r="AB908" s="176"/>
      <c r="AC908" s="176"/>
      <c r="AD908" s="176"/>
      <c r="AE908" s="176"/>
      <c r="AF908" s="176"/>
      <c r="AG908" s="176"/>
      <c r="AH908" s="176"/>
      <c r="AI908" s="176"/>
      <c r="AJ908" s="176"/>
      <c r="AK908" s="176"/>
      <c r="AL908" s="176"/>
      <c r="AM908" s="176"/>
      <c r="AN908" s="176"/>
      <c r="AO908" s="176"/>
      <c r="AP908" s="176"/>
      <c r="AQ908" s="176"/>
      <c r="AR908" s="176"/>
      <c r="AS908" s="176"/>
      <c r="AT908" s="176"/>
      <c r="AU908" s="176"/>
      <c r="AV908" s="176"/>
      <c r="AW908" s="176"/>
      <c r="AX908" s="176"/>
      <c r="AY908" s="176"/>
      <c r="AZ908" s="176"/>
      <c r="BA908" s="176"/>
      <c r="BB908" s="176"/>
      <c r="BC908" s="176"/>
      <c r="BD908" s="176"/>
      <c r="BE908" s="176"/>
      <c r="BF908" s="176"/>
      <c r="BG908" s="176"/>
      <c r="BH908" s="176"/>
      <c r="BI908" s="176"/>
      <c r="BJ908" s="176"/>
      <c r="BK908" s="176"/>
      <c r="BL908" s="176"/>
      <c r="BM908" s="176"/>
      <c r="BN908" s="176"/>
      <c r="BO908" s="176"/>
      <c r="BP908" s="176"/>
      <c r="BQ908" s="176"/>
      <c r="BR908" s="176"/>
      <c r="BS908" s="176"/>
      <c r="BT908" s="176"/>
      <c r="BU908" s="176"/>
      <c r="BV908" s="176"/>
      <c r="BW908" s="176"/>
      <c r="BX908" s="176"/>
      <c r="BY908" s="191"/>
      <c r="BZ908" s="191"/>
      <c r="CA908" s="191"/>
      <c r="CC908" s="182"/>
    </row>
    <row r="909" spans="1:81" s="178" customFormat="1" ht="15.75" customHeight="1">
      <c r="A909" s="226"/>
      <c r="B909" s="227"/>
      <c r="C909" s="227"/>
      <c r="D909" s="227"/>
      <c r="E909" s="227"/>
      <c r="F909" s="227"/>
      <c r="G909" s="227"/>
      <c r="H909" s="227"/>
      <c r="I909" s="175" t="s">
        <v>351</v>
      </c>
      <c r="J909" s="175"/>
      <c r="K909" s="175"/>
      <c r="L909" s="175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  <c r="AA909" s="176"/>
      <c r="AB909" s="176"/>
      <c r="AC909" s="176"/>
      <c r="AD909" s="176"/>
      <c r="AE909" s="176"/>
      <c r="AF909" s="176"/>
      <c r="AG909" s="176"/>
      <c r="AH909" s="176"/>
      <c r="AI909" s="176"/>
      <c r="AJ909" s="176"/>
      <c r="AK909" s="176"/>
      <c r="AL909" s="176"/>
      <c r="AM909" s="176"/>
      <c r="AN909" s="176"/>
      <c r="AO909" s="176"/>
      <c r="AP909" s="176"/>
      <c r="AQ909" s="176"/>
      <c r="AR909" s="176"/>
      <c r="AS909" s="176"/>
      <c r="AT909" s="176"/>
      <c r="AU909" s="176"/>
      <c r="AV909" s="176"/>
      <c r="AW909" s="176"/>
      <c r="AX909" s="176"/>
      <c r="AY909" s="176"/>
      <c r="AZ909" s="176"/>
      <c r="BA909" s="176"/>
      <c r="BB909" s="176"/>
      <c r="BC909" s="176"/>
      <c r="BD909" s="176"/>
      <c r="BE909" s="176"/>
      <c r="BF909" s="176"/>
      <c r="BG909" s="176"/>
      <c r="BH909" s="176"/>
      <c r="BI909" s="176"/>
      <c r="BJ909" s="176"/>
      <c r="BK909" s="176"/>
      <c r="BL909" s="176"/>
      <c r="BM909" s="176"/>
      <c r="BN909" s="176"/>
      <c r="BO909" s="176"/>
      <c r="BP909" s="176"/>
      <c r="BQ909" s="176">
        <v>431.62</v>
      </c>
      <c r="BR909" s="176">
        <v>1849.81</v>
      </c>
      <c r="BS909" s="176">
        <v>1849.81</v>
      </c>
      <c r="BT909" s="176">
        <v>1849.81</v>
      </c>
      <c r="BU909" s="176">
        <v>1849.81</v>
      </c>
      <c r="BV909" s="176">
        <v>1849.81</v>
      </c>
      <c r="BW909" s="176">
        <v>1849.81</v>
      </c>
      <c r="BX909" s="176"/>
      <c r="BY909" s="191"/>
      <c r="BZ909" s="191"/>
      <c r="CA909" s="191"/>
      <c r="CC909" s="182"/>
    </row>
    <row r="910" spans="1:81" s="178" customFormat="1" ht="15.75" customHeight="1">
      <c r="A910" s="226"/>
      <c r="B910" s="227"/>
      <c r="C910" s="227"/>
      <c r="D910" s="227"/>
      <c r="E910" s="227"/>
      <c r="F910" s="227"/>
      <c r="G910" s="227"/>
      <c r="H910" s="227"/>
      <c r="I910" s="175" t="s">
        <v>391</v>
      </c>
      <c r="J910" s="175"/>
      <c r="K910" s="175"/>
      <c r="L910" s="175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7"/>
      <c r="Z910" s="176"/>
      <c r="AA910" s="176"/>
      <c r="AB910" s="176"/>
      <c r="AC910" s="176"/>
      <c r="AD910" s="176"/>
      <c r="AE910" s="176"/>
      <c r="AF910" s="176"/>
      <c r="AG910" s="176"/>
      <c r="AH910" s="176"/>
      <c r="AI910" s="176"/>
      <c r="AJ910" s="176"/>
      <c r="AK910" s="176"/>
      <c r="AL910" s="176"/>
      <c r="AM910" s="176"/>
      <c r="AN910" s="176"/>
      <c r="AO910" s="176"/>
      <c r="AP910" s="176"/>
      <c r="AQ910" s="176"/>
      <c r="AR910" s="176"/>
      <c r="AS910" s="176"/>
      <c r="AT910" s="176"/>
      <c r="AU910" s="176"/>
      <c r="AV910" s="176"/>
      <c r="AW910" s="176"/>
      <c r="AX910" s="176"/>
      <c r="AY910" s="176"/>
      <c r="AZ910" s="176"/>
      <c r="BA910" s="176"/>
      <c r="BB910" s="176"/>
      <c r="BC910" s="176"/>
      <c r="BD910" s="176"/>
      <c r="BE910" s="176"/>
      <c r="BF910" s="176"/>
      <c r="BG910" s="176"/>
      <c r="BH910" s="176"/>
      <c r="BI910" s="176"/>
      <c r="BJ910" s="176"/>
      <c r="BK910" s="176"/>
      <c r="BL910" s="176"/>
      <c r="BM910" s="176"/>
      <c r="BN910" s="176"/>
      <c r="BO910" s="176"/>
      <c r="BP910" s="176"/>
      <c r="BQ910" s="176"/>
      <c r="BR910" s="176"/>
      <c r="BS910" s="176"/>
      <c r="BT910" s="176"/>
      <c r="BU910" s="176"/>
      <c r="BV910" s="176"/>
      <c r="BW910" s="176"/>
      <c r="BX910" s="176"/>
      <c r="BY910" s="191"/>
      <c r="BZ910" s="191"/>
      <c r="CA910" s="191"/>
      <c r="CC910" s="182"/>
    </row>
    <row r="911" spans="1:81" s="178" customFormat="1" ht="15.75" customHeight="1">
      <c r="A911" s="226"/>
      <c r="B911" s="227"/>
      <c r="C911" s="227"/>
      <c r="D911" s="227"/>
      <c r="E911" s="227"/>
      <c r="F911" s="227"/>
      <c r="G911" s="227"/>
      <c r="H911" s="227"/>
      <c r="I911" s="175" t="s">
        <v>351</v>
      </c>
      <c r="J911" s="175"/>
      <c r="K911" s="175"/>
      <c r="L911" s="175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7"/>
      <c r="Z911" s="176"/>
      <c r="AA911" s="176"/>
      <c r="AB911" s="176"/>
      <c r="AC911" s="176"/>
      <c r="AD911" s="176"/>
      <c r="AE911" s="176"/>
      <c r="AF911" s="176"/>
      <c r="AG911" s="176"/>
      <c r="AH911" s="176"/>
      <c r="AI911" s="176"/>
      <c r="AJ911" s="176"/>
      <c r="AK911" s="176"/>
      <c r="AL911" s="176"/>
      <c r="AM911" s="176"/>
      <c r="AN911" s="176"/>
      <c r="AO911" s="176"/>
      <c r="AP911" s="176"/>
      <c r="AQ911" s="176"/>
      <c r="AR911" s="176"/>
      <c r="AS911" s="176"/>
      <c r="AT911" s="176"/>
      <c r="AU911" s="176"/>
      <c r="AV911" s="176"/>
      <c r="AW911" s="176"/>
      <c r="AX911" s="176"/>
      <c r="AY911" s="176"/>
      <c r="AZ911" s="176"/>
      <c r="BA911" s="176"/>
      <c r="BB911" s="176"/>
      <c r="BC911" s="176"/>
      <c r="BD911" s="176"/>
      <c r="BE911" s="176"/>
      <c r="BF911" s="176"/>
      <c r="BG911" s="176"/>
      <c r="BH911" s="176"/>
      <c r="BI911" s="176"/>
      <c r="BJ911" s="176"/>
      <c r="BK911" s="176"/>
      <c r="BL911" s="176"/>
      <c r="BM911" s="176"/>
      <c r="BN911" s="176"/>
      <c r="BO911" s="176"/>
      <c r="BP911" s="176"/>
      <c r="BQ911" s="176"/>
      <c r="BR911" s="176"/>
      <c r="BS911" s="176"/>
      <c r="BT911" s="176"/>
      <c r="BU911" s="176"/>
      <c r="BV911" s="176"/>
      <c r="BW911" s="176"/>
      <c r="BX911" s="176"/>
      <c r="BY911" s="191"/>
      <c r="BZ911" s="191"/>
      <c r="CA911" s="191"/>
      <c r="CC911" s="182"/>
    </row>
    <row r="912" spans="1:81" s="178" customFormat="1" ht="15.75" customHeight="1">
      <c r="A912" s="226"/>
      <c r="B912" s="227"/>
      <c r="C912" s="227"/>
      <c r="D912" s="227"/>
      <c r="E912" s="227"/>
      <c r="F912" s="227"/>
      <c r="G912" s="227"/>
      <c r="H912" s="227"/>
      <c r="I912" s="175" t="s">
        <v>353</v>
      </c>
      <c r="J912" s="175"/>
      <c r="K912" s="175"/>
      <c r="L912" s="175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  <c r="AA912" s="176"/>
      <c r="AB912" s="176"/>
      <c r="AC912" s="176"/>
      <c r="AD912" s="176"/>
      <c r="AE912" s="176"/>
      <c r="AF912" s="176"/>
      <c r="AG912" s="176"/>
      <c r="AH912" s="176"/>
      <c r="AI912" s="176"/>
      <c r="AJ912" s="176"/>
      <c r="AK912" s="176"/>
      <c r="AL912" s="176"/>
      <c r="AM912" s="176"/>
      <c r="AN912" s="176"/>
      <c r="AO912" s="176"/>
      <c r="AP912" s="176"/>
      <c r="AQ912" s="176"/>
      <c r="AR912" s="176"/>
      <c r="AS912" s="176"/>
      <c r="AT912" s="176"/>
      <c r="AU912" s="176"/>
      <c r="AV912" s="176"/>
      <c r="AW912" s="176"/>
      <c r="AX912" s="176"/>
      <c r="AY912" s="176"/>
      <c r="AZ912" s="176"/>
      <c r="BA912" s="176"/>
      <c r="BB912" s="176"/>
      <c r="BC912" s="176"/>
      <c r="BD912" s="176"/>
      <c r="BE912" s="176"/>
      <c r="BF912" s="176"/>
      <c r="BG912" s="176"/>
      <c r="BH912" s="176"/>
      <c r="BI912" s="176"/>
      <c r="BJ912" s="176"/>
      <c r="BK912" s="176"/>
      <c r="BL912" s="176"/>
      <c r="BM912" s="176"/>
      <c r="BN912" s="176"/>
      <c r="BO912" s="176"/>
      <c r="BP912" s="176"/>
      <c r="BQ912" s="176"/>
      <c r="BR912" s="176"/>
      <c r="BS912" s="176"/>
      <c r="BT912" s="176"/>
      <c r="BU912" s="176"/>
      <c r="BV912" s="176"/>
      <c r="BW912" s="176">
        <f>5.47+27.37</f>
        <v>32.840000000000003</v>
      </c>
      <c r="BX912" s="176"/>
      <c r="BY912" s="191"/>
      <c r="BZ912" s="191"/>
      <c r="CA912" s="191"/>
      <c r="CC912" s="182"/>
    </row>
    <row r="913" spans="1:81" s="178" customFormat="1" ht="15.75" customHeight="1">
      <c r="A913" s="226"/>
      <c r="B913" s="227"/>
      <c r="C913" s="227"/>
      <c r="D913" s="227"/>
      <c r="E913" s="227"/>
      <c r="F913" s="227"/>
      <c r="G913" s="227"/>
      <c r="H913" s="227"/>
      <c r="I913" s="175" t="s">
        <v>354</v>
      </c>
      <c r="J913" s="175"/>
      <c r="K913" s="175"/>
      <c r="L913" s="175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  <c r="AA913" s="176"/>
      <c r="AB913" s="176"/>
      <c r="AC913" s="176"/>
      <c r="AD913" s="176"/>
      <c r="AE913" s="176"/>
      <c r="AF913" s="176"/>
      <c r="AG913" s="176"/>
      <c r="AH913" s="176"/>
      <c r="AI913" s="176"/>
      <c r="AJ913" s="176"/>
      <c r="AK913" s="176"/>
      <c r="AL913" s="176"/>
      <c r="AM913" s="176"/>
      <c r="AN913" s="176"/>
      <c r="AO913" s="176"/>
      <c r="AP913" s="176"/>
      <c r="AQ913" s="176"/>
      <c r="AR913" s="176"/>
      <c r="AS913" s="176"/>
      <c r="AT913" s="176"/>
      <c r="AU913" s="176"/>
      <c r="AV913" s="176"/>
      <c r="AW913" s="176"/>
      <c r="AX913" s="176"/>
      <c r="AY913" s="176"/>
      <c r="AZ913" s="176"/>
      <c r="BA913" s="176"/>
      <c r="BB913" s="176"/>
      <c r="BC913" s="176"/>
      <c r="BD913" s="176"/>
      <c r="BE913" s="176"/>
      <c r="BF913" s="176"/>
      <c r="BG913" s="176"/>
      <c r="BH913" s="176"/>
      <c r="BI913" s="176"/>
      <c r="BJ913" s="176"/>
      <c r="BK913" s="176"/>
      <c r="BL913" s="176"/>
      <c r="BM913" s="176"/>
      <c r="BN913" s="176"/>
      <c r="BO913" s="176"/>
      <c r="BP913" s="176"/>
      <c r="BQ913" s="176">
        <v>244.18</v>
      </c>
      <c r="BR913" s="176">
        <v>573</v>
      </c>
      <c r="BS913" s="176">
        <f>209+320</f>
        <v>529</v>
      </c>
      <c r="BT913" s="176">
        <v>529</v>
      </c>
      <c r="BU913" s="176">
        <f>231+320</f>
        <v>551</v>
      </c>
      <c r="BV913" s="176">
        <f>220+320</f>
        <v>540</v>
      </c>
      <c r="BW913" s="176">
        <f>242+320</f>
        <v>562</v>
      </c>
      <c r="BX913" s="176"/>
      <c r="BY913" s="191"/>
      <c r="BZ913" s="191"/>
      <c r="CA913" s="191"/>
      <c r="CC913" s="182"/>
    </row>
    <row r="914" spans="1:81" s="178" customFormat="1" ht="15.75" customHeight="1">
      <c r="A914" s="226"/>
      <c r="B914" s="227"/>
      <c r="C914" s="227"/>
      <c r="D914" s="227"/>
      <c r="E914" s="227"/>
      <c r="F914" s="227"/>
      <c r="G914" s="227"/>
      <c r="H914" s="227"/>
      <c r="I914" s="175" t="s">
        <v>355</v>
      </c>
      <c r="J914" s="175"/>
      <c r="K914" s="175"/>
      <c r="L914" s="175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  <c r="AA914" s="176"/>
      <c r="AB914" s="176"/>
      <c r="AC914" s="176"/>
      <c r="AD914" s="176"/>
      <c r="AE914" s="176"/>
      <c r="AF914" s="176"/>
      <c r="AG914" s="176"/>
      <c r="AH914" s="176"/>
      <c r="AI914" s="176"/>
      <c r="AJ914" s="176"/>
      <c r="AK914" s="176"/>
      <c r="AL914" s="176"/>
      <c r="AM914" s="176"/>
      <c r="AN914" s="176"/>
      <c r="AO914" s="176"/>
      <c r="AP914" s="176"/>
      <c r="AQ914" s="176"/>
      <c r="AR914" s="176"/>
      <c r="AS914" s="176"/>
      <c r="AT914" s="176"/>
      <c r="AU914" s="176"/>
      <c r="AV914" s="176"/>
      <c r="AW914" s="176"/>
      <c r="AX914" s="176"/>
      <c r="AY914" s="176"/>
      <c r="AZ914" s="176"/>
      <c r="BA914" s="176"/>
      <c r="BB914" s="176"/>
      <c r="BC914" s="176"/>
      <c r="BD914" s="176"/>
      <c r="BE914" s="176"/>
      <c r="BF914" s="176"/>
      <c r="BG914" s="176"/>
      <c r="BH914" s="176"/>
      <c r="BI914" s="176"/>
      <c r="BJ914" s="176"/>
      <c r="BK914" s="176"/>
      <c r="BL914" s="176"/>
      <c r="BM914" s="176"/>
      <c r="BN914" s="176"/>
      <c r="BO914" s="176"/>
      <c r="BP914" s="176"/>
      <c r="BQ914" s="176"/>
      <c r="BR914" s="176"/>
      <c r="BS914" s="176"/>
      <c r="BT914" s="176"/>
      <c r="BU914" s="176"/>
      <c r="BV914" s="176"/>
      <c r="BW914" s="176"/>
      <c r="BX914" s="176"/>
      <c r="BY914" s="191"/>
      <c r="BZ914" s="191"/>
      <c r="CA914" s="191"/>
      <c r="CC914" s="182"/>
    </row>
    <row r="915" spans="1:81" s="178" customFormat="1" ht="15.75" customHeight="1">
      <c r="A915" s="226"/>
      <c r="B915" s="227"/>
      <c r="C915" s="227"/>
      <c r="D915" s="227"/>
      <c r="E915" s="227"/>
      <c r="F915" s="227"/>
      <c r="G915" s="227"/>
      <c r="H915" s="227"/>
      <c r="I915" s="175" t="s">
        <v>357</v>
      </c>
      <c r="J915" s="175"/>
      <c r="K915" s="175"/>
      <c r="L915" s="175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  <c r="AA915" s="176"/>
      <c r="AB915" s="176"/>
      <c r="AC915" s="176"/>
      <c r="AD915" s="176"/>
      <c r="AE915" s="176"/>
      <c r="AF915" s="176"/>
      <c r="AG915" s="176"/>
      <c r="AH915" s="176"/>
      <c r="AI915" s="176"/>
      <c r="AJ915" s="176"/>
      <c r="AK915" s="176"/>
      <c r="AL915" s="176"/>
      <c r="AM915" s="176"/>
      <c r="AN915" s="176"/>
      <c r="AO915" s="176"/>
      <c r="AP915" s="176"/>
      <c r="AQ915" s="176"/>
      <c r="AR915" s="176"/>
      <c r="AS915" s="176"/>
      <c r="AT915" s="176"/>
      <c r="AU915" s="176"/>
      <c r="AV915" s="176"/>
      <c r="AW915" s="176"/>
      <c r="AX915" s="176"/>
      <c r="AY915" s="176"/>
      <c r="AZ915" s="176"/>
      <c r="BA915" s="176"/>
      <c r="BB915" s="176"/>
      <c r="BC915" s="176"/>
      <c r="BD915" s="176"/>
      <c r="BE915" s="176"/>
      <c r="BF915" s="176"/>
      <c r="BG915" s="176"/>
      <c r="BH915" s="176"/>
      <c r="BI915" s="176"/>
      <c r="BJ915" s="176"/>
      <c r="BK915" s="176"/>
      <c r="BL915" s="176"/>
      <c r="BM915" s="176"/>
      <c r="BN915" s="176"/>
      <c r="BO915" s="176"/>
      <c r="BP915" s="176"/>
      <c r="BQ915" s="176"/>
      <c r="BR915" s="176"/>
      <c r="BS915" s="176"/>
      <c r="BT915" s="176"/>
      <c r="BU915" s="176"/>
      <c r="BV915" s="176"/>
      <c r="BW915" s="176"/>
      <c r="BX915" s="176"/>
      <c r="BY915" s="191"/>
      <c r="BZ915" s="191"/>
      <c r="CA915" s="191"/>
      <c r="CC915" s="182"/>
    </row>
    <row r="916" spans="1:81" s="178" customFormat="1" ht="15.75" customHeight="1">
      <c r="A916" s="226"/>
      <c r="B916" s="227"/>
      <c r="C916" s="227"/>
      <c r="D916" s="227"/>
      <c r="E916" s="227"/>
      <c r="F916" s="227"/>
      <c r="G916" s="227"/>
      <c r="H916" s="227"/>
      <c r="I916" s="184" t="s">
        <v>362</v>
      </c>
      <c r="J916" s="175"/>
      <c r="K916" s="175"/>
      <c r="L916" s="175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  <c r="AA916" s="176"/>
      <c r="AB916" s="176"/>
      <c r="AC916" s="176"/>
      <c r="AD916" s="176"/>
      <c r="AE916" s="176"/>
      <c r="AF916" s="176"/>
      <c r="AG916" s="176"/>
      <c r="AH916" s="176"/>
      <c r="AI916" s="176"/>
      <c r="AJ916" s="176"/>
      <c r="AK916" s="176"/>
      <c r="AL916" s="176"/>
      <c r="AM916" s="176"/>
      <c r="AN916" s="176"/>
      <c r="AO916" s="176"/>
      <c r="AP916" s="176"/>
      <c r="AQ916" s="176"/>
      <c r="AR916" s="176"/>
      <c r="AS916" s="176"/>
      <c r="AT916" s="176"/>
      <c r="AU916" s="176"/>
      <c r="AV916" s="176"/>
      <c r="AW916" s="176"/>
      <c r="AX916" s="176"/>
      <c r="AY916" s="176"/>
      <c r="AZ916" s="176"/>
      <c r="BA916" s="176"/>
      <c r="BB916" s="176"/>
      <c r="BC916" s="176"/>
      <c r="BD916" s="176"/>
      <c r="BE916" s="176"/>
      <c r="BF916" s="176"/>
      <c r="BG916" s="176"/>
      <c r="BH916" s="176"/>
      <c r="BI916" s="176"/>
      <c r="BJ916" s="176"/>
      <c r="BK916" s="176"/>
      <c r="BL916" s="176"/>
      <c r="BM916" s="176"/>
      <c r="BN916" s="176"/>
      <c r="BO916" s="176"/>
      <c r="BP916" s="176"/>
      <c r="BQ916" s="176"/>
      <c r="BR916" s="176"/>
      <c r="BS916" s="176"/>
      <c r="BT916" s="176"/>
      <c r="BU916" s="176"/>
      <c r="BV916" s="176"/>
      <c r="BW916" s="176"/>
      <c r="BX916" s="176"/>
      <c r="BY916" s="191"/>
      <c r="BZ916" s="191"/>
      <c r="CA916" s="191"/>
      <c r="CC916" s="182"/>
    </row>
    <row r="917" spans="1:81" s="178" customFormat="1">
      <c r="A917" s="226"/>
      <c r="B917" s="227"/>
      <c r="C917" s="227"/>
      <c r="D917" s="227"/>
      <c r="E917" s="227"/>
      <c r="F917" s="227"/>
      <c r="G917" s="227"/>
      <c r="H917" s="227"/>
      <c r="I917" s="190" t="s">
        <v>363</v>
      </c>
      <c r="J917" s="190"/>
      <c r="K917" s="190"/>
      <c r="L917" s="190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  <c r="AA917" s="176"/>
      <c r="AB917" s="176"/>
      <c r="AC917" s="176"/>
      <c r="AD917" s="176"/>
      <c r="AE917" s="176"/>
      <c r="AF917" s="176"/>
      <c r="AG917" s="176"/>
      <c r="AH917" s="176"/>
      <c r="AI917" s="176"/>
      <c r="AJ917" s="176"/>
      <c r="AK917" s="176"/>
      <c r="AL917" s="176"/>
      <c r="AM917" s="176"/>
      <c r="AN917" s="176"/>
      <c r="AO917" s="176"/>
      <c r="AP917" s="176"/>
      <c r="AQ917" s="176"/>
      <c r="AR917" s="176"/>
      <c r="AS917" s="176"/>
      <c r="AT917" s="176"/>
      <c r="AU917" s="176"/>
      <c r="AV917" s="176"/>
      <c r="AW917" s="176"/>
      <c r="AX917" s="176"/>
      <c r="AY917" s="176"/>
      <c r="AZ917" s="176"/>
      <c r="BA917" s="176"/>
      <c r="BB917" s="176"/>
      <c r="BC917" s="176"/>
      <c r="BD917" s="176"/>
      <c r="BE917" s="176"/>
      <c r="BF917" s="176"/>
      <c r="BG917" s="176"/>
      <c r="BH917" s="176"/>
      <c r="BI917" s="176"/>
      <c r="BJ917" s="176"/>
      <c r="BK917" s="176"/>
      <c r="BL917" s="176"/>
      <c r="BM917" s="176"/>
      <c r="BN917" s="176"/>
      <c r="BO917" s="176"/>
      <c r="BP917" s="176"/>
      <c r="BQ917" s="176"/>
      <c r="BR917" s="176"/>
      <c r="BS917" s="176"/>
      <c r="BT917" s="176"/>
      <c r="BU917" s="176"/>
      <c r="BV917" s="176"/>
      <c r="BW917" s="176"/>
      <c r="BX917" s="176"/>
      <c r="BY917" s="191"/>
      <c r="BZ917" s="191"/>
    </row>
    <row r="918" spans="1:81" s="178" customFormat="1">
      <c r="A918" s="226"/>
      <c r="B918" s="227"/>
      <c r="C918" s="227"/>
      <c r="D918" s="227"/>
      <c r="E918" s="227"/>
      <c r="F918" s="227"/>
      <c r="G918" s="227"/>
      <c r="H918" s="227"/>
      <c r="I918" s="193" t="s">
        <v>373</v>
      </c>
      <c r="J918" s="193"/>
      <c r="K918" s="193"/>
      <c r="L918" s="193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  <c r="AA918" s="176"/>
      <c r="AB918" s="176"/>
      <c r="AC918" s="176"/>
      <c r="AD918" s="176"/>
      <c r="AE918" s="176"/>
      <c r="AF918" s="176"/>
      <c r="AG918" s="176"/>
      <c r="AH918" s="176"/>
      <c r="AI918" s="176"/>
      <c r="AJ918" s="176"/>
      <c r="AK918" s="176"/>
      <c r="AL918" s="176"/>
      <c r="AM918" s="176"/>
      <c r="AN918" s="176"/>
      <c r="AO918" s="176"/>
      <c r="AP918" s="176"/>
      <c r="AQ918" s="176"/>
      <c r="AR918" s="176"/>
      <c r="AS918" s="176"/>
      <c r="AT918" s="176"/>
      <c r="AU918" s="176"/>
      <c r="AV918" s="176"/>
      <c r="AW918" s="176"/>
      <c r="AX918" s="176"/>
      <c r="AY918" s="176"/>
      <c r="AZ918" s="176"/>
      <c r="BA918" s="176"/>
      <c r="BB918" s="176"/>
      <c r="BC918" s="176"/>
      <c r="BD918" s="176"/>
      <c r="BE918" s="176"/>
      <c r="BF918" s="176"/>
      <c r="BG918" s="176"/>
      <c r="BH918" s="176"/>
      <c r="BI918" s="176"/>
      <c r="BJ918" s="176"/>
      <c r="BK918" s="176"/>
      <c r="BL918" s="176"/>
      <c r="BM918" s="176"/>
      <c r="BN918" s="176"/>
      <c r="BO918" s="176"/>
      <c r="BP918" s="176"/>
      <c r="BQ918" s="176">
        <v>32.369999999999997</v>
      </c>
      <c r="BR918" s="176">
        <v>254.7</v>
      </c>
      <c r="BS918" s="176">
        <v>254.7</v>
      </c>
      <c r="BT918" s="176">
        <v>225.29</v>
      </c>
      <c r="BU918" s="176">
        <v>225.29</v>
      </c>
      <c r="BV918" s="176">
        <v>225.29</v>
      </c>
      <c r="BW918" s="176">
        <f>996.02-739.92</f>
        <v>256.10000000000002</v>
      </c>
      <c r="BX918" s="176"/>
      <c r="BY918" s="191"/>
      <c r="BZ918" s="191"/>
    </row>
    <row r="919" spans="1:81" s="178" customFormat="1">
      <c r="A919" s="226"/>
      <c r="B919" s="227"/>
      <c r="C919" s="227"/>
      <c r="D919" s="227"/>
      <c r="E919" s="227"/>
      <c r="F919" s="227"/>
      <c r="G919" s="227"/>
      <c r="H919" s="227"/>
      <c r="I919" s="190"/>
      <c r="J919" s="176">
        <f>SUM(J908:J917)-J918</f>
        <v>0</v>
      </c>
      <c r="K919" s="176">
        <f t="shared" ref="K919:Y919" si="461">SUM(K908:K917)-K918</f>
        <v>0</v>
      </c>
      <c r="L919" s="176">
        <f t="shared" si="461"/>
        <v>0</v>
      </c>
      <c r="M919" s="176">
        <f t="shared" si="461"/>
        <v>0</v>
      </c>
      <c r="N919" s="176">
        <f t="shared" si="461"/>
        <v>0</v>
      </c>
      <c r="O919" s="176">
        <f t="shared" si="461"/>
        <v>0</v>
      </c>
      <c r="P919" s="176">
        <f t="shared" si="461"/>
        <v>0</v>
      </c>
      <c r="Q919" s="176">
        <f t="shared" si="461"/>
        <v>0</v>
      </c>
      <c r="R919" s="176">
        <f t="shared" si="461"/>
        <v>0</v>
      </c>
      <c r="S919" s="176">
        <f t="shared" si="461"/>
        <v>0</v>
      </c>
      <c r="T919" s="176">
        <f t="shared" si="461"/>
        <v>0</v>
      </c>
      <c r="U919" s="176">
        <f t="shared" si="461"/>
        <v>0</v>
      </c>
      <c r="V919" s="176">
        <f t="shared" si="461"/>
        <v>0</v>
      </c>
      <c r="W919" s="176">
        <f t="shared" si="461"/>
        <v>0</v>
      </c>
      <c r="X919" s="176">
        <f t="shared" si="461"/>
        <v>0</v>
      </c>
      <c r="Y919" s="176">
        <f t="shared" si="461"/>
        <v>0</v>
      </c>
      <c r="Z919" s="176">
        <f>SUM(Z908:Z917)-Z918</f>
        <v>0</v>
      </c>
      <c r="AA919" s="176">
        <f t="shared" ref="AA919:AD919" si="462">SUM(AA908:AA917)-AA918</f>
        <v>0</v>
      </c>
      <c r="AB919" s="176">
        <f t="shared" si="462"/>
        <v>0</v>
      </c>
      <c r="AC919" s="176">
        <f t="shared" si="462"/>
        <v>0</v>
      </c>
      <c r="AD919" s="176">
        <f t="shared" si="462"/>
        <v>0</v>
      </c>
      <c r="AE919" s="176">
        <f>SUM(AE908:AE917)-AE918</f>
        <v>0</v>
      </c>
      <c r="AF919" s="176">
        <f>SUM(AF908:AF917)-AF918</f>
        <v>0</v>
      </c>
      <c r="AG919" s="176">
        <f t="shared" ref="AG919:AP919" si="463">SUM(AG908:AG917)-AG918</f>
        <v>0</v>
      </c>
      <c r="AH919" s="176">
        <f t="shared" si="463"/>
        <v>0</v>
      </c>
      <c r="AI919" s="176">
        <f t="shared" si="463"/>
        <v>0</v>
      </c>
      <c r="AJ919" s="176">
        <f t="shared" si="463"/>
        <v>0</v>
      </c>
      <c r="AK919" s="176">
        <f t="shared" si="463"/>
        <v>0</v>
      </c>
      <c r="AL919" s="176">
        <f t="shared" si="463"/>
        <v>0</v>
      </c>
      <c r="AM919" s="176">
        <f t="shared" si="463"/>
        <v>0</v>
      </c>
      <c r="AN919" s="176">
        <f t="shared" si="463"/>
        <v>0</v>
      </c>
      <c r="AO919" s="176">
        <f t="shared" si="463"/>
        <v>0</v>
      </c>
      <c r="AP919" s="176">
        <f t="shared" si="463"/>
        <v>0</v>
      </c>
      <c r="AQ919" s="176">
        <f t="shared" ref="AQ919:AU919" si="464">SUM(AQ908:AQ917)-AQ918</f>
        <v>0</v>
      </c>
      <c r="AR919" s="176">
        <f t="shared" si="464"/>
        <v>0</v>
      </c>
      <c r="AS919" s="176">
        <f t="shared" si="464"/>
        <v>0</v>
      </c>
      <c r="AT919" s="176">
        <f t="shared" si="464"/>
        <v>0</v>
      </c>
      <c r="AU919" s="176">
        <f t="shared" si="464"/>
        <v>0</v>
      </c>
      <c r="AV919" s="176">
        <f>SUM(AV908:AV917)-AV918</f>
        <v>0</v>
      </c>
      <c r="AW919" s="176">
        <f t="shared" ref="AW919:BA919" si="465">SUM(AW908:AW917)-AW918</f>
        <v>0</v>
      </c>
      <c r="AX919" s="176">
        <f t="shared" si="465"/>
        <v>0</v>
      </c>
      <c r="AY919" s="176">
        <f t="shared" si="465"/>
        <v>0</v>
      </c>
      <c r="AZ919" s="176">
        <f t="shared" si="465"/>
        <v>0</v>
      </c>
      <c r="BA919" s="176">
        <f t="shared" si="465"/>
        <v>0</v>
      </c>
      <c r="BB919" s="176"/>
      <c r="BC919" s="176"/>
      <c r="BD919" s="176"/>
      <c r="BE919" s="176"/>
      <c r="BF919" s="176"/>
      <c r="BG919" s="176"/>
      <c r="BH919" s="176"/>
      <c r="BI919" s="176"/>
      <c r="BJ919" s="176"/>
      <c r="BK919" s="176"/>
      <c r="BL919" s="176"/>
      <c r="BM919" s="176">
        <f t="shared" ref="BM919:BT919" si="466">BM909+BM915-BM918+BM913</f>
        <v>0</v>
      </c>
      <c r="BN919" s="176">
        <f t="shared" si="466"/>
        <v>0</v>
      </c>
      <c r="BO919" s="176">
        <f t="shared" si="466"/>
        <v>0</v>
      </c>
      <c r="BP919" s="176">
        <f t="shared" si="466"/>
        <v>0</v>
      </c>
      <c r="BQ919" s="176">
        <f t="shared" si="466"/>
        <v>643.43000000000006</v>
      </c>
      <c r="BR919" s="176">
        <f t="shared" si="466"/>
        <v>2168.1099999999997</v>
      </c>
      <c r="BS919" s="176">
        <f t="shared" si="466"/>
        <v>2124.1099999999997</v>
      </c>
      <c r="BT919" s="176">
        <f t="shared" si="466"/>
        <v>2153.52</v>
      </c>
      <c r="BU919" s="176">
        <f t="shared" ref="BU919:BV919" si="467">BU909+BU915-BU918+BU913</f>
        <v>2175.52</v>
      </c>
      <c r="BV919" s="176">
        <f t="shared" si="467"/>
        <v>2164.52</v>
      </c>
      <c r="BW919" s="176">
        <f>BW909+BW912+BW913-BW918</f>
        <v>2188.5499999999997</v>
      </c>
      <c r="BX919" s="176">
        <f>SUM(BD919:BW919)</f>
        <v>13617.76</v>
      </c>
      <c r="BY919" s="191"/>
      <c r="BZ919" s="191"/>
    </row>
    <row r="920" spans="1:81" ht="15.6" customHeight="1">
      <c r="A920" s="148" t="s">
        <v>346</v>
      </c>
      <c r="B920" s="148" t="s">
        <v>347</v>
      </c>
      <c r="C920" s="145" t="s">
        <v>310</v>
      </c>
      <c r="D920" s="145" t="s">
        <v>311</v>
      </c>
      <c r="E920" s="148" t="s">
        <v>312</v>
      </c>
      <c r="F920" s="148" t="s">
        <v>348</v>
      </c>
      <c r="G920" s="145" t="s">
        <v>314</v>
      </c>
      <c r="H920" s="145" t="s">
        <v>315</v>
      </c>
      <c r="I920" s="145" t="s">
        <v>349</v>
      </c>
      <c r="J920" s="146">
        <v>44105</v>
      </c>
      <c r="K920" s="146">
        <v>44136</v>
      </c>
      <c r="L920" s="146">
        <v>44166</v>
      </c>
      <c r="M920" s="146">
        <v>44197</v>
      </c>
      <c r="N920" s="146">
        <v>44228</v>
      </c>
      <c r="O920" s="146">
        <v>44256</v>
      </c>
      <c r="P920" s="146">
        <v>44287</v>
      </c>
      <c r="Q920" s="146">
        <v>44317</v>
      </c>
      <c r="R920" s="146">
        <v>44348</v>
      </c>
      <c r="S920" s="146">
        <v>44378</v>
      </c>
      <c r="T920" s="146">
        <v>44409</v>
      </c>
      <c r="U920" s="146">
        <v>44440</v>
      </c>
      <c r="V920" s="146">
        <v>44470</v>
      </c>
      <c r="W920" s="146">
        <v>44501</v>
      </c>
      <c r="X920" s="146">
        <v>44531</v>
      </c>
      <c r="Y920" s="146">
        <v>44562</v>
      </c>
      <c r="Z920" s="146">
        <v>44593</v>
      </c>
      <c r="AA920" s="146">
        <v>44621</v>
      </c>
      <c r="AB920" s="146">
        <v>44652</v>
      </c>
      <c r="AC920" s="146">
        <v>44682</v>
      </c>
      <c r="AD920" s="146">
        <v>44713</v>
      </c>
      <c r="AE920" s="146">
        <v>44743</v>
      </c>
      <c r="AF920" s="146">
        <v>44774</v>
      </c>
      <c r="AG920" s="146">
        <v>44805</v>
      </c>
      <c r="AH920" s="146">
        <v>44835</v>
      </c>
      <c r="AI920" s="146">
        <v>44866</v>
      </c>
      <c r="AJ920" s="146">
        <v>44896</v>
      </c>
      <c r="AK920" s="146">
        <v>44927</v>
      </c>
      <c r="AL920" s="146">
        <v>44958</v>
      </c>
      <c r="AM920" s="146">
        <v>44986</v>
      </c>
      <c r="AN920" s="146">
        <v>45017</v>
      </c>
      <c r="AO920" s="146">
        <v>45047</v>
      </c>
      <c r="AP920" s="146">
        <v>45078</v>
      </c>
      <c r="AQ920" s="146">
        <v>45108</v>
      </c>
      <c r="AR920" s="146">
        <v>45139</v>
      </c>
      <c r="AS920" s="146">
        <v>45170</v>
      </c>
      <c r="AT920" s="146">
        <v>45200</v>
      </c>
      <c r="AU920" s="146">
        <v>45231</v>
      </c>
      <c r="AV920" s="146">
        <v>45261</v>
      </c>
      <c r="AW920" s="146">
        <v>45292</v>
      </c>
      <c r="AX920" s="146">
        <v>45323</v>
      </c>
      <c r="AY920" s="146">
        <v>45352</v>
      </c>
      <c r="AZ920" s="146">
        <v>45383</v>
      </c>
      <c r="BA920" s="146">
        <v>45413</v>
      </c>
      <c r="BB920" s="146">
        <v>45444</v>
      </c>
      <c r="BC920" s="146">
        <v>45474</v>
      </c>
      <c r="BD920" s="146">
        <v>45505</v>
      </c>
      <c r="BE920" s="146">
        <v>45536</v>
      </c>
      <c r="BF920" s="146">
        <v>45566</v>
      </c>
      <c r="BG920" s="146">
        <v>45597</v>
      </c>
      <c r="BH920" s="146">
        <v>45627</v>
      </c>
      <c r="BI920" s="146">
        <v>45658</v>
      </c>
      <c r="BJ920" s="146">
        <v>45689</v>
      </c>
      <c r="BK920" s="146">
        <v>45717</v>
      </c>
      <c r="BL920" s="146">
        <v>45748</v>
      </c>
      <c r="BM920" s="146">
        <v>45778</v>
      </c>
      <c r="BN920" s="146">
        <v>45809</v>
      </c>
      <c r="BO920" s="146">
        <v>45839</v>
      </c>
      <c r="BP920" s="146">
        <v>45870</v>
      </c>
      <c r="BQ920" s="146">
        <v>45901</v>
      </c>
      <c r="BR920" s="146">
        <v>45931</v>
      </c>
      <c r="BS920" s="146">
        <v>45962</v>
      </c>
      <c r="BT920" s="146">
        <v>45992</v>
      </c>
      <c r="BU920" s="146">
        <v>46023</v>
      </c>
      <c r="BV920" s="146">
        <v>46054</v>
      </c>
      <c r="BW920" s="146"/>
      <c r="BX920" s="147" t="s">
        <v>13</v>
      </c>
      <c r="BY920" s="5"/>
      <c r="BZ920" s="5"/>
      <c r="CA920" s="5"/>
    </row>
    <row r="921" spans="1:81" ht="15.75" customHeight="1">
      <c r="A921" s="240">
        <v>69</v>
      </c>
      <c r="B921" s="241" t="s">
        <v>262</v>
      </c>
      <c r="C921" s="241" t="s">
        <v>23</v>
      </c>
      <c r="D921" s="241" t="s">
        <v>89</v>
      </c>
      <c r="E921" s="241" t="s">
        <v>150</v>
      </c>
      <c r="F921" s="241" t="s">
        <v>150</v>
      </c>
      <c r="G921" s="242">
        <v>45924</v>
      </c>
      <c r="H921" s="241"/>
      <c r="I921" s="21" t="s">
        <v>390</v>
      </c>
      <c r="J921" s="21"/>
      <c r="K921" s="21"/>
      <c r="L921" s="21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105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1"/>
      <c r="BZ921" s="1"/>
      <c r="CA921" s="1"/>
      <c r="CC921" s="6"/>
    </row>
    <row r="922" spans="1:81" ht="15.75" customHeight="1">
      <c r="A922" s="240"/>
      <c r="B922" s="241"/>
      <c r="C922" s="241"/>
      <c r="D922" s="241"/>
      <c r="E922" s="241"/>
      <c r="F922" s="241"/>
      <c r="G922" s="241"/>
      <c r="H922" s="241"/>
      <c r="I922" s="21" t="s">
        <v>351</v>
      </c>
      <c r="J922" s="21"/>
      <c r="K922" s="21"/>
      <c r="L922" s="21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105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105"/>
      <c r="BO922" s="105"/>
      <c r="BP922" s="105"/>
      <c r="BQ922" s="105">
        <v>431.62</v>
      </c>
      <c r="BR922" s="105">
        <v>1849.81</v>
      </c>
      <c r="BS922" s="105">
        <v>1849.81</v>
      </c>
      <c r="BT922" s="105">
        <v>1849.81</v>
      </c>
      <c r="BU922" s="105">
        <v>1849.81</v>
      </c>
      <c r="BV922" s="105"/>
      <c r="BW922" s="105"/>
      <c r="BX922" s="3"/>
      <c r="BY922" s="1"/>
      <c r="BZ922" s="1"/>
      <c r="CA922" s="1"/>
      <c r="CC922" s="6"/>
    </row>
    <row r="923" spans="1:81" ht="15.75" customHeight="1">
      <c r="A923" s="240"/>
      <c r="B923" s="241"/>
      <c r="C923" s="241"/>
      <c r="D923" s="241"/>
      <c r="E923" s="241"/>
      <c r="F923" s="241"/>
      <c r="G923" s="241"/>
      <c r="H923" s="241"/>
      <c r="I923" s="21" t="s">
        <v>391</v>
      </c>
      <c r="J923" s="21"/>
      <c r="K923" s="21"/>
      <c r="L923" s="21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12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105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>
        <v>739</v>
      </c>
      <c r="BT923" s="3">
        <v>739</v>
      </c>
      <c r="BU923" s="3">
        <v>739</v>
      </c>
      <c r="BV923" s="3"/>
      <c r="BW923" s="3"/>
      <c r="BX923" s="3"/>
      <c r="BY923" s="1"/>
      <c r="BZ923" s="1"/>
      <c r="CA923" s="1"/>
      <c r="CC923" s="6"/>
    </row>
    <row r="924" spans="1:81" ht="15.75" customHeight="1">
      <c r="A924" s="240"/>
      <c r="B924" s="241"/>
      <c r="C924" s="241"/>
      <c r="D924" s="241"/>
      <c r="E924" s="241"/>
      <c r="F924" s="241"/>
      <c r="G924" s="241"/>
      <c r="H924" s="241"/>
      <c r="I924" s="21" t="s">
        <v>351</v>
      </c>
      <c r="J924" s="21"/>
      <c r="K924" s="21"/>
      <c r="L924" s="21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12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105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1"/>
      <c r="BZ924" s="1"/>
      <c r="CA924" s="1"/>
      <c r="CC924" s="6"/>
    </row>
    <row r="925" spans="1:81" ht="15.75" customHeight="1">
      <c r="A925" s="240"/>
      <c r="B925" s="241"/>
      <c r="C925" s="241"/>
      <c r="D925" s="241"/>
      <c r="E925" s="241"/>
      <c r="F925" s="241"/>
      <c r="G925" s="241"/>
      <c r="H925" s="241"/>
      <c r="I925" s="21" t="s">
        <v>353</v>
      </c>
      <c r="J925" s="21"/>
      <c r="K925" s="21"/>
      <c r="L925" s="21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105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1"/>
      <c r="BZ925" s="1"/>
      <c r="CA925" s="1"/>
      <c r="CC925" s="6"/>
    </row>
    <row r="926" spans="1:81" ht="15.75" customHeight="1">
      <c r="A926" s="240"/>
      <c r="B926" s="241"/>
      <c r="C926" s="241"/>
      <c r="D926" s="241"/>
      <c r="E926" s="241"/>
      <c r="F926" s="241"/>
      <c r="G926" s="241"/>
      <c r="H926" s="241"/>
      <c r="I926" s="21" t="s">
        <v>354</v>
      </c>
      <c r="J926" s="21"/>
      <c r="K926" s="21"/>
      <c r="L926" s="21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105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>
        <v>206.12</v>
      </c>
      <c r="BR926" s="3">
        <v>885.9</v>
      </c>
      <c r="BS926" s="3">
        <f>467.4+320</f>
        <v>787.4</v>
      </c>
      <c r="BT926" s="3">
        <f t="shared" ref="BT926" si="468">467.4+320</f>
        <v>787.4</v>
      </c>
      <c r="BU926" s="3">
        <f>516.6+320</f>
        <v>836.6</v>
      </c>
      <c r="BV926" s="3"/>
      <c r="BW926" s="3"/>
      <c r="BX926" s="3"/>
      <c r="BY926" s="1"/>
      <c r="BZ926" s="1"/>
      <c r="CA926" s="1"/>
      <c r="CC926" s="6"/>
    </row>
    <row r="927" spans="1:81" ht="15.75" customHeight="1">
      <c r="A927" s="240"/>
      <c r="B927" s="241"/>
      <c r="C927" s="241"/>
      <c r="D927" s="241"/>
      <c r="E927" s="241"/>
      <c r="F927" s="241"/>
      <c r="G927" s="241"/>
      <c r="H927" s="241"/>
      <c r="I927" s="21" t="s">
        <v>355</v>
      </c>
      <c r="J927" s="21"/>
      <c r="K927" s="21"/>
      <c r="L927" s="21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105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1"/>
      <c r="BZ927" s="1"/>
      <c r="CA927" s="1"/>
      <c r="CC927" s="6"/>
    </row>
    <row r="928" spans="1:81" ht="15.75" customHeight="1">
      <c r="A928" s="240"/>
      <c r="B928" s="241"/>
      <c r="C928" s="241"/>
      <c r="D928" s="241"/>
      <c r="E928" s="241"/>
      <c r="F928" s="241"/>
      <c r="G928" s="241"/>
      <c r="H928" s="241"/>
      <c r="I928" s="21" t="s">
        <v>357</v>
      </c>
      <c r="J928" s="21"/>
      <c r="K928" s="21"/>
      <c r="L928" s="21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105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1"/>
      <c r="BZ928" s="1"/>
      <c r="CA928" s="1"/>
      <c r="CC928" s="6"/>
    </row>
    <row r="929" spans="1:81" ht="15.75" customHeight="1">
      <c r="A929" s="240"/>
      <c r="B929" s="241"/>
      <c r="C929" s="241"/>
      <c r="D929" s="241"/>
      <c r="E929" s="241"/>
      <c r="F929" s="241"/>
      <c r="G929" s="241"/>
      <c r="H929" s="241"/>
      <c r="I929" s="23" t="s">
        <v>362</v>
      </c>
      <c r="J929" s="21"/>
      <c r="K929" s="21"/>
      <c r="L929" s="21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105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1"/>
      <c r="BZ929" s="1"/>
      <c r="CA929" s="1"/>
      <c r="CC929" s="6"/>
    </row>
    <row r="930" spans="1:81">
      <c r="A930" s="240"/>
      <c r="B930" s="241"/>
      <c r="C930" s="241"/>
      <c r="D930" s="241"/>
      <c r="E930" s="241"/>
      <c r="F930" s="241"/>
      <c r="G930" s="241"/>
      <c r="H930" s="241"/>
      <c r="I930" s="22" t="s">
        <v>363</v>
      </c>
      <c r="J930" s="22"/>
      <c r="K930" s="22"/>
      <c r="L930" s="22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105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1"/>
      <c r="BZ930" s="1"/>
    </row>
    <row r="931" spans="1:81">
      <c r="A931" s="240"/>
      <c r="B931" s="241"/>
      <c r="C931" s="241"/>
      <c r="D931" s="241"/>
      <c r="E931" s="241"/>
      <c r="F931" s="241"/>
      <c r="G931" s="241"/>
      <c r="H931" s="241"/>
      <c r="I931" s="44" t="s">
        <v>373</v>
      </c>
      <c r="J931" s="44"/>
      <c r="K931" s="44"/>
      <c r="L931" s="44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105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>
        <v>32.369999999999997</v>
      </c>
      <c r="BR931" s="3">
        <v>255.96</v>
      </c>
      <c r="BS931" s="3">
        <v>1276.98</v>
      </c>
      <c r="BT931" s="3">
        <v>1276.98</v>
      </c>
      <c r="BU931" s="3">
        <v>1276.98</v>
      </c>
      <c r="BV931" s="3"/>
      <c r="BW931" s="3"/>
      <c r="BX931" s="3"/>
      <c r="BY931" s="1"/>
      <c r="BZ931" s="1"/>
    </row>
    <row r="932" spans="1:81">
      <c r="A932" s="240"/>
      <c r="B932" s="241"/>
      <c r="C932" s="241"/>
      <c r="D932" s="241"/>
      <c r="E932" s="241"/>
      <c r="F932" s="241"/>
      <c r="G932" s="241"/>
      <c r="H932" s="241"/>
      <c r="I932" s="22"/>
      <c r="J932" s="3">
        <f>SUM(J921:J930)-J931</f>
        <v>0</v>
      </c>
      <c r="K932" s="3">
        <f t="shared" ref="K932:Y932" si="469">SUM(K921:K930)-K931</f>
        <v>0</v>
      </c>
      <c r="L932" s="3">
        <f t="shared" si="469"/>
        <v>0</v>
      </c>
      <c r="M932" s="3">
        <f t="shared" si="469"/>
        <v>0</v>
      </c>
      <c r="N932" s="3">
        <f t="shared" si="469"/>
        <v>0</v>
      </c>
      <c r="O932" s="3">
        <f t="shared" si="469"/>
        <v>0</v>
      </c>
      <c r="P932" s="3">
        <f t="shared" si="469"/>
        <v>0</v>
      </c>
      <c r="Q932" s="3">
        <f t="shared" si="469"/>
        <v>0</v>
      </c>
      <c r="R932" s="3">
        <f t="shared" si="469"/>
        <v>0</v>
      </c>
      <c r="S932" s="3">
        <f t="shared" si="469"/>
        <v>0</v>
      </c>
      <c r="T932" s="3">
        <f t="shared" si="469"/>
        <v>0</v>
      </c>
      <c r="U932" s="3">
        <f t="shared" si="469"/>
        <v>0</v>
      </c>
      <c r="V932" s="3">
        <f t="shared" si="469"/>
        <v>0</v>
      </c>
      <c r="W932" s="3">
        <f t="shared" si="469"/>
        <v>0</v>
      </c>
      <c r="X932" s="3">
        <f t="shared" si="469"/>
        <v>0</v>
      </c>
      <c r="Y932" s="3">
        <f t="shared" si="469"/>
        <v>0</v>
      </c>
      <c r="Z932" s="3">
        <f>SUM(Z921:Z930)-Z931</f>
        <v>0</v>
      </c>
      <c r="AA932" s="3">
        <f t="shared" ref="AA932:AD932" si="470">SUM(AA921:AA930)-AA931</f>
        <v>0</v>
      </c>
      <c r="AB932" s="3">
        <f t="shared" si="470"/>
        <v>0</v>
      </c>
      <c r="AC932" s="3">
        <f t="shared" si="470"/>
        <v>0</v>
      </c>
      <c r="AD932" s="3">
        <f t="shared" si="470"/>
        <v>0</v>
      </c>
      <c r="AE932" s="3">
        <f>SUM(AE921:AE930)-AE931</f>
        <v>0</v>
      </c>
      <c r="AF932" s="3">
        <f>SUM(AF921:AF930)-AF931</f>
        <v>0</v>
      </c>
      <c r="AG932" s="3">
        <f t="shared" ref="AG932:AP932" si="471">SUM(AG921:AG930)-AG931</f>
        <v>0</v>
      </c>
      <c r="AH932" s="3">
        <f t="shared" si="471"/>
        <v>0</v>
      </c>
      <c r="AI932" s="3">
        <f t="shared" si="471"/>
        <v>0</v>
      </c>
      <c r="AJ932" s="3">
        <f t="shared" si="471"/>
        <v>0</v>
      </c>
      <c r="AK932" s="3">
        <f t="shared" si="471"/>
        <v>0</v>
      </c>
      <c r="AL932" s="3">
        <f t="shared" si="471"/>
        <v>0</v>
      </c>
      <c r="AM932" s="3">
        <f t="shared" si="471"/>
        <v>0</v>
      </c>
      <c r="AN932" s="3">
        <f t="shared" si="471"/>
        <v>0</v>
      </c>
      <c r="AO932" s="3">
        <f t="shared" si="471"/>
        <v>0</v>
      </c>
      <c r="AP932" s="3">
        <f t="shared" si="471"/>
        <v>0</v>
      </c>
      <c r="AQ932" s="3">
        <f t="shared" ref="AQ932:AU932" si="472">SUM(AQ921:AQ930)-AQ931</f>
        <v>0</v>
      </c>
      <c r="AR932" s="3">
        <f t="shared" si="472"/>
        <v>0</v>
      </c>
      <c r="AS932" s="3">
        <f t="shared" si="472"/>
        <v>0</v>
      </c>
      <c r="AT932" s="3">
        <f t="shared" si="472"/>
        <v>0</v>
      </c>
      <c r="AU932" s="3">
        <f t="shared" si="472"/>
        <v>0</v>
      </c>
      <c r="AV932" s="3">
        <f>SUM(AV921:AV930)-AV931</f>
        <v>0</v>
      </c>
      <c r="AW932" s="3">
        <f t="shared" ref="AW932:BA932" si="473">SUM(AW921:AW930)-AW931</f>
        <v>0</v>
      </c>
      <c r="AX932" s="3">
        <f t="shared" si="473"/>
        <v>0</v>
      </c>
      <c r="AY932" s="3">
        <f t="shared" si="473"/>
        <v>0</v>
      </c>
      <c r="AZ932" s="3">
        <f t="shared" si="473"/>
        <v>0</v>
      </c>
      <c r="BA932" s="3">
        <f t="shared" si="473"/>
        <v>0</v>
      </c>
      <c r="BB932" s="105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>
        <f t="shared" ref="BM932:BR932" si="474">BM922+BM928-BM931+BM926</f>
        <v>0</v>
      </c>
      <c r="BN932" s="3">
        <f t="shared" si="474"/>
        <v>0</v>
      </c>
      <c r="BO932" s="3">
        <f t="shared" si="474"/>
        <v>0</v>
      </c>
      <c r="BP932" s="3">
        <f t="shared" si="474"/>
        <v>0</v>
      </c>
      <c r="BQ932" s="3">
        <f t="shared" si="474"/>
        <v>605.37</v>
      </c>
      <c r="BR932" s="3">
        <f t="shared" si="474"/>
        <v>2479.75</v>
      </c>
      <c r="BS932" s="3">
        <f>BS922+BS923+BS926-BS931</f>
        <v>2099.23</v>
      </c>
      <c r="BT932" s="3">
        <f t="shared" ref="BT932:BU932" si="475">BT922+BT923+BT926-BT931</f>
        <v>2099.23</v>
      </c>
      <c r="BU932" s="3">
        <f t="shared" si="475"/>
        <v>2148.4299999999998</v>
      </c>
      <c r="BV932" s="3"/>
      <c r="BW932" s="3"/>
      <c r="BX932" s="105">
        <f>SUM(BD932:BV932)</f>
        <v>9432.01</v>
      </c>
      <c r="BY932" s="1"/>
      <c r="BZ932" s="1"/>
    </row>
    <row r="933" spans="1:81" ht="15.6" customHeight="1">
      <c r="A933" s="148" t="s">
        <v>346</v>
      </c>
      <c r="B933" s="148" t="s">
        <v>347</v>
      </c>
      <c r="C933" s="145" t="s">
        <v>310</v>
      </c>
      <c r="D933" s="145" t="s">
        <v>311</v>
      </c>
      <c r="E933" s="148" t="s">
        <v>312</v>
      </c>
      <c r="F933" s="148" t="s">
        <v>348</v>
      </c>
      <c r="G933" s="145" t="s">
        <v>314</v>
      </c>
      <c r="H933" s="145" t="s">
        <v>315</v>
      </c>
      <c r="I933" s="145" t="s">
        <v>349</v>
      </c>
      <c r="J933" s="146">
        <v>44105</v>
      </c>
      <c r="K933" s="146">
        <v>44136</v>
      </c>
      <c r="L933" s="146">
        <v>44166</v>
      </c>
      <c r="M933" s="146">
        <v>44197</v>
      </c>
      <c r="N933" s="146">
        <v>44228</v>
      </c>
      <c r="O933" s="146">
        <v>44256</v>
      </c>
      <c r="P933" s="146">
        <v>44287</v>
      </c>
      <c r="Q933" s="146">
        <v>44317</v>
      </c>
      <c r="R933" s="146">
        <v>44348</v>
      </c>
      <c r="S933" s="146">
        <v>44378</v>
      </c>
      <c r="T933" s="146">
        <v>44409</v>
      </c>
      <c r="U933" s="146">
        <v>44440</v>
      </c>
      <c r="V933" s="146">
        <v>44470</v>
      </c>
      <c r="W933" s="146">
        <v>44501</v>
      </c>
      <c r="X933" s="146">
        <v>44531</v>
      </c>
      <c r="Y933" s="146">
        <v>44562</v>
      </c>
      <c r="Z933" s="146">
        <v>44593</v>
      </c>
      <c r="AA933" s="146">
        <v>44621</v>
      </c>
      <c r="AB933" s="146">
        <v>44652</v>
      </c>
      <c r="AC933" s="146">
        <v>44682</v>
      </c>
      <c r="AD933" s="146">
        <v>44713</v>
      </c>
      <c r="AE933" s="146">
        <v>44743</v>
      </c>
      <c r="AF933" s="146">
        <v>44774</v>
      </c>
      <c r="AG933" s="146">
        <v>44805</v>
      </c>
      <c r="AH933" s="146">
        <v>44835</v>
      </c>
      <c r="AI933" s="146">
        <v>44866</v>
      </c>
      <c r="AJ933" s="146">
        <v>44896</v>
      </c>
      <c r="AK933" s="146">
        <v>44927</v>
      </c>
      <c r="AL933" s="146">
        <v>44958</v>
      </c>
      <c r="AM933" s="146">
        <v>44986</v>
      </c>
      <c r="AN933" s="146">
        <v>45017</v>
      </c>
      <c r="AO933" s="146">
        <v>45047</v>
      </c>
      <c r="AP933" s="146">
        <v>45078</v>
      </c>
      <c r="AQ933" s="146">
        <v>45108</v>
      </c>
      <c r="AR933" s="146">
        <v>45139</v>
      </c>
      <c r="AS933" s="146">
        <v>45170</v>
      </c>
      <c r="AT933" s="146">
        <v>45200</v>
      </c>
      <c r="AU933" s="146">
        <v>45231</v>
      </c>
      <c r="AV933" s="146">
        <v>45261</v>
      </c>
      <c r="AW933" s="146">
        <v>45292</v>
      </c>
      <c r="AX933" s="146">
        <v>45323</v>
      </c>
      <c r="AY933" s="146">
        <v>45352</v>
      </c>
      <c r="AZ933" s="146">
        <v>45383</v>
      </c>
      <c r="BA933" s="146">
        <v>45413</v>
      </c>
      <c r="BB933" s="146">
        <v>45444</v>
      </c>
      <c r="BC933" s="146">
        <v>45474</v>
      </c>
      <c r="BD933" s="146">
        <v>45505</v>
      </c>
      <c r="BE933" s="146">
        <v>45536</v>
      </c>
      <c r="BF933" s="146">
        <v>45566</v>
      </c>
      <c r="BG933" s="146">
        <v>45597</v>
      </c>
      <c r="BH933" s="146">
        <v>45627</v>
      </c>
      <c r="BI933" s="146">
        <v>45658</v>
      </c>
      <c r="BJ933" s="146">
        <v>45689</v>
      </c>
      <c r="BK933" s="146">
        <v>45717</v>
      </c>
      <c r="BL933" s="146">
        <v>45748</v>
      </c>
      <c r="BM933" s="146">
        <v>45778</v>
      </c>
      <c r="BN933" s="146">
        <v>45809</v>
      </c>
      <c r="BO933" s="146">
        <v>45839</v>
      </c>
      <c r="BP933" s="146">
        <v>45870</v>
      </c>
      <c r="BQ933" s="146">
        <v>45901</v>
      </c>
      <c r="BR933" s="146">
        <v>45931</v>
      </c>
      <c r="BS933" s="146">
        <v>45962</v>
      </c>
      <c r="BT933" s="146">
        <v>45992</v>
      </c>
      <c r="BU933" s="146">
        <v>46023</v>
      </c>
      <c r="BV933" s="146">
        <v>46054</v>
      </c>
      <c r="BW933" s="146">
        <v>46082</v>
      </c>
      <c r="BX933" s="147" t="s">
        <v>13</v>
      </c>
      <c r="BY933" s="5"/>
      <c r="BZ933" s="5"/>
      <c r="CA933" s="5"/>
    </row>
    <row r="934" spans="1:81" s="178" customFormat="1" ht="15.75" customHeight="1">
      <c r="A934" s="226">
        <v>70</v>
      </c>
      <c r="B934" s="227" t="s">
        <v>248</v>
      </c>
      <c r="C934" s="227" t="s">
        <v>23</v>
      </c>
      <c r="D934" s="227" t="s">
        <v>89</v>
      </c>
      <c r="E934" s="227" t="s">
        <v>150</v>
      </c>
      <c r="F934" s="227" t="s">
        <v>150</v>
      </c>
      <c r="G934" s="233">
        <v>45908</v>
      </c>
      <c r="H934" s="227"/>
      <c r="I934" s="175" t="s">
        <v>390</v>
      </c>
      <c r="J934" s="175"/>
      <c r="K934" s="175"/>
      <c r="L934" s="175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  <c r="AA934" s="176"/>
      <c r="AB934" s="176"/>
      <c r="AC934" s="176"/>
      <c r="AD934" s="176"/>
      <c r="AE934" s="176"/>
      <c r="AF934" s="176"/>
      <c r="AG934" s="176"/>
      <c r="AH934" s="176"/>
      <c r="AI934" s="176"/>
      <c r="AJ934" s="176"/>
      <c r="AK934" s="176"/>
      <c r="AL934" s="176"/>
      <c r="AM934" s="176"/>
      <c r="AN934" s="176"/>
      <c r="AO934" s="176"/>
      <c r="AP934" s="176"/>
      <c r="AQ934" s="176"/>
      <c r="AR934" s="176"/>
      <c r="AS934" s="176"/>
      <c r="AT934" s="176"/>
      <c r="AU934" s="176"/>
      <c r="AV934" s="176"/>
      <c r="AW934" s="176"/>
      <c r="AX934" s="176"/>
      <c r="AY934" s="176"/>
      <c r="AZ934" s="176"/>
      <c r="BA934" s="176"/>
      <c r="BB934" s="176"/>
      <c r="BC934" s="176"/>
      <c r="BD934" s="176"/>
      <c r="BE934" s="176"/>
      <c r="BF934" s="176"/>
      <c r="BG934" s="176"/>
      <c r="BH934" s="176"/>
      <c r="BI934" s="176"/>
      <c r="BJ934" s="176"/>
      <c r="BK934" s="176"/>
      <c r="BL934" s="176"/>
      <c r="BM934" s="176"/>
      <c r="BN934" s="176"/>
      <c r="BO934" s="176"/>
      <c r="BP934" s="176"/>
      <c r="BQ934" s="176"/>
      <c r="BR934" s="176"/>
      <c r="BS934" s="176"/>
      <c r="BT934" s="176"/>
      <c r="BU934" s="176"/>
      <c r="BV934" s="176"/>
      <c r="BW934" s="176"/>
      <c r="BX934" s="176"/>
      <c r="BY934" s="191"/>
      <c r="BZ934" s="191"/>
      <c r="CA934" s="191"/>
      <c r="CC934" s="182"/>
    </row>
    <row r="935" spans="1:81" s="178" customFormat="1" ht="15.75" customHeight="1">
      <c r="A935" s="226"/>
      <c r="B935" s="227"/>
      <c r="C935" s="227"/>
      <c r="D935" s="227"/>
      <c r="E935" s="227"/>
      <c r="F935" s="227"/>
      <c r="G935" s="227"/>
      <c r="H935" s="227"/>
      <c r="I935" s="175" t="s">
        <v>390</v>
      </c>
      <c r="J935" s="175"/>
      <c r="K935" s="175"/>
      <c r="L935" s="175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  <c r="AA935" s="176"/>
      <c r="AB935" s="176"/>
      <c r="AC935" s="176"/>
      <c r="AD935" s="176"/>
      <c r="AE935" s="176"/>
      <c r="AF935" s="176"/>
      <c r="AG935" s="176"/>
      <c r="AH935" s="176"/>
      <c r="AI935" s="176"/>
      <c r="AJ935" s="176"/>
      <c r="AK935" s="176"/>
      <c r="AL935" s="176"/>
      <c r="AM935" s="176"/>
      <c r="AN935" s="176"/>
      <c r="AO935" s="176"/>
      <c r="AP935" s="176"/>
      <c r="AQ935" s="176"/>
      <c r="AR935" s="176"/>
      <c r="AS935" s="176"/>
      <c r="AT935" s="176"/>
      <c r="AU935" s="176"/>
      <c r="AV935" s="176"/>
      <c r="AW935" s="176"/>
      <c r="AX935" s="176"/>
      <c r="AY935" s="176"/>
      <c r="AZ935" s="176"/>
      <c r="BA935" s="176"/>
      <c r="BB935" s="176"/>
      <c r="BC935" s="176"/>
      <c r="BD935" s="176"/>
      <c r="BE935" s="176"/>
      <c r="BF935" s="176"/>
      <c r="BG935" s="176"/>
      <c r="BH935" s="176"/>
      <c r="BI935" s="176"/>
      <c r="BJ935" s="176"/>
      <c r="BK935" s="176"/>
      <c r="BL935" s="176"/>
      <c r="BM935" s="176"/>
      <c r="BN935" s="176"/>
      <c r="BO935" s="176"/>
      <c r="BP935" s="176"/>
      <c r="BQ935" s="176">
        <v>1418.19</v>
      </c>
      <c r="BR935" s="176">
        <v>1849.81</v>
      </c>
      <c r="BS935" s="176">
        <v>2066.16</v>
      </c>
      <c r="BT935" s="176">
        <f>1849.81+65+0.07</f>
        <v>1914.8799999999999</v>
      </c>
      <c r="BU935" s="176">
        <f>1849.81+67.54</f>
        <v>1917.35</v>
      </c>
      <c r="BV935" s="176">
        <v>1917.35</v>
      </c>
      <c r="BW935" s="176">
        <v>1917.35</v>
      </c>
      <c r="BX935" s="176"/>
      <c r="BY935" s="191"/>
      <c r="BZ935" s="191"/>
      <c r="CA935" s="191"/>
      <c r="CC935" s="182"/>
    </row>
    <row r="936" spans="1:81" s="178" customFormat="1" ht="15.75" customHeight="1">
      <c r="A936" s="226"/>
      <c r="B936" s="227"/>
      <c r="C936" s="227"/>
      <c r="D936" s="227"/>
      <c r="E936" s="227"/>
      <c r="F936" s="227"/>
      <c r="G936" s="227"/>
      <c r="H936" s="227"/>
      <c r="I936" s="175" t="s">
        <v>385</v>
      </c>
      <c r="J936" s="175"/>
      <c r="K936" s="175"/>
      <c r="L936" s="175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7"/>
      <c r="Z936" s="176"/>
      <c r="AA936" s="176"/>
      <c r="AB936" s="176"/>
      <c r="AC936" s="176"/>
      <c r="AD936" s="176"/>
      <c r="AE936" s="176"/>
      <c r="AF936" s="176"/>
      <c r="AG936" s="176"/>
      <c r="AH936" s="176"/>
      <c r="AI936" s="176"/>
      <c r="AJ936" s="176"/>
      <c r="AK936" s="176"/>
      <c r="AL936" s="176"/>
      <c r="AM936" s="176"/>
      <c r="AN936" s="176"/>
      <c r="AO936" s="176"/>
      <c r="AP936" s="176"/>
      <c r="AQ936" s="176"/>
      <c r="AR936" s="176"/>
      <c r="AS936" s="176"/>
      <c r="AT936" s="176"/>
      <c r="AU936" s="176"/>
      <c r="AV936" s="176"/>
      <c r="AW936" s="176"/>
      <c r="AX936" s="176"/>
      <c r="AY936" s="176"/>
      <c r="AZ936" s="176"/>
      <c r="BA936" s="176"/>
      <c r="BB936" s="176"/>
      <c r="BC936" s="176"/>
      <c r="BD936" s="176"/>
      <c r="BE936" s="176"/>
      <c r="BF936" s="176"/>
      <c r="BG936" s="176"/>
      <c r="BH936" s="176"/>
      <c r="BI936" s="176"/>
      <c r="BJ936" s="176"/>
      <c r="BK936" s="176"/>
      <c r="BL936" s="176"/>
      <c r="BM936" s="176"/>
      <c r="BN936" s="176"/>
      <c r="BO936" s="176"/>
      <c r="BP936" s="176"/>
      <c r="BQ936" s="176"/>
      <c r="BR936" s="176"/>
      <c r="BS936" s="176">
        <v>700</v>
      </c>
      <c r="BT936" s="176"/>
      <c r="BU936" s="176"/>
      <c r="BV936" s="176"/>
      <c r="BW936" s="176">
        <v>203.48</v>
      </c>
      <c r="BX936" s="176"/>
      <c r="BY936" s="191"/>
      <c r="BZ936" s="191"/>
      <c r="CA936" s="191"/>
      <c r="CC936" s="182"/>
    </row>
    <row r="937" spans="1:81" s="178" customFormat="1" ht="15.75" customHeight="1">
      <c r="A937" s="226"/>
      <c r="B937" s="227"/>
      <c r="C937" s="227"/>
      <c r="D937" s="227"/>
      <c r="E937" s="227"/>
      <c r="F937" s="227"/>
      <c r="G937" s="227"/>
      <c r="H937" s="227"/>
      <c r="I937" s="175" t="s">
        <v>351</v>
      </c>
      <c r="J937" s="175"/>
      <c r="K937" s="175"/>
      <c r="L937" s="175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7"/>
      <c r="Z937" s="176"/>
      <c r="AA937" s="176"/>
      <c r="AB937" s="176"/>
      <c r="AC937" s="176"/>
      <c r="AD937" s="176"/>
      <c r="AE937" s="176"/>
      <c r="AF937" s="176"/>
      <c r="AG937" s="176"/>
      <c r="AH937" s="176"/>
      <c r="AI937" s="176"/>
      <c r="AJ937" s="176"/>
      <c r="AK937" s="176"/>
      <c r="AL937" s="176"/>
      <c r="AM937" s="176"/>
      <c r="AN937" s="176"/>
      <c r="AO937" s="176"/>
      <c r="AP937" s="176"/>
      <c r="AQ937" s="176"/>
      <c r="AR937" s="176"/>
      <c r="AS937" s="176"/>
      <c r="AT937" s="176"/>
      <c r="AU937" s="176"/>
      <c r="AV937" s="176"/>
      <c r="AW937" s="176"/>
      <c r="AX937" s="176"/>
      <c r="AY937" s="176"/>
      <c r="AZ937" s="176"/>
      <c r="BA937" s="176"/>
      <c r="BB937" s="176"/>
      <c r="BC937" s="176"/>
      <c r="BD937" s="176"/>
      <c r="BE937" s="176"/>
      <c r="BF937" s="176"/>
      <c r="BG937" s="176"/>
      <c r="BH937" s="176"/>
      <c r="BI937" s="176"/>
      <c r="BJ937" s="176"/>
      <c r="BK937" s="176"/>
      <c r="BL937" s="176"/>
      <c r="BM937" s="176"/>
      <c r="BN937" s="176"/>
      <c r="BO937" s="176"/>
      <c r="BP937" s="176"/>
      <c r="BQ937" s="176"/>
      <c r="BR937" s="176"/>
      <c r="BS937" s="176"/>
      <c r="BT937" s="176"/>
      <c r="BU937" s="176"/>
      <c r="BV937" s="176"/>
      <c r="BW937" s="176"/>
      <c r="BX937" s="176"/>
      <c r="BY937" s="191"/>
      <c r="BZ937" s="191"/>
      <c r="CA937" s="191"/>
      <c r="CC937" s="182"/>
    </row>
    <row r="938" spans="1:81" s="178" customFormat="1" ht="15.75" customHeight="1">
      <c r="A938" s="226"/>
      <c r="B938" s="227"/>
      <c r="C938" s="227"/>
      <c r="D938" s="227"/>
      <c r="E938" s="227"/>
      <c r="F938" s="227"/>
      <c r="G938" s="227"/>
      <c r="H938" s="227"/>
      <c r="I938" s="175" t="s">
        <v>353</v>
      </c>
      <c r="J938" s="175"/>
      <c r="K938" s="175"/>
      <c r="L938" s="175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  <c r="AA938" s="176"/>
      <c r="AB938" s="176"/>
      <c r="AC938" s="176"/>
      <c r="AD938" s="176"/>
      <c r="AE938" s="176"/>
      <c r="AF938" s="176"/>
      <c r="AG938" s="176"/>
      <c r="AH938" s="176"/>
      <c r="AI938" s="176"/>
      <c r="AJ938" s="176"/>
      <c r="AK938" s="176"/>
      <c r="AL938" s="176"/>
      <c r="AM938" s="176"/>
      <c r="AN938" s="176"/>
      <c r="AO938" s="176"/>
      <c r="AP938" s="176"/>
      <c r="AQ938" s="176"/>
      <c r="AR938" s="176"/>
      <c r="AS938" s="176"/>
      <c r="AT938" s="176"/>
      <c r="AU938" s="176"/>
      <c r="AV938" s="176"/>
      <c r="AW938" s="176"/>
      <c r="AX938" s="176"/>
      <c r="AY938" s="176"/>
      <c r="AZ938" s="176"/>
      <c r="BA938" s="176"/>
      <c r="BB938" s="176"/>
      <c r="BC938" s="176"/>
      <c r="BD938" s="176"/>
      <c r="BE938" s="176"/>
      <c r="BF938" s="176"/>
      <c r="BG938" s="176"/>
      <c r="BH938" s="176"/>
      <c r="BI938" s="176"/>
      <c r="BJ938" s="176"/>
      <c r="BK938" s="176"/>
      <c r="BL938" s="176"/>
      <c r="BM938" s="176"/>
      <c r="BN938" s="176"/>
      <c r="BO938" s="176"/>
      <c r="BP938" s="176"/>
      <c r="BQ938" s="176"/>
      <c r="BR938" s="176"/>
      <c r="BS938" s="176"/>
      <c r="BT938" s="176"/>
      <c r="BU938" s="176"/>
      <c r="BV938" s="176"/>
      <c r="BW938" s="176">
        <f>2.32+67.54+11.6</f>
        <v>81.459999999999994</v>
      </c>
      <c r="BX938" s="176"/>
      <c r="BY938" s="191"/>
      <c r="BZ938" s="191"/>
      <c r="CA938" s="191"/>
      <c r="CC938" s="182"/>
    </row>
    <row r="939" spans="1:81" s="178" customFormat="1" ht="15.75" customHeight="1">
      <c r="A939" s="226"/>
      <c r="B939" s="227"/>
      <c r="C939" s="227"/>
      <c r="D939" s="227"/>
      <c r="E939" s="227"/>
      <c r="F939" s="227"/>
      <c r="G939" s="227"/>
      <c r="H939" s="227"/>
      <c r="I939" s="175" t="s">
        <v>354</v>
      </c>
      <c r="J939" s="175"/>
      <c r="K939" s="175"/>
      <c r="L939" s="175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  <c r="AA939" s="176"/>
      <c r="AB939" s="176"/>
      <c r="AC939" s="176"/>
      <c r="AD939" s="176"/>
      <c r="AE939" s="176"/>
      <c r="AF939" s="176"/>
      <c r="AG939" s="176"/>
      <c r="AH939" s="176"/>
      <c r="AI939" s="176"/>
      <c r="AJ939" s="176"/>
      <c r="AK939" s="176"/>
      <c r="AL939" s="176"/>
      <c r="AM939" s="176"/>
      <c r="AN939" s="176"/>
      <c r="AO939" s="176"/>
      <c r="AP939" s="176"/>
      <c r="AQ939" s="176"/>
      <c r="AR939" s="176"/>
      <c r="AS939" s="176"/>
      <c r="AT939" s="176"/>
      <c r="AU939" s="176"/>
      <c r="AV939" s="176"/>
      <c r="AW939" s="176"/>
      <c r="AX939" s="176"/>
      <c r="AY939" s="176"/>
      <c r="AZ939" s="176"/>
      <c r="BA939" s="176"/>
      <c r="BB939" s="176"/>
      <c r="BC939" s="176"/>
      <c r="BD939" s="176"/>
      <c r="BE939" s="176"/>
      <c r="BF939" s="176"/>
      <c r="BG939" s="176"/>
      <c r="BH939" s="176"/>
      <c r="BI939" s="176"/>
      <c r="BJ939" s="176"/>
      <c r="BK939" s="176"/>
      <c r="BL939" s="176"/>
      <c r="BM939" s="176"/>
      <c r="BN939" s="176"/>
      <c r="BO939" s="176"/>
      <c r="BP939" s="176"/>
      <c r="BQ939" s="176">
        <v>374.75</v>
      </c>
      <c r="BR939" s="176">
        <v>630.5</v>
      </c>
      <c r="BS939" s="176">
        <f>316.5+320</f>
        <v>636.5</v>
      </c>
      <c r="BT939" s="176">
        <v>636.5</v>
      </c>
      <c r="BU939" s="176">
        <f>364+320</f>
        <v>684</v>
      </c>
      <c r="BV939" s="176">
        <f>380.8+320</f>
        <v>700.8</v>
      </c>
      <c r="BW939" s="176">
        <f>408+320</f>
        <v>728</v>
      </c>
      <c r="BX939" s="176"/>
      <c r="BY939" s="191"/>
      <c r="BZ939" s="191"/>
      <c r="CA939" s="191"/>
      <c r="CC939" s="182"/>
    </row>
    <row r="940" spans="1:81" s="178" customFormat="1" ht="15.75" customHeight="1">
      <c r="A940" s="226"/>
      <c r="B940" s="227"/>
      <c r="C940" s="227"/>
      <c r="D940" s="227"/>
      <c r="E940" s="227"/>
      <c r="F940" s="227"/>
      <c r="G940" s="227"/>
      <c r="H940" s="227"/>
      <c r="I940" s="175" t="s">
        <v>355</v>
      </c>
      <c r="J940" s="175"/>
      <c r="K940" s="175"/>
      <c r="L940" s="175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  <c r="AA940" s="176"/>
      <c r="AB940" s="176"/>
      <c r="AC940" s="176"/>
      <c r="AD940" s="176"/>
      <c r="AE940" s="176"/>
      <c r="AF940" s="176"/>
      <c r="AG940" s="176"/>
      <c r="AH940" s="176"/>
      <c r="AI940" s="176"/>
      <c r="AJ940" s="176"/>
      <c r="AK940" s="176"/>
      <c r="AL940" s="176"/>
      <c r="AM940" s="176"/>
      <c r="AN940" s="176"/>
      <c r="AO940" s="176"/>
      <c r="AP940" s="176"/>
      <c r="AQ940" s="176"/>
      <c r="AR940" s="176"/>
      <c r="AS940" s="176"/>
      <c r="AT940" s="176"/>
      <c r="AU940" s="176"/>
      <c r="AV940" s="176"/>
      <c r="AW940" s="176"/>
      <c r="AX940" s="176"/>
      <c r="AY940" s="176"/>
      <c r="AZ940" s="176"/>
      <c r="BA940" s="176"/>
      <c r="BB940" s="176"/>
      <c r="BC940" s="176"/>
      <c r="BD940" s="176"/>
      <c r="BE940" s="176"/>
      <c r="BF940" s="176"/>
      <c r="BG940" s="176"/>
      <c r="BH940" s="176"/>
      <c r="BI940" s="176"/>
      <c r="BJ940" s="176"/>
      <c r="BK940" s="176"/>
      <c r="BL940" s="176"/>
      <c r="BM940" s="176"/>
      <c r="BN940" s="176"/>
      <c r="BO940" s="176"/>
      <c r="BP940" s="176"/>
      <c r="BQ940" s="176"/>
      <c r="BR940" s="176"/>
      <c r="BS940" s="176"/>
      <c r="BT940" s="176"/>
      <c r="BU940" s="176"/>
      <c r="BV940" s="176"/>
      <c r="BW940" s="176"/>
      <c r="BX940" s="176"/>
      <c r="BY940" s="191"/>
      <c r="BZ940" s="191"/>
      <c r="CA940" s="191"/>
      <c r="CC940" s="182"/>
    </row>
    <row r="941" spans="1:81" s="178" customFormat="1" ht="15.75" customHeight="1">
      <c r="A941" s="226"/>
      <c r="B941" s="227"/>
      <c r="C941" s="227"/>
      <c r="D941" s="227"/>
      <c r="E941" s="227"/>
      <c r="F941" s="227"/>
      <c r="G941" s="227"/>
      <c r="H941" s="227"/>
      <c r="I941" s="175" t="s">
        <v>357</v>
      </c>
      <c r="J941" s="175"/>
      <c r="K941" s="175"/>
      <c r="L941" s="175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  <c r="AA941" s="176"/>
      <c r="AB941" s="176"/>
      <c r="AC941" s="176"/>
      <c r="AD941" s="176"/>
      <c r="AE941" s="176"/>
      <c r="AF941" s="176"/>
      <c r="AG941" s="176"/>
      <c r="AH941" s="176"/>
      <c r="AI941" s="176"/>
      <c r="AJ941" s="176"/>
      <c r="AK941" s="176"/>
      <c r="AL941" s="176"/>
      <c r="AM941" s="176"/>
      <c r="AN941" s="176"/>
      <c r="AO941" s="176"/>
      <c r="AP941" s="176"/>
      <c r="AQ941" s="176"/>
      <c r="AR941" s="176"/>
      <c r="AS941" s="176"/>
      <c r="AT941" s="176"/>
      <c r="AU941" s="176"/>
      <c r="AV941" s="176"/>
      <c r="AW941" s="176"/>
      <c r="AX941" s="176"/>
      <c r="AY941" s="176"/>
      <c r="AZ941" s="176"/>
      <c r="BA941" s="176"/>
      <c r="BB941" s="176"/>
      <c r="BC941" s="176"/>
      <c r="BD941" s="176"/>
      <c r="BE941" s="176"/>
      <c r="BF941" s="176"/>
      <c r="BG941" s="176"/>
      <c r="BH941" s="176"/>
      <c r="BI941" s="176"/>
      <c r="BJ941" s="176"/>
      <c r="BK941" s="176"/>
      <c r="BL941" s="176"/>
      <c r="BM941" s="176"/>
      <c r="BN941" s="176"/>
      <c r="BO941" s="176"/>
      <c r="BP941" s="176"/>
      <c r="BQ941" s="176"/>
      <c r="BR941" s="176"/>
      <c r="BS941" s="176"/>
      <c r="BT941" s="176"/>
      <c r="BU941" s="176"/>
      <c r="BV941" s="176"/>
      <c r="BW941" s="176"/>
      <c r="BX941" s="176"/>
      <c r="BY941" s="191"/>
      <c r="BZ941" s="191"/>
      <c r="CA941" s="191"/>
      <c r="CC941" s="182"/>
    </row>
    <row r="942" spans="1:81" s="178" customFormat="1" ht="15.75" customHeight="1">
      <c r="A942" s="226"/>
      <c r="B942" s="227"/>
      <c r="C942" s="227"/>
      <c r="D942" s="227"/>
      <c r="E942" s="227"/>
      <c r="F942" s="227"/>
      <c r="G942" s="227"/>
      <c r="H942" s="227"/>
      <c r="I942" s="184" t="s">
        <v>362</v>
      </c>
      <c r="J942" s="175"/>
      <c r="K942" s="175"/>
      <c r="L942" s="175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  <c r="AA942" s="176"/>
      <c r="AB942" s="176"/>
      <c r="AC942" s="176"/>
      <c r="AD942" s="176"/>
      <c r="AE942" s="176"/>
      <c r="AF942" s="176"/>
      <c r="AG942" s="176"/>
      <c r="AH942" s="176"/>
      <c r="AI942" s="176"/>
      <c r="AJ942" s="176"/>
      <c r="AK942" s="176"/>
      <c r="AL942" s="176"/>
      <c r="AM942" s="176"/>
      <c r="AN942" s="176"/>
      <c r="AO942" s="176"/>
      <c r="AP942" s="176"/>
      <c r="AQ942" s="176"/>
      <c r="AR942" s="176"/>
      <c r="AS942" s="176"/>
      <c r="AT942" s="176"/>
      <c r="AU942" s="176"/>
      <c r="AV942" s="176"/>
      <c r="AW942" s="176"/>
      <c r="AX942" s="176"/>
      <c r="AY942" s="176"/>
      <c r="AZ942" s="176"/>
      <c r="BA942" s="176"/>
      <c r="BB942" s="176"/>
      <c r="BC942" s="176"/>
      <c r="BD942" s="176"/>
      <c r="BE942" s="176"/>
      <c r="BF942" s="176"/>
      <c r="BG942" s="176"/>
      <c r="BH942" s="176"/>
      <c r="BI942" s="176"/>
      <c r="BJ942" s="176"/>
      <c r="BK942" s="176"/>
      <c r="BL942" s="176"/>
      <c r="BM942" s="176"/>
      <c r="BN942" s="176"/>
      <c r="BO942" s="176"/>
      <c r="BP942" s="176"/>
      <c r="BQ942" s="176"/>
      <c r="BR942" s="176"/>
      <c r="BS942" s="176"/>
      <c r="BT942" s="176"/>
      <c r="BU942" s="176"/>
      <c r="BV942" s="176"/>
      <c r="BW942" s="176"/>
      <c r="BX942" s="176"/>
      <c r="BY942" s="191"/>
      <c r="BZ942" s="191"/>
      <c r="CA942" s="191"/>
      <c r="CC942" s="182"/>
    </row>
    <row r="943" spans="1:81" s="178" customFormat="1">
      <c r="A943" s="226"/>
      <c r="B943" s="227"/>
      <c r="C943" s="227"/>
      <c r="D943" s="227"/>
      <c r="E943" s="227"/>
      <c r="F943" s="227"/>
      <c r="G943" s="227"/>
      <c r="H943" s="227"/>
      <c r="I943" s="190" t="s">
        <v>363</v>
      </c>
      <c r="J943" s="190"/>
      <c r="K943" s="190"/>
      <c r="L943" s="190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  <c r="AA943" s="176"/>
      <c r="AB943" s="176"/>
      <c r="AC943" s="176"/>
      <c r="AD943" s="176"/>
      <c r="AE943" s="176"/>
      <c r="AF943" s="176"/>
      <c r="AG943" s="176"/>
      <c r="AH943" s="176"/>
      <c r="AI943" s="176"/>
      <c r="AJ943" s="176"/>
      <c r="AK943" s="176"/>
      <c r="AL943" s="176"/>
      <c r="AM943" s="176"/>
      <c r="AN943" s="176"/>
      <c r="AO943" s="176"/>
      <c r="AP943" s="176"/>
      <c r="AQ943" s="176"/>
      <c r="AR943" s="176"/>
      <c r="AS943" s="176"/>
      <c r="AT943" s="176"/>
      <c r="AU943" s="176"/>
      <c r="AV943" s="176"/>
      <c r="AW943" s="176"/>
      <c r="AX943" s="176"/>
      <c r="AY943" s="176"/>
      <c r="AZ943" s="176"/>
      <c r="BA943" s="176"/>
      <c r="BB943" s="176"/>
      <c r="BC943" s="176"/>
      <c r="BD943" s="176"/>
      <c r="BE943" s="176"/>
      <c r="BF943" s="176"/>
      <c r="BG943" s="176"/>
      <c r="BH943" s="176"/>
      <c r="BI943" s="176"/>
      <c r="BJ943" s="176"/>
      <c r="BK943" s="176"/>
      <c r="BL943" s="176"/>
      <c r="BM943" s="176"/>
      <c r="BN943" s="176"/>
      <c r="BO943" s="176"/>
      <c r="BP943" s="176"/>
      <c r="BQ943" s="176"/>
      <c r="BR943" s="176"/>
      <c r="BS943" s="176"/>
      <c r="BT943" s="176"/>
      <c r="BU943" s="176"/>
      <c r="BV943" s="176"/>
      <c r="BW943" s="176"/>
      <c r="BX943" s="176"/>
      <c r="BY943" s="191"/>
      <c r="BZ943" s="191"/>
    </row>
    <row r="944" spans="1:81" s="178" customFormat="1">
      <c r="A944" s="226"/>
      <c r="B944" s="227"/>
      <c r="C944" s="227"/>
      <c r="D944" s="227"/>
      <c r="E944" s="227"/>
      <c r="F944" s="227"/>
      <c r="G944" s="227"/>
      <c r="H944" s="227"/>
      <c r="I944" s="193" t="s">
        <v>373</v>
      </c>
      <c r="J944" s="193"/>
      <c r="K944" s="193"/>
      <c r="L944" s="193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  <c r="AA944" s="176"/>
      <c r="AB944" s="176"/>
      <c r="AC944" s="176"/>
      <c r="AD944" s="176"/>
      <c r="AE944" s="176"/>
      <c r="AF944" s="176"/>
      <c r="AG944" s="176"/>
      <c r="AH944" s="176"/>
      <c r="AI944" s="176"/>
      <c r="AJ944" s="176"/>
      <c r="AK944" s="176"/>
      <c r="AL944" s="176"/>
      <c r="AM944" s="176"/>
      <c r="AN944" s="176"/>
      <c r="AO944" s="176"/>
      <c r="AP944" s="176"/>
      <c r="AQ944" s="176"/>
      <c r="AR944" s="176"/>
      <c r="AS944" s="176"/>
      <c r="AT944" s="176"/>
      <c r="AU944" s="176"/>
      <c r="AV944" s="176"/>
      <c r="AW944" s="176"/>
      <c r="AX944" s="176"/>
      <c r="AY944" s="176"/>
      <c r="AZ944" s="176"/>
      <c r="BA944" s="176"/>
      <c r="BB944" s="176"/>
      <c r="BC944" s="176"/>
      <c r="BD944" s="176"/>
      <c r="BE944" s="176"/>
      <c r="BF944" s="176"/>
      <c r="BG944" s="176"/>
      <c r="BH944" s="176"/>
      <c r="BI944" s="176"/>
      <c r="BJ944" s="176"/>
      <c r="BK944" s="176"/>
      <c r="BL944" s="176"/>
      <c r="BM944" s="176"/>
      <c r="BN944" s="176"/>
      <c r="BO944" s="176"/>
      <c r="BP944" s="176"/>
      <c r="BQ944" s="176">
        <v>196.36</v>
      </c>
      <c r="BR944" s="176">
        <v>255.96</v>
      </c>
      <c r="BS944" s="176">
        <v>846.99</v>
      </c>
      <c r="BT944" s="176">
        <f>844.73-700</f>
        <v>144.73000000000002</v>
      </c>
      <c r="BU944" s="176">
        <f>844.73-700</f>
        <v>144.73000000000002</v>
      </c>
      <c r="BV944" s="176">
        <f>844.73-700</f>
        <v>144.73000000000002</v>
      </c>
      <c r="BW944" s="176">
        <f>1102.84-739.92</f>
        <v>362.91999999999996</v>
      </c>
      <c r="BX944" s="176"/>
      <c r="BY944" s="191"/>
      <c r="BZ944" s="191"/>
    </row>
    <row r="945" spans="1:81" s="178" customFormat="1">
      <c r="A945" s="226"/>
      <c r="B945" s="227"/>
      <c r="C945" s="227"/>
      <c r="D945" s="227"/>
      <c r="E945" s="227"/>
      <c r="F945" s="227"/>
      <c r="G945" s="227"/>
      <c r="H945" s="227"/>
      <c r="I945" s="190"/>
      <c r="J945" s="176">
        <f>SUM(J934:J943)-J944</f>
        <v>0</v>
      </c>
      <c r="K945" s="176">
        <f t="shared" ref="K945:Y945" si="476">SUM(K934:K943)-K944</f>
        <v>0</v>
      </c>
      <c r="L945" s="176">
        <f t="shared" si="476"/>
        <v>0</v>
      </c>
      <c r="M945" s="176">
        <f t="shared" si="476"/>
        <v>0</v>
      </c>
      <c r="N945" s="176">
        <f t="shared" si="476"/>
        <v>0</v>
      </c>
      <c r="O945" s="176">
        <f t="shared" si="476"/>
        <v>0</v>
      </c>
      <c r="P945" s="176">
        <f t="shared" si="476"/>
        <v>0</v>
      </c>
      <c r="Q945" s="176">
        <f t="shared" si="476"/>
        <v>0</v>
      </c>
      <c r="R945" s="176">
        <f t="shared" si="476"/>
        <v>0</v>
      </c>
      <c r="S945" s="176">
        <f t="shared" si="476"/>
        <v>0</v>
      </c>
      <c r="T945" s="176">
        <f t="shared" si="476"/>
        <v>0</v>
      </c>
      <c r="U945" s="176">
        <f t="shared" si="476"/>
        <v>0</v>
      </c>
      <c r="V945" s="176">
        <f t="shared" si="476"/>
        <v>0</v>
      </c>
      <c r="W945" s="176">
        <f t="shared" si="476"/>
        <v>0</v>
      </c>
      <c r="X945" s="176">
        <f t="shared" si="476"/>
        <v>0</v>
      </c>
      <c r="Y945" s="176">
        <f t="shared" si="476"/>
        <v>0</v>
      </c>
      <c r="Z945" s="176">
        <f>SUM(Z934:Z943)-Z944</f>
        <v>0</v>
      </c>
      <c r="AA945" s="176">
        <f t="shared" ref="AA945:AD945" si="477">SUM(AA934:AA943)-AA944</f>
        <v>0</v>
      </c>
      <c r="AB945" s="176">
        <f t="shared" si="477"/>
        <v>0</v>
      </c>
      <c r="AC945" s="176">
        <f t="shared" si="477"/>
        <v>0</v>
      </c>
      <c r="AD945" s="176">
        <f t="shared" si="477"/>
        <v>0</v>
      </c>
      <c r="AE945" s="176">
        <f>SUM(AE934:AE943)-AE944</f>
        <v>0</v>
      </c>
      <c r="AF945" s="176">
        <f>SUM(AF934:AF943)-AF944</f>
        <v>0</v>
      </c>
      <c r="AG945" s="176">
        <f t="shared" ref="AG945:AP945" si="478">SUM(AG934:AG943)-AG944</f>
        <v>0</v>
      </c>
      <c r="AH945" s="176">
        <f t="shared" si="478"/>
        <v>0</v>
      </c>
      <c r="AI945" s="176">
        <f t="shared" si="478"/>
        <v>0</v>
      </c>
      <c r="AJ945" s="176">
        <f t="shared" si="478"/>
        <v>0</v>
      </c>
      <c r="AK945" s="176">
        <f t="shared" si="478"/>
        <v>0</v>
      </c>
      <c r="AL945" s="176">
        <f t="shared" si="478"/>
        <v>0</v>
      </c>
      <c r="AM945" s="176">
        <f t="shared" si="478"/>
        <v>0</v>
      </c>
      <c r="AN945" s="176">
        <f t="shared" si="478"/>
        <v>0</v>
      </c>
      <c r="AO945" s="176">
        <f t="shared" si="478"/>
        <v>0</v>
      </c>
      <c r="AP945" s="176">
        <f t="shared" si="478"/>
        <v>0</v>
      </c>
      <c r="AQ945" s="176">
        <f t="shared" ref="AQ945:AU945" si="479">SUM(AQ934:AQ943)-AQ944</f>
        <v>0</v>
      </c>
      <c r="AR945" s="176">
        <f t="shared" si="479"/>
        <v>0</v>
      </c>
      <c r="AS945" s="176">
        <f t="shared" si="479"/>
        <v>0</v>
      </c>
      <c r="AT945" s="176">
        <f t="shared" si="479"/>
        <v>0</v>
      </c>
      <c r="AU945" s="176">
        <f t="shared" si="479"/>
        <v>0</v>
      </c>
      <c r="AV945" s="176">
        <f>SUM(AV934:AV943)-AV944</f>
        <v>0</v>
      </c>
      <c r="AW945" s="176">
        <f t="shared" ref="AW945:BA945" si="480">SUM(AW934:AW943)-AW944</f>
        <v>0</v>
      </c>
      <c r="AX945" s="176">
        <f t="shared" si="480"/>
        <v>0</v>
      </c>
      <c r="AY945" s="176">
        <f t="shared" si="480"/>
        <v>0</v>
      </c>
      <c r="AZ945" s="176">
        <f t="shared" si="480"/>
        <v>0</v>
      </c>
      <c r="BA945" s="176">
        <f t="shared" si="480"/>
        <v>0</v>
      </c>
      <c r="BB945" s="176"/>
      <c r="BC945" s="176"/>
      <c r="BD945" s="176"/>
      <c r="BE945" s="176"/>
      <c r="BF945" s="176"/>
      <c r="BG945" s="176"/>
      <c r="BH945" s="176"/>
      <c r="BI945" s="176"/>
      <c r="BJ945" s="176"/>
      <c r="BK945" s="176"/>
      <c r="BL945" s="176"/>
      <c r="BM945" s="176">
        <f t="shared" ref="BM945:BR945" si="481">BM935+BM941-BM944+BM939</f>
        <v>0</v>
      </c>
      <c r="BN945" s="176">
        <f t="shared" si="481"/>
        <v>0</v>
      </c>
      <c r="BO945" s="176">
        <f t="shared" si="481"/>
        <v>0</v>
      </c>
      <c r="BP945" s="176">
        <f t="shared" si="481"/>
        <v>0</v>
      </c>
      <c r="BQ945" s="176">
        <f t="shared" si="481"/>
        <v>1596.58</v>
      </c>
      <c r="BR945" s="176">
        <f t="shared" si="481"/>
        <v>2224.35</v>
      </c>
      <c r="BS945" s="176">
        <f>BS935+BS936+BS939-BS944</f>
        <v>2555.67</v>
      </c>
      <c r="BT945" s="176">
        <f>BT935+BT936+BT939-BT944</f>
        <v>2406.65</v>
      </c>
      <c r="BU945" s="176">
        <f>BU935+BU936+BU939-BU944</f>
        <v>2456.62</v>
      </c>
      <c r="BV945" s="176">
        <f>BV935+BV936+BV939-BV944</f>
        <v>2473.4199999999996</v>
      </c>
      <c r="BW945" s="176">
        <f>BW935+BW938+BW939-BW944+BW936</f>
        <v>2567.37</v>
      </c>
      <c r="BX945" s="176">
        <f>SUM(BD945:BW945)</f>
        <v>16280.66</v>
      </c>
      <c r="BY945" s="191"/>
      <c r="BZ945" s="191"/>
    </row>
    <row r="946" spans="1:81" ht="15.6" customHeight="1">
      <c r="A946" s="148" t="s">
        <v>346</v>
      </c>
      <c r="B946" s="148" t="s">
        <v>347</v>
      </c>
      <c r="C946" s="145" t="s">
        <v>310</v>
      </c>
      <c r="D946" s="145" t="s">
        <v>311</v>
      </c>
      <c r="E946" s="148" t="s">
        <v>312</v>
      </c>
      <c r="F946" s="148" t="s">
        <v>348</v>
      </c>
      <c r="G946" s="145" t="s">
        <v>314</v>
      </c>
      <c r="H946" s="145" t="s">
        <v>315</v>
      </c>
      <c r="I946" s="145" t="s">
        <v>349</v>
      </c>
      <c r="J946" s="146">
        <v>44105</v>
      </c>
      <c r="K946" s="146">
        <v>44136</v>
      </c>
      <c r="L946" s="146">
        <v>44166</v>
      </c>
      <c r="M946" s="146">
        <v>44197</v>
      </c>
      <c r="N946" s="146">
        <v>44228</v>
      </c>
      <c r="O946" s="146">
        <v>44256</v>
      </c>
      <c r="P946" s="146">
        <v>44287</v>
      </c>
      <c r="Q946" s="146">
        <v>44317</v>
      </c>
      <c r="R946" s="146">
        <v>44348</v>
      </c>
      <c r="S946" s="146">
        <v>44378</v>
      </c>
      <c r="T946" s="146">
        <v>44409</v>
      </c>
      <c r="U946" s="146">
        <v>44440</v>
      </c>
      <c r="V946" s="146">
        <v>44470</v>
      </c>
      <c r="W946" s="146">
        <v>44501</v>
      </c>
      <c r="X946" s="146">
        <v>44531</v>
      </c>
      <c r="Y946" s="146">
        <v>44562</v>
      </c>
      <c r="Z946" s="146">
        <v>44593</v>
      </c>
      <c r="AA946" s="146">
        <v>44621</v>
      </c>
      <c r="AB946" s="146">
        <v>44652</v>
      </c>
      <c r="AC946" s="146">
        <v>44682</v>
      </c>
      <c r="AD946" s="146">
        <v>44713</v>
      </c>
      <c r="AE946" s="146">
        <v>44743</v>
      </c>
      <c r="AF946" s="146">
        <v>44774</v>
      </c>
      <c r="AG946" s="146">
        <v>44805</v>
      </c>
      <c r="AH946" s="146">
        <v>44835</v>
      </c>
      <c r="AI946" s="146">
        <v>44866</v>
      </c>
      <c r="AJ946" s="146">
        <v>44896</v>
      </c>
      <c r="AK946" s="146">
        <v>44927</v>
      </c>
      <c r="AL946" s="146">
        <v>44958</v>
      </c>
      <c r="AM946" s="146">
        <v>44986</v>
      </c>
      <c r="AN946" s="146">
        <v>45017</v>
      </c>
      <c r="AO946" s="146">
        <v>45047</v>
      </c>
      <c r="AP946" s="146">
        <v>45078</v>
      </c>
      <c r="AQ946" s="146">
        <v>45108</v>
      </c>
      <c r="AR946" s="146">
        <v>45139</v>
      </c>
      <c r="AS946" s="146">
        <v>45170</v>
      </c>
      <c r="AT946" s="146">
        <v>45200</v>
      </c>
      <c r="AU946" s="146">
        <v>45231</v>
      </c>
      <c r="AV946" s="146">
        <v>45261</v>
      </c>
      <c r="AW946" s="146">
        <v>45292</v>
      </c>
      <c r="AX946" s="146">
        <v>45323</v>
      </c>
      <c r="AY946" s="146">
        <v>45352</v>
      </c>
      <c r="AZ946" s="146">
        <v>45383</v>
      </c>
      <c r="BA946" s="146">
        <v>45413</v>
      </c>
      <c r="BB946" s="146">
        <v>45444</v>
      </c>
      <c r="BC946" s="146">
        <v>45474</v>
      </c>
      <c r="BD946" s="146">
        <v>45505</v>
      </c>
      <c r="BE946" s="146">
        <v>45536</v>
      </c>
      <c r="BF946" s="146">
        <v>45566</v>
      </c>
      <c r="BG946" s="146">
        <v>45597</v>
      </c>
      <c r="BH946" s="146">
        <v>45627</v>
      </c>
      <c r="BI946" s="146">
        <v>45658</v>
      </c>
      <c r="BJ946" s="146">
        <v>45689</v>
      </c>
      <c r="BK946" s="146">
        <v>45717</v>
      </c>
      <c r="BL946" s="146">
        <v>45748</v>
      </c>
      <c r="BM946" s="146">
        <v>45778</v>
      </c>
      <c r="BN946" s="146">
        <v>45809</v>
      </c>
      <c r="BO946" s="146">
        <v>45839</v>
      </c>
      <c r="BP946" s="146">
        <v>45870</v>
      </c>
      <c r="BQ946" s="146">
        <v>45901</v>
      </c>
      <c r="BR946" s="146">
        <v>45931</v>
      </c>
      <c r="BS946" s="146">
        <v>45962</v>
      </c>
      <c r="BT946" s="146">
        <v>45992</v>
      </c>
      <c r="BU946" s="146">
        <v>46023</v>
      </c>
      <c r="BV946" s="146">
        <v>46054</v>
      </c>
      <c r="BW946" s="146">
        <v>46082</v>
      </c>
      <c r="BX946" s="147" t="s">
        <v>13</v>
      </c>
      <c r="BY946" s="5"/>
      <c r="BZ946" s="5"/>
      <c r="CA946" s="5"/>
    </row>
    <row r="947" spans="1:81" s="178" customFormat="1" ht="15.75" customHeight="1">
      <c r="A947" s="226">
        <v>71</v>
      </c>
      <c r="B947" s="227" t="s">
        <v>270</v>
      </c>
      <c r="C947" s="227" t="s">
        <v>23</v>
      </c>
      <c r="D947" s="227" t="s">
        <v>89</v>
      </c>
      <c r="E947" s="227" t="s">
        <v>150</v>
      </c>
      <c r="F947" s="227" t="s">
        <v>150</v>
      </c>
      <c r="G947" s="233">
        <v>45957</v>
      </c>
      <c r="H947" s="227"/>
      <c r="I947" s="175" t="s">
        <v>390</v>
      </c>
      <c r="J947" s="175"/>
      <c r="K947" s="175"/>
      <c r="L947" s="175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  <c r="AA947" s="176"/>
      <c r="AB947" s="176"/>
      <c r="AC947" s="176"/>
      <c r="AD947" s="176"/>
      <c r="AE947" s="176"/>
      <c r="AF947" s="176"/>
      <c r="AG947" s="176"/>
      <c r="AH947" s="176"/>
      <c r="AI947" s="176"/>
      <c r="AJ947" s="176"/>
      <c r="AK947" s="176"/>
      <c r="AL947" s="176"/>
      <c r="AM947" s="176"/>
      <c r="AN947" s="176"/>
      <c r="AO947" s="176"/>
      <c r="AP947" s="176"/>
      <c r="AQ947" s="176"/>
      <c r="AR947" s="176"/>
      <c r="AS947" s="176"/>
      <c r="AT947" s="176"/>
      <c r="AU947" s="176"/>
      <c r="AV947" s="176"/>
      <c r="AW947" s="176"/>
      <c r="AX947" s="176"/>
      <c r="AY947" s="176"/>
      <c r="AZ947" s="176"/>
      <c r="BA947" s="176"/>
      <c r="BB947" s="176"/>
      <c r="BC947" s="176"/>
      <c r="BD947" s="176"/>
      <c r="BE947" s="176"/>
      <c r="BF947" s="176"/>
      <c r="BG947" s="176"/>
      <c r="BH947" s="176"/>
      <c r="BI947" s="176"/>
      <c r="BJ947" s="176"/>
      <c r="BK947" s="176"/>
      <c r="BL947" s="176"/>
      <c r="BM947" s="176"/>
      <c r="BN947" s="176"/>
      <c r="BO947" s="176"/>
      <c r="BP947" s="176"/>
      <c r="BQ947" s="176"/>
      <c r="BR947" s="176"/>
      <c r="BS947" s="176"/>
      <c r="BT947" s="176"/>
      <c r="BU947" s="176"/>
      <c r="BV947" s="176"/>
      <c r="BW947" s="176"/>
      <c r="BX947" s="176"/>
      <c r="BY947" s="191"/>
      <c r="BZ947" s="191"/>
      <c r="CA947" s="191"/>
      <c r="CC947" s="182"/>
    </row>
    <row r="948" spans="1:81" s="178" customFormat="1" ht="15.75" customHeight="1">
      <c r="A948" s="226"/>
      <c r="B948" s="227"/>
      <c r="C948" s="227"/>
      <c r="D948" s="227"/>
      <c r="E948" s="227"/>
      <c r="F948" s="227"/>
      <c r="G948" s="227"/>
      <c r="H948" s="227"/>
      <c r="I948" s="175" t="s">
        <v>351</v>
      </c>
      <c r="J948" s="175"/>
      <c r="K948" s="175"/>
      <c r="L948" s="175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  <c r="AA948" s="176"/>
      <c r="AB948" s="176"/>
      <c r="AC948" s="176"/>
      <c r="AD948" s="176"/>
      <c r="AE948" s="176"/>
      <c r="AF948" s="176"/>
      <c r="AG948" s="176"/>
      <c r="AH948" s="176"/>
      <c r="AI948" s="176"/>
      <c r="AJ948" s="176"/>
      <c r="AK948" s="176"/>
      <c r="AL948" s="176"/>
      <c r="AM948" s="176"/>
      <c r="AN948" s="176"/>
      <c r="AO948" s="176"/>
      <c r="AP948" s="176"/>
      <c r="AQ948" s="176"/>
      <c r="AR948" s="176"/>
      <c r="AS948" s="176"/>
      <c r="AT948" s="176"/>
      <c r="AU948" s="176"/>
      <c r="AV948" s="176"/>
      <c r="AW948" s="176"/>
      <c r="AX948" s="176"/>
      <c r="AY948" s="176"/>
      <c r="AZ948" s="176"/>
      <c r="BA948" s="176"/>
      <c r="BB948" s="176"/>
      <c r="BC948" s="176"/>
      <c r="BD948" s="176"/>
      <c r="BE948" s="176"/>
      <c r="BF948" s="176"/>
      <c r="BG948" s="176"/>
      <c r="BH948" s="176"/>
      <c r="BI948" s="176"/>
      <c r="BJ948" s="176"/>
      <c r="BK948" s="176"/>
      <c r="BL948" s="176"/>
      <c r="BM948" s="176"/>
      <c r="BN948" s="176"/>
      <c r="BO948" s="176"/>
      <c r="BP948" s="176"/>
      <c r="BQ948" s="176"/>
      <c r="BR948" s="176">
        <v>246.64</v>
      </c>
      <c r="BS948" s="176">
        <v>1948.18</v>
      </c>
      <c r="BT948" s="176">
        <f>1849.81+0.62</f>
        <v>1850.4299999999998</v>
      </c>
      <c r="BU948" s="176">
        <f>1849.81+67.54</f>
        <v>1917.35</v>
      </c>
      <c r="BV948" s="176">
        <v>1917.35</v>
      </c>
      <c r="BW948" s="176">
        <v>1917.35</v>
      </c>
      <c r="BX948" s="176"/>
      <c r="BY948" s="191"/>
      <c r="BZ948" s="191"/>
      <c r="CA948" s="191"/>
      <c r="CC948" s="182"/>
    </row>
    <row r="949" spans="1:81" s="178" customFormat="1" ht="15.75" customHeight="1">
      <c r="A949" s="226"/>
      <c r="B949" s="227"/>
      <c r="C949" s="227"/>
      <c r="D949" s="227"/>
      <c r="E949" s="227"/>
      <c r="F949" s="227"/>
      <c r="G949" s="227"/>
      <c r="H949" s="227"/>
      <c r="I949" s="175" t="s">
        <v>391</v>
      </c>
      <c r="J949" s="175"/>
      <c r="K949" s="175"/>
      <c r="L949" s="175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7"/>
      <c r="Z949" s="176"/>
      <c r="AA949" s="176"/>
      <c r="AB949" s="176"/>
      <c r="AC949" s="176"/>
      <c r="AD949" s="176"/>
      <c r="AE949" s="176"/>
      <c r="AF949" s="176"/>
      <c r="AG949" s="176"/>
      <c r="AH949" s="176"/>
      <c r="AI949" s="176"/>
      <c r="AJ949" s="176"/>
      <c r="AK949" s="176"/>
      <c r="AL949" s="176"/>
      <c r="AM949" s="176"/>
      <c r="AN949" s="176"/>
      <c r="AO949" s="176"/>
      <c r="AP949" s="176"/>
      <c r="AQ949" s="176"/>
      <c r="AR949" s="176"/>
      <c r="AS949" s="176"/>
      <c r="AT949" s="176"/>
      <c r="AU949" s="176"/>
      <c r="AV949" s="176"/>
      <c r="AW949" s="176"/>
      <c r="AX949" s="176"/>
      <c r="AY949" s="176"/>
      <c r="AZ949" s="176"/>
      <c r="BA949" s="176"/>
      <c r="BB949" s="176"/>
      <c r="BC949" s="176"/>
      <c r="BD949" s="176"/>
      <c r="BE949" s="176"/>
      <c r="BF949" s="176"/>
      <c r="BG949" s="176"/>
      <c r="BH949" s="176"/>
      <c r="BI949" s="176"/>
      <c r="BJ949" s="176"/>
      <c r="BK949" s="176"/>
      <c r="BL949" s="176"/>
      <c r="BM949" s="176"/>
      <c r="BN949" s="176"/>
      <c r="BO949" s="176"/>
      <c r="BP949" s="176"/>
      <c r="BQ949" s="176"/>
      <c r="BR949" s="176"/>
      <c r="BS949" s="176"/>
      <c r="BT949" s="176"/>
      <c r="BU949" s="176"/>
      <c r="BV949" s="176"/>
      <c r="BW949" s="176"/>
      <c r="BX949" s="176"/>
      <c r="BY949" s="191"/>
      <c r="BZ949" s="191"/>
      <c r="CA949" s="191"/>
      <c r="CC949" s="182"/>
    </row>
    <row r="950" spans="1:81" s="178" customFormat="1" ht="15.75" customHeight="1">
      <c r="A950" s="226"/>
      <c r="B950" s="227"/>
      <c r="C950" s="227"/>
      <c r="D950" s="227"/>
      <c r="E950" s="227"/>
      <c r="F950" s="227"/>
      <c r="G950" s="227"/>
      <c r="H950" s="227"/>
      <c r="I950" s="175" t="s">
        <v>351</v>
      </c>
      <c r="J950" s="175"/>
      <c r="K950" s="175"/>
      <c r="L950" s="175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7"/>
      <c r="Z950" s="176"/>
      <c r="AA950" s="176"/>
      <c r="AB950" s="176"/>
      <c r="AC950" s="176"/>
      <c r="AD950" s="176"/>
      <c r="AE950" s="176"/>
      <c r="AF950" s="176"/>
      <c r="AG950" s="176"/>
      <c r="AH950" s="176"/>
      <c r="AI950" s="176"/>
      <c r="AJ950" s="176"/>
      <c r="AK950" s="176"/>
      <c r="AL950" s="176"/>
      <c r="AM950" s="176"/>
      <c r="AN950" s="176"/>
      <c r="AO950" s="176"/>
      <c r="AP950" s="176"/>
      <c r="AQ950" s="176"/>
      <c r="AR950" s="176"/>
      <c r="AS950" s="176"/>
      <c r="AT950" s="176"/>
      <c r="AU950" s="176"/>
      <c r="AV950" s="176"/>
      <c r="AW950" s="176"/>
      <c r="AX950" s="176"/>
      <c r="AY950" s="176"/>
      <c r="AZ950" s="176"/>
      <c r="BA950" s="176"/>
      <c r="BB950" s="176"/>
      <c r="BC950" s="176"/>
      <c r="BD950" s="176"/>
      <c r="BE950" s="176"/>
      <c r="BF950" s="176"/>
      <c r="BG950" s="176"/>
      <c r="BH950" s="176"/>
      <c r="BI950" s="176"/>
      <c r="BJ950" s="176"/>
      <c r="BK950" s="176"/>
      <c r="BL950" s="176"/>
      <c r="BM950" s="176"/>
      <c r="BN950" s="176"/>
      <c r="BO950" s="176"/>
      <c r="BP950" s="176"/>
      <c r="BQ950" s="176"/>
      <c r="BR950" s="176"/>
      <c r="BS950" s="176"/>
      <c r="BT950" s="176"/>
      <c r="BU950" s="176"/>
      <c r="BV950" s="176"/>
      <c r="BW950" s="176"/>
      <c r="BX950" s="176"/>
      <c r="BY950" s="191"/>
      <c r="BZ950" s="191"/>
      <c r="CA950" s="191"/>
      <c r="CC950" s="182"/>
    </row>
    <row r="951" spans="1:81" s="178" customFormat="1" ht="15.75" customHeight="1">
      <c r="A951" s="226"/>
      <c r="B951" s="227"/>
      <c r="C951" s="227"/>
      <c r="D951" s="227"/>
      <c r="E951" s="227"/>
      <c r="F951" s="227"/>
      <c r="G951" s="227"/>
      <c r="H951" s="227"/>
      <c r="I951" s="175" t="s">
        <v>353</v>
      </c>
      <c r="J951" s="175"/>
      <c r="K951" s="175"/>
      <c r="L951" s="175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  <c r="AA951" s="176"/>
      <c r="AB951" s="176"/>
      <c r="AC951" s="176"/>
      <c r="AD951" s="176"/>
      <c r="AE951" s="176"/>
      <c r="AF951" s="176"/>
      <c r="AG951" s="176"/>
      <c r="AH951" s="176"/>
      <c r="AI951" s="176"/>
      <c r="AJ951" s="176"/>
      <c r="AK951" s="176"/>
      <c r="AL951" s="176"/>
      <c r="AM951" s="176"/>
      <c r="AN951" s="176"/>
      <c r="AO951" s="176"/>
      <c r="AP951" s="176"/>
      <c r="AQ951" s="176"/>
      <c r="AR951" s="176"/>
      <c r="AS951" s="176"/>
      <c r="AT951" s="176"/>
      <c r="AU951" s="176"/>
      <c r="AV951" s="176"/>
      <c r="AW951" s="176"/>
      <c r="AX951" s="176"/>
      <c r="AY951" s="176"/>
      <c r="AZ951" s="176"/>
      <c r="BA951" s="176"/>
      <c r="BB951" s="176"/>
      <c r="BC951" s="176"/>
      <c r="BD951" s="176"/>
      <c r="BE951" s="176"/>
      <c r="BF951" s="176"/>
      <c r="BG951" s="176"/>
      <c r="BH951" s="176"/>
      <c r="BI951" s="176"/>
      <c r="BJ951" s="176"/>
      <c r="BK951" s="176"/>
      <c r="BL951" s="176"/>
      <c r="BM951" s="176"/>
      <c r="BN951" s="176"/>
      <c r="BO951" s="176"/>
      <c r="BP951" s="176"/>
      <c r="BQ951" s="176"/>
      <c r="BR951" s="176"/>
      <c r="BS951" s="176"/>
      <c r="BT951" s="176"/>
      <c r="BU951" s="176"/>
      <c r="BV951" s="176"/>
      <c r="BW951" s="176"/>
      <c r="BX951" s="176"/>
      <c r="BY951" s="191"/>
      <c r="BZ951" s="191"/>
      <c r="CA951" s="191"/>
      <c r="CC951" s="182"/>
    </row>
    <row r="952" spans="1:81" s="178" customFormat="1" ht="15.75" customHeight="1">
      <c r="A952" s="226"/>
      <c r="B952" s="227"/>
      <c r="C952" s="227"/>
      <c r="D952" s="227"/>
      <c r="E952" s="227"/>
      <c r="F952" s="227"/>
      <c r="G952" s="227"/>
      <c r="H952" s="227"/>
      <c r="I952" s="175" t="s">
        <v>354</v>
      </c>
      <c r="J952" s="175"/>
      <c r="K952" s="175"/>
      <c r="L952" s="175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  <c r="AA952" s="176"/>
      <c r="AB952" s="176"/>
      <c r="AC952" s="176"/>
      <c r="AD952" s="176"/>
      <c r="AE952" s="176"/>
      <c r="AF952" s="176"/>
      <c r="AG952" s="176"/>
      <c r="AH952" s="176"/>
      <c r="AI952" s="176"/>
      <c r="AJ952" s="176"/>
      <c r="AK952" s="176"/>
      <c r="AL952" s="176"/>
      <c r="AM952" s="176"/>
      <c r="AN952" s="176"/>
      <c r="AO952" s="176"/>
      <c r="AP952" s="176"/>
      <c r="AQ952" s="176"/>
      <c r="AR952" s="176"/>
      <c r="AS952" s="176"/>
      <c r="AT952" s="176"/>
      <c r="AU952" s="176"/>
      <c r="AV952" s="176"/>
      <c r="AW952" s="176"/>
      <c r="AX952" s="176"/>
      <c r="AY952" s="176"/>
      <c r="AZ952" s="176"/>
      <c r="BA952" s="176"/>
      <c r="BB952" s="176"/>
      <c r="BC952" s="176"/>
      <c r="BD952" s="176"/>
      <c r="BE952" s="176"/>
      <c r="BF952" s="176"/>
      <c r="BG952" s="176"/>
      <c r="BH952" s="176"/>
      <c r="BI952" s="176"/>
      <c r="BJ952" s="176"/>
      <c r="BK952" s="176"/>
      <c r="BL952" s="176"/>
      <c r="BM952" s="176"/>
      <c r="BN952" s="176"/>
      <c r="BO952" s="176"/>
      <c r="BP952" s="176"/>
      <c r="BQ952" s="176"/>
      <c r="BR952" s="176">
        <f>55+54</f>
        <v>109</v>
      </c>
      <c r="BS952" s="176">
        <f>299+320</f>
        <v>619</v>
      </c>
      <c r="BT952" s="176">
        <v>619</v>
      </c>
      <c r="BU952" s="176">
        <f>338+320</f>
        <v>658</v>
      </c>
      <c r="BV952" s="176">
        <f>314+320</f>
        <v>634</v>
      </c>
      <c r="BW952" s="176">
        <f>491.4+320</f>
        <v>811.4</v>
      </c>
      <c r="BX952" s="176"/>
      <c r="BY952" s="191"/>
      <c r="BZ952" s="191"/>
      <c r="CA952" s="191"/>
      <c r="CC952" s="182"/>
    </row>
    <row r="953" spans="1:81" s="178" customFormat="1" ht="15.75" customHeight="1">
      <c r="A953" s="226"/>
      <c r="B953" s="227"/>
      <c r="C953" s="227"/>
      <c r="D953" s="227"/>
      <c r="E953" s="227"/>
      <c r="F953" s="227"/>
      <c r="G953" s="227"/>
      <c r="H953" s="227"/>
      <c r="I953" s="175" t="s">
        <v>355</v>
      </c>
      <c r="J953" s="175"/>
      <c r="K953" s="175"/>
      <c r="L953" s="175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  <c r="AA953" s="176"/>
      <c r="AB953" s="176"/>
      <c r="AC953" s="176"/>
      <c r="AD953" s="176"/>
      <c r="AE953" s="176"/>
      <c r="AF953" s="176"/>
      <c r="AG953" s="176"/>
      <c r="AH953" s="176"/>
      <c r="AI953" s="176"/>
      <c r="AJ953" s="176"/>
      <c r="AK953" s="176"/>
      <c r="AL953" s="176"/>
      <c r="AM953" s="176"/>
      <c r="AN953" s="176"/>
      <c r="AO953" s="176"/>
      <c r="AP953" s="176"/>
      <c r="AQ953" s="176"/>
      <c r="AR953" s="176"/>
      <c r="AS953" s="176"/>
      <c r="AT953" s="176"/>
      <c r="AU953" s="176"/>
      <c r="AV953" s="176"/>
      <c r="AW953" s="176"/>
      <c r="AX953" s="176"/>
      <c r="AY953" s="176"/>
      <c r="AZ953" s="176"/>
      <c r="BA953" s="176"/>
      <c r="BB953" s="176"/>
      <c r="BC953" s="176"/>
      <c r="BD953" s="176"/>
      <c r="BE953" s="176"/>
      <c r="BF953" s="176"/>
      <c r="BG953" s="176"/>
      <c r="BH953" s="176"/>
      <c r="BI953" s="176"/>
      <c r="BJ953" s="176"/>
      <c r="BK953" s="176"/>
      <c r="BL953" s="176"/>
      <c r="BM953" s="176"/>
      <c r="BN953" s="176"/>
      <c r="BO953" s="176"/>
      <c r="BP953" s="176"/>
      <c r="BQ953" s="176"/>
      <c r="BR953" s="176"/>
      <c r="BS953" s="176"/>
      <c r="BT953" s="176"/>
      <c r="BU953" s="176"/>
      <c r="BV953" s="176"/>
      <c r="BW953" s="176"/>
      <c r="BX953" s="176"/>
      <c r="BY953" s="191"/>
      <c r="BZ953" s="191"/>
      <c r="CA953" s="191"/>
      <c r="CC953" s="182"/>
    </row>
    <row r="954" spans="1:81" s="178" customFormat="1" ht="15.75" customHeight="1">
      <c r="A954" s="226"/>
      <c r="B954" s="227"/>
      <c r="C954" s="227"/>
      <c r="D954" s="227"/>
      <c r="E954" s="227"/>
      <c r="F954" s="227"/>
      <c r="G954" s="227"/>
      <c r="H954" s="227"/>
      <c r="I954" s="175" t="s">
        <v>357</v>
      </c>
      <c r="J954" s="175"/>
      <c r="K954" s="175"/>
      <c r="L954" s="175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  <c r="AA954" s="176"/>
      <c r="AB954" s="176"/>
      <c r="AC954" s="176"/>
      <c r="AD954" s="176"/>
      <c r="AE954" s="176"/>
      <c r="AF954" s="176"/>
      <c r="AG954" s="176"/>
      <c r="AH954" s="176"/>
      <c r="AI954" s="176"/>
      <c r="AJ954" s="176"/>
      <c r="AK954" s="176"/>
      <c r="AL954" s="176"/>
      <c r="AM954" s="176"/>
      <c r="AN954" s="176"/>
      <c r="AO954" s="176"/>
      <c r="AP954" s="176"/>
      <c r="AQ954" s="176"/>
      <c r="AR954" s="176"/>
      <c r="AS954" s="176"/>
      <c r="AT954" s="176"/>
      <c r="AU954" s="176"/>
      <c r="AV954" s="176"/>
      <c r="AW954" s="176"/>
      <c r="AX954" s="176"/>
      <c r="AY954" s="176"/>
      <c r="AZ954" s="176"/>
      <c r="BA954" s="176"/>
      <c r="BB954" s="176"/>
      <c r="BC954" s="176"/>
      <c r="BD954" s="176"/>
      <c r="BE954" s="176"/>
      <c r="BF954" s="176"/>
      <c r="BG954" s="176"/>
      <c r="BH954" s="176"/>
      <c r="BI954" s="176"/>
      <c r="BJ954" s="176"/>
      <c r="BK954" s="176"/>
      <c r="BL954" s="176"/>
      <c r="BM954" s="176"/>
      <c r="BN954" s="176"/>
      <c r="BO954" s="176"/>
      <c r="BP954" s="176"/>
      <c r="BQ954" s="176"/>
      <c r="BR954" s="176"/>
      <c r="BS954" s="176"/>
      <c r="BT954" s="176"/>
      <c r="BU954" s="176"/>
      <c r="BV954" s="176"/>
      <c r="BW954" s="176"/>
      <c r="BX954" s="176"/>
      <c r="BY954" s="191"/>
      <c r="BZ954" s="191"/>
      <c r="CA954" s="191"/>
      <c r="CC954" s="182"/>
    </row>
    <row r="955" spans="1:81" s="178" customFormat="1" ht="15.75" customHeight="1">
      <c r="A955" s="226"/>
      <c r="B955" s="227"/>
      <c r="C955" s="227"/>
      <c r="D955" s="227"/>
      <c r="E955" s="227"/>
      <c r="F955" s="227"/>
      <c r="G955" s="227"/>
      <c r="H955" s="227"/>
      <c r="I955" s="184" t="s">
        <v>362</v>
      </c>
      <c r="J955" s="175"/>
      <c r="K955" s="175"/>
      <c r="L955" s="175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  <c r="AA955" s="176"/>
      <c r="AB955" s="176"/>
      <c r="AC955" s="176"/>
      <c r="AD955" s="176"/>
      <c r="AE955" s="176"/>
      <c r="AF955" s="176"/>
      <c r="AG955" s="176"/>
      <c r="AH955" s="176"/>
      <c r="AI955" s="176"/>
      <c r="AJ955" s="176"/>
      <c r="AK955" s="176"/>
      <c r="AL955" s="176"/>
      <c r="AM955" s="176"/>
      <c r="AN955" s="176"/>
      <c r="AO955" s="176"/>
      <c r="AP955" s="176"/>
      <c r="AQ955" s="176"/>
      <c r="AR955" s="176"/>
      <c r="AS955" s="176"/>
      <c r="AT955" s="176"/>
      <c r="AU955" s="176"/>
      <c r="AV955" s="176"/>
      <c r="AW955" s="176"/>
      <c r="AX955" s="176"/>
      <c r="AY955" s="176"/>
      <c r="AZ955" s="176"/>
      <c r="BA955" s="176"/>
      <c r="BB955" s="176"/>
      <c r="BC955" s="176"/>
      <c r="BD955" s="176"/>
      <c r="BE955" s="176"/>
      <c r="BF955" s="176"/>
      <c r="BG955" s="176"/>
      <c r="BH955" s="176"/>
      <c r="BI955" s="176"/>
      <c r="BJ955" s="176"/>
      <c r="BK955" s="176"/>
      <c r="BL955" s="176"/>
      <c r="BM955" s="176"/>
      <c r="BN955" s="176"/>
      <c r="BO955" s="176"/>
      <c r="BP955" s="176"/>
      <c r="BQ955" s="176"/>
      <c r="BR955" s="176"/>
      <c r="BS955" s="176"/>
      <c r="BT955" s="176"/>
      <c r="BU955" s="176"/>
      <c r="BV955" s="176"/>
      <c r="BW955" s="176"/>
      <c r="BX955" s="176"/>
      <c r="BY955" s="191"/>
      <c r="BZ955" s="191"/>
      <c r="CA955" s="191"/>
      <c r="CC955" s="182"/>
    </row>
    <row r="956" spans="1:81" s="178" customFormat="1">
      <c r="A956" s="226"/>
      <c r="B956" s="227"/>
      <c r="C956" s="227"/>
      <c r="D956" s="227"/>
      <c r="E956" s="227"/>
      <c r="F956" s="227"/>
      <c r="G956" s="227"/>
      <c r="H956" s="227"/>
      <c r="I956" s="190" t="s">
        <v>363</v>
      </c>
      <c r="J956" s="190"/>
      <c r="K956" s="190"/>
      <c r="L956" s="190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  <c r="AA956" s="176"/>
      <c r="AB956" s="176"/>
      <c r="AC956" s="176"/>
      <c r="AD956" s="176"/>
      <c r="AE956" s="176"/>
      <c r="AF956" s="176"/>
      <c r="AG956" s="176"/>
      <c r="AH956" s="176"/>
      <c r="AI956" s="176"/>
      <c r="AJ956" s="176"/>
      <c r="AK956" s="176"/>
      <c r="AL956" s="176"/>
      <c r="AM956" s="176"/>
      <c r="AN956" s="176"/>
      <c r="AO956" s="176"/>
      <c r="AP956" s="176"/>
      <c r="AQ956" s="176"/>
      <c r="AR956" s="176"/>
      <c r="AS956" s="176"/>
      <c r="AT956" s="176"/>
      <c r="AU956" s="176"/>
      <c r="AV956" s="176"/>
      <c r="AW956" s="176"/>
      <c r="AX956" s="176"/>
      <c r="AY956" s="176"/>
      <c r="AZ956" s="176"/>
      <c r="BA956" s="176"/>
      <c r="BB956" s="176"/>
      <c r="BC956" s="176"/>
      <c r="BD956" s="176"/>
      <c r="BE956" s="176"/>
      <c r="BF956" s="176"/>
      <c r="BG956" s="176"/>
      <c r="BH956" s="176"/>
      <c r="BI956" s="176"/>
      <c r="BJ956" s="176"/>
      <c r="BK956" s="176"/>
      <c r="BL956" s="176"/>
      <c r="BM956" s="176"/>
      <c r="BN956" s="176"/>
      <c r="BO956" s="176"/>
      <c r="BP956" s="176"/>
      <c r="BQ956" s="176"/>
      <c r="BR956" s="176"/>
      <c r="BS956" s="176"/>
      <c r="BT956" s="176"/>
      <c r="BU956" s="176"/>
      <c r="BV956" s="176"/>
      <c r="BW956" s="176"/>
      <c r="BX956" s="176"/>
      <c r="BY956" s="191"/>
      <c r="BZ956" s="191"/>
    </row>
    <row r="957" spans="1:81" s="178" customFormat="1">
      <c r="A957" s="226"/>
      <c r="B957" s="227"/>
      <c r="C957" s="227"/>
      <c r="D957" s="227"/>
      <c r="E957" s="227"/>
      <c r="F957" s="227"/>
      <c r="G957" s="227"/>
      <c r="H957" s="227"/>
      <c r="I957" s="193" t="s">
        <v>373</v>
      </c>
      <c r="J957" s="193"/>
      <c r="K957" s="193"/>
      <c r="L957" s="193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  <c r="AA957" s="176"/>
      <c r="AB957" s="176"/>
      <c r="AC957" s="176"/>
      <c r="AD957" s="176"/>
      <c r="AE957" s="176"/>
      <c r="AF957" s="176"/>
      <c r="AG957" s="176"/>
      <c r="AH957" s="176"/>
      <c r="AI957" s="176"/>
      <c r="AJ957" s="176"/>
      <c r="AK957" s="176"/>
      <c r="AL957" s="176"/>
      <c r="AM957" s="176"/>
      <c r="AN957" s="176"/>
      <c r="AO957" s="176"/>
      <c r="AP957" s="176"/>
      <c r="AQ957" s="176"/>
      <c r="AR957" s="176"/>
      <c r="AS957" s="176"/>
      <c r="AT957" s="176"/>
      <c r="AU957" s="176"/>
      <c r="AV957" s="176"/>
      <c r="AW957" s="176"/>
      <c r="AX957" s="176"/>
      <c r="AY957" s="176"/>
      <c r="AZ957" s="176"/>
      <c r="BA957" s="176"/>
      <c r="BB957" s="176"/>
      <c r="BC957" s="176"/>
      <c r="BD957" s="176"/>
      <c r="BE957" s="176"/>
      <c r="BF957" s="176"/>
      <c r="BG957" s="176"/>
      <c r="BH957" s="176"/>
      <c r="BI957" s="176"/>
      <c r="BJ957" s="176"/>
      <c r="BK957" s="176"/>
      <c r="BL957" s="176"/>
      <c r="BM957" s="176"/>
      <c r="BN957" s="176"/>
      <c r="BO957" s="176"/>
      <c r="BP957" s="176"/>
      <c r="BQ957" s="176"/>
      <c r="BR957" s="176">
        <v>33.29</v>
      </c>
      <c r="BS957" s="176">
        <v>263.55</v>
      </c>
      <c r="BT957" s="176">
        <v>262.89999999999998</v>
      </c>
      <c r="BU957" s="176">
        <v>262.89999999999998</v>
      </c>
      <c r="BV957" s="176">
        <v>262.89999999999998</v>
      </c>
      <c r="BW957" s="176">
        <f>1101.59-739.92</f>
        <v>361.66999999999996</v>
      </c>
      <c r="BX957" s="176"/>
      <c r="BY957" s="191"/>
      <c r="BZ957" s="191"/>
    </row>
    <row r="958" spans="1:81" s="178" customFormat="1">
      <c r="A958" s="226"/>
      <c r="B958" s="227"/>
      <c r="C958" s="227"/>
      <c r="D958" s="227"/>
      <c r="E958" s="227"/>
      <c r="F958" s="227"/>
      <c r="G958" s="227"/>
      <c r="H958" s="227"/>
      <c r="I958" s="190"/>
      <c r="J958" s="176">
        <f>SUM(J947:J956)-J957</f>
        <v>0</v>
      </c>
      <c r="K958" s="176">
        <f t="shared" ref="K958:Y958" si="482">SUM(K947:K956)-K957</f>
        <v>0</v>
      </c>
      <c r="L958" s="176">
        <f t="shared" si="482"/>
        <v>0</v>
      </c>
      <c r="M958" s="176">
        <f t="shared" si="482"/>
        <v>0</v>
      </c>
      <c r="N958" s="176">
        <f t="shared" si="482"/>
        <v>0</v>
      </c>
      <c r="O958" s="176">
        <f t="shared" si="482"/>
        <v>0</v>
      </c>
      <c r="P958" s="176">
        <f t="shared" si="482"/>
        <v>0</v>
      </c>
      <c r="Q958" s="176">
        <f t="shared" si="482"/>
        <v>0</v>
      </c>
      <c r="R958" s="176">
        <f t="shared" si="482"/>
        <v>0</v>
      </c>
      <c r="S958" s="176">
        <f t="shared" si="482"/>
        <v>0</v>
      </c>
      <c r="T958" s="176">
        <f t="shared" si="482"/>
        <v>0</v>
      </c>
      <c r="U958" s="176">
        <f t="shared" si="482"/>
        <v>0</v>
      </c>
      <c r="V958" s="176">
        <f t="shared" si="482"/>
        <v>0</v>
      </c>
      <c r="W958" s="176">
        <f t="shared" si="482"/>
        <v>0</v>
      </c>
      <c r="X958" s="176">
        <f t="shared" si="482"/>
        <v>0</v>
      </c>
      <c r="Y958" s="176">
        <f t="shared" si="482"/>
        <v>0</v>
      </c>
      <c r="Z958" s="176">
        <f>SUM(Z947:Z956)-Z957</f>
        <v>0</v>
      </c>
      <c r="AA958" s="176">
        <f t="shared" ref="AA958:AD958" si="483">SUM(AA947:AA956)-AA957</f>
        <v>0</v>
      </c>
      <c r="AB958" s="176">
        <f t="shared" si="483"/>
        <v>0</v>
      </c>
      <c r="AC958" s="176">
        <f t="shared" si="483"/>
        <v>0</v>
      </c>
      <c r="AD958" s="176">
        <f t="shared" si="483"/>
        <v>0</v>
      </c>
      <c r="AE958" s="176">
        <f>SUM(AE947:AE956)-AE957</f>
        <v>0</v>
      </c>
      <c r="AF958" s="176">
        <f>SUM(AF947:AF956)-AF957</f>
        <v>0</v>
      </c>
      <c r="AG958" s="176">
        <f t="shared" ref="AG958:AP958" si="484">SUM(AG947:AG956)-AG957</f>
        <v>0</v>
      </c>
      <c r="AH958" s="176">
        <f t="shared" si="484"/>
        <v>0</v>
      </c>
      <c r="AI958" s="176">
        <f t="shared" si="484"/>
        <v>0</v>
      </c>
      <c r="AJ958" s="176">
        <f t="shared" si="484"/>
        <v>0</v>
      </c>
      <c r="AK958" s="176">
        <f t="shared" si="484"/>
        <v>0</v>
      </c>
      <c r="AL958" s="176">
        <f t="shared" si="484"/>
        <v>0</v>
      </c>
      <c r="AM958" s="176">
        <f t="shared" si="484"/>
        <v>0</v>
      </c>
      <c r="AN958" s="176">
        <f t="shared" si="484"/>
        <v>0</v>
      </c>
      <c r="AO958" s="176">
        <f t="shared" si="484"/>
        <v>0</v>
      </c>
      <c r="AP958" s="176">
        <f t="shared" si="484"/>
        <v>0</v>
      </c>
      <c r="AQ958" s="176">
        <f t="shared" ref="AQ958:AU958" si="485">SUM(AQ947:AQ956)-AQ957</f>
        <v>0</v>
      </c>
      <c r="AR958" s="176">
        <f t="shared" si="485"/>
        <v>0</v>
      </c>
      <c r="AS958" s="176">
        <f t="shared" si="485"/>
        <v>0</v>
      </c>
      <c r="AT958" s="176">
        <f t="shared" si="485"/>
        <v>0</v>
      </c>
      <c r="AU958" s="176">
        <f t="shared" si="485"/>
        <v>0</v>
      </c>
      <c r="AV958" s="176">
        <f>SUM(AV947:AV956)-AV957</f>
        <v>0</v>
      </c>
      <c r="AW958" s="176">
        <f t="shared" ref="AW958:BA958" si="486">SUM(AW947:AW956)-AW957</f>
        <v>0</v>
      </c>
      <c r="AX958" s="176">
        <f t="shared" si="486"/>
        <v>0</v>
      </c>
      <c r="AY958" s="176">
        <f t="shared" si="486"/>
        <v>0</v>
      </c>
      <c r="AZ958" s="176">
        <f t="shared" si="486"/>
        <v>0</v>
      </c>
      <c r="BA958" s="176">
        <f t="shared" si="486"/>
        <v>0</v>
      </c>
      <c r="BB958" s="176"/>
      <c r="BC958" s="176"/>
      <c r="BD958" s="176"/>
      <c r="BE958" s="176"/>
      <c r="BF958" s="176"/>
      <c r="BG958" s="176"/>
      <c r="BH958" s="176"/>
      <c r="BI958" s="176"/>
      <c r="BJ958" s="176"/>
      <c r="BK958" s="176"/>
      <c r="BL958" s="176"/>
      <c r="BM958" s="176">
        <f>BM948+BM954-BM957+BM952</f>
        <v>0</v>
      </c>
      <c r="BN958" s="176">
        <f>BN948+BN954-BN957+BN952</f>
        <v>0</v>
      </c>
      <c r="BO958" s="176">
        <f>BO948+BO954-BO957+BO952</f>
        <v>0</v>
      </c>
      <c r="BP958" s="176">
        <f>BP948+BP954-BP957+BP952</f>
        <v>0</v>
      </c>
      <c r="BQ958" s="176"/>
      <c r="BR958" s="176">
        <f>BR948+BR954-BR957+BR952</f>
        <v>322.35000000000002</v>
      </c>
      <c r="BS958" s="176">
        <f>BS948+BS952-BS957</f>
        <v>2303.63</v>
      </c>
      <c r="BT958" s="176">
        <f>BT948+BT952-BT957</f>
        <v>2206.5299999999997</v>
      </c>
      <c r="BU958" s="176">
        <f>BU948+BU952-BU957</f>
        <v>2312.4499999999998</v>
      </c>
      <c r="BV958" s="176">
        <f>BV948+BV952-BV957</f>
        <v>2288.4499999999998</v>
      </c>
      <c r="BW958" s="176">
        <f>BW948+BW952-BW957</f>
        <v>2367.08</v>
      </c>
      <c r="BX958" s="176">
        <f>SUM(BD958:BW958)</f>
        <v>11800.49</v>
      </c>
      <c r="BY958" s="191"/>
      <c r="BZ958" s="191"/>
    </row>
    <row r="959" spans="1:81" ht="15.6" customHeight="1">
      <c r="A959" s="148" t="s">
        <v>346</v>
      </c>
      <c r="B959" s="148" t="s">
        <v>347</v>
      </c>
      <c r="C959" s="145" t="s">
        <v>310</v>
      </c>
      <c r="D959" s="145" t="s">
        <v>311</v>
      </c>
      <c r="E959" s="148" t="s">
        <v>312</v>
      </c>
      <c r="F959" s="148" t="s">
        <v>348</v>
      </c>
      <c r="G959" s="145" t="s">
        <v>314</v>
      </c>
      <c r="H959" s="145" t="s">
        <v>315</v>
      </c>
      <c r="I959" s="145" t="s">
        <v>349</v>
      </c>
      <c r="J959" s="146">
        <v>44105</v>
      </c>
      <c r="K959" s="146">
        <v>44136</v>
      </c>
      <c r="L959" s="146">
        <v>44166</v>
      </c>
      <c r="M959" s="146">
        <v>44197</v>
      </c>
      <c r="N959" s="146">
        <v>44228</v>
      </c>
      <c r="O959" s="146">
        <v>44256</v>
      </c>
      <c r="P959" s="146">
        <v>44287</v>
      </c>
      <c r="Q959" s="146">
        <v>44317</v>
      </c>
      <c r="R959" s="146">
        <v>44348</v>
      </c>
      <c r="S959" s="146">
        <v>44378</v>
      </c>
      <c r="T959" s="146">
        <v>44409</v>
      </c>
      <c r="U959" s="146">
        <v>44440</v>
      </c>
      <c r="V959" s="146">
        <v>44470</v>
      </c>
      <c r="W959" s="146">
        <v>44501</v>
      </c>
      <c r="X959" s="146">
        <v>44531</v>
      </c>
      <c r="Y959" s="146">
        <v>44562</v>
      </c>
      <c r="Z959" s="146">
        <v>44593</v>
      </c>
      <c r="AA959" s="146">
        <v>44621</v>
      </c>
      <c r="AB959" s="146">
        <v>44652</v>
      </c>
      <c r="AC959" s="146">
        <v>44682</v>
      </c>
      <c r="AD959" s="146">
        <v>44713</v>
      </c>
      <c r="AE959" s="146">
        <v>44743</v>
      </c>
      <c r="AF959" s="146">
        <v>44774</v>
      </c>
      <c r="AG959" s="146">
        <v>44805</v>
      </c>
      <c r="AH959" s="146">
        <v>44835</v>
      </c>
      <c r="AI959" s="146">
        <v>44866</v>
      </c>
      <c r="AJ959" s="146">
        <v>44896</v>
      </c>
      <c r="AK959" s="146">
        <v>44927</v>
      </c>
      <c r="AL959" s="146">
        <v>44958</v>
      </c>
      <c r="AM959" s="146">
        <v>44986</v>
      </c>
      <c r="AN959" s="146">
        <v>45017</v>
      </c>
      <c r="AO959" s="146">
        <v>45047</v>
      </c>
      <c r="AP959" s="146">
        <v>45078</v>
      </c>
      <c r="AQ959" s="146">
        <v>45108</v>
      </c>
      <c r="AR959" s="146">
        <v>45139</v>
      </c>
      <c r="AS959" s="146">
        <v>45170</v>
      </c>
      <c r="AT959" s="146">
        <v>45200</v>
      </c>
      <c r="AU959" s="146">
        <v>45231</v>
      </c>
      <c r="AV959" s="146">
        <v>45261</v>
      </c>
      <c r="AW959" s="146">
        <v>45292</v>
      </c>
      <c r="AX959" s="146">
        <v>45323</v>
      </c>
      <c r="AY959" s="146">
        <v>45352</v>
      </c>
      <c r="AZ959" s="146">
        <v>45383</v>
      </c>
      <c r="BA959" s="146">
        <v>45413</v>
      </c>
      <c r="BB959" s="146">
        <v>45444</v>
      </c>
      <c r="BC959" s="146">
        <v>45474</v>
      </c>
      <c r="BD959" s="146">
        <v>45505</v>
      </c>
      <c r="BE959" s="146">
        <v>45536</v>
      </c>
      <c r="BF959" s="146">
        <v>45566</v>
      </c>
      <c r="BG959" s="146">
        <v>45597</v>
      </c>
      <c r="BH959" s="146">
        <v>45627</v>
      </c>
      <c r="BI959" s="146">
        <v>45658</v>
      </c>
      <c r="BJ959" s="146">
        <v>45689</v>
      </c>
      <c r="BK959" s="146">
        <v>45717</v>
      </c>
      <c r="BL959" s="146">
        <v>45748</v>
      </c>
      <c r="BM959" s="146">
        <v>45778</v>
      </c>
      <c r="BN959" s="146">
        <v>45809</v>
      </c>
      <c r="BO959" s="146">
        <v>45839</v>
      </c>
      <c r="BP959" s="146">
        <v>45870</v>
      </c>
      <c r="BQ959" s="146">
        <v>45901</v>
      </c>
      <c r="BR959" s="146">
        <v>45931</v>
      </c>
      <c r="BS959" s="146">
        <v>45962</v>
      </c>
      <c r="BT959" s="146">
        <v>45992</v>
      </c>
      <c r="BU959" s="146">
        <v>46023</v>
      </c>
      <c r="BV959" s="146">
        <v>46054</v>
      </c>
      <c r="BW959" s="146">
        <v>46082</v>
      </c>
      <c r="BX959" s="147" t="s">
        <v>13</v>
      </c>
      <c r="BY959" s="5"/>
      <c r="BZ959" s="5"/>
      <c r="CA959" s="5"/>
    </row>
    <row r="960" spans="1:81" s="178" customFormat="1" ht="15.75" customHeight="1">
      <c r="A960" s="226">
        <v>72</v>
      </c>
      <c r="B960" s="227" t="s">
        <v>271</v>
      </c>
      <c r="C960" s="227" t="s">
        <v>23</v>
      </c>
      <c r="D960" s="227" t="s">
        <v>89</v>
      </c>
      <c r="E960" s="227" t="s">
        <v>150</v>
      </c>
      <c r="F960" s="227" t="s">
        <v>150</v>
      </c>
      <c r="G960" s="233">
        <v>45953</v>
      </c>
      <c r="H960" s="227"/>
      <c r="I960" s="175" t="s">
        <v>390</v>
      </c>
      <c r="J960" s="175"/>
      <c r="K960" s="175"/>
      <c r="L960" s="175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  <c r="AA960" s="176"/>
      <c r="AB960" s="176"/>
      <c r="AC960" s="176"/>
      <c r="AD960" s="176"/>
      <c r="AE960" s="176"/>
      <c r="AF960" s="176"/>
      <c r="AG960" s="176"/>
      <c r="AH960" s="176"/>
      <c r="AI960" s="176"/>
      <c r="AJ960" s="176"/>
      <c r="AK960" s="176"/>
      <c r="AL960" s="176"/>
      <c r="AM960" s="176"/>
      <c r="AN960" s="176"/>
      <c r="AO960" s="176"/>
      <c r="AP960" s="176"/>
      <c r="AQ960" s="176"/>
      <c r="AR960" s="176"/>
      <c r="AS960" s="176"/>
      <c r="AT960" s="176"/>
      <c r="AU960" s="176"/>
      <c r="AV960" s="176"/>
      <c r="AW960" s="176"/>
      <c r="AX960" s="176"/>
      <c r="AY960" s="176"/>
      <c r="AZ960" s="176"/>
      <c r="BA960" s="176"/>
      <c r="BB960" s="176"/>
      <c r="BC960" s="176"/>
      <c r="BD960" s="176"/>
      <c r="BE960" s="176"/>
      <c r="BF960" s="176"/>
      <c r="BG960" s="176"/>
      <c r="BH960" s="176"/>
      <c r="BI960" s="176"/>
      <c r="BJ960" s="176"/>
      <c r="BK960" s="176"/>
      <c r="BL960" s="176"/>
      <c r="BM960" s="176"/>
      <c r="BN960" s="176"/>
      <c r="BO960" s="176"/>
      <c r="BP960" s="176"/>
      <c r="BQ960" s="176"/>
      <c r="BR960" s="176"/>
      <c r="BS960" s="176"/>
      <c r="BT960" s="176"/>
      <c r="BU960" s="176"/>
      <c r="BV960" s="176"/>
      <c r="BW960" s="176"/>
      <c r="BX960" s="176"/>
      <c r="BY960" s="191"/>
      <c r="BZ960" s="191"/>
      <c r="CA960" s="191"/>
      <c r="CC960" s="182"/>
    </row>
    <row r="961" spans="1:81" s="178" customFormat="1" ht="15.75" customHeight="1">
      <c r="A961" s="226"/>
      <c r="B961" s="227"/>
      <c r="C961" s="227"/>
      <c r="D961" s="227"/>
      <c r="E961" s="227"/>
      <c r="F961" s="227"/>
      <c r="G961" s="227"/>
      <c r="H961" s="227"/>
      <c r="I961" s="175" t="s">
        <v>351</v>
      </c>
      <c r="J961" s="175"/>
      <c r="K961" s="175"/>
      <c r="L961" s="175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  <c r="AA961" s="176"/>
      <c r="AB961" s="176"/>
      <c r="AC961" s="176"/>
      <c r="AD961" s="176"/>
      <c r="AE961" s="176"/>
      <c r="AF961" s="176"/>
      <c r="AG961" s="176"/>
      <c r="AH961" s="176"/>
      <c r="AI961" s="176"/>
      <c r="AJ961" s="176"/>
      <c r="AK961" s="176"/>
      <c r="AL961" s="176"/>
      <c r="AM961" s="176"/>
      <c r="AN961" s="176"/>
      <c r="AO961" s="176"/>
      <c r="AP961" s="176"/>
      <c r="AQ961" s="176"/>
      <c r="AR961" s="176"/>
      <c r="AS961" s="176"/>
      <c r="AT961" s="176"/>
      <c r="AU961" s="176"/>
      <c r="AV961" s="176"/>
      <c r="AW961" s="176"/>
      <c r="AX961" s="176"/>
      <c r="AY961" s="176"/>
      <c r="AZ961" s="176"/>
      <c r="BA961" s="176"/>
      <c r="BB961" s="176"/>
      <c r="BC961" s="176"/>
      <c r="BD961" s="176"/>
      <c r="BE961" s="176"/>
      <c r="BF961" s="176"/>
      <c r="BG961" s="176"/>
      <c r="BH961" s="176"/>
      <c r="BI961" s="176"/>
      <c r="BJ961" s="176"/>
      <c r="BK961" s="176"/>
      <c r="BL961" s="176"/>
      <c r="BM961" s="176"/>
      <c r="BN961" s="176"/>
      <c r="BO961" s="176"/>
      <c r="BP961" s="176"/>
      <c r="BQ961" s="176"/>
      <c r="BR961" s="176">
        <v>493.65</v>
      </c>
      <c r="BS961" s="176">
        <v>1849.81</v>
      </c>
      <c r="BT961" s="176">
        <v>1849.81</v>
      </c>
      <c r="BU961" s="176">
        <v>1849.81</v>
      </c>
      <c r="BV961" s="176">
        <v>1849.81</v>
      </c>
      <c r="BW961" s="176">
        <v>1849.81</v>
      </c>
      <c r="BX961" s="176"/>
      <c r="BY961" s="191"/>
      <c r="BZ961" s="191"/>
      <c r="CA961" s="191"/>
      <c r="CC961" s="182"/>
    </row>
    <row r="962" spans="1:81" s="178" customFormat="1" ht="15.75" customHeight="1">
      <c r="A962" s="226"/>
      <c r="B962" s="227"/>
      <c r="C962" s="227"/>
      <c r="D962" s="227"/>
      <c r="E962" s="227"/>
      <c r="F962" s="227"/>
      <c r="G962" s="227"/>
      <c r="H962" s="227"/>
      <c r="I962" s="175" t="s">
        <v>391</v>
      </c>
      <c r="J962" s="175"/>
      <c r="K962" s="175"/>
      <c r="L962" s="175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7"/>
      <c r="Z962" s="176"/>
      <c r="AA962" s="176"/>
      <c r="AB962" s="176"/>
      <c r="AC962" s="176"/>
      <c r="AD962" s="176"/>
      <c r="AE962" s="176"/>
      <c r="AF962" s="176"/>
      <c r="AG962" s="176"/>
      <c r="AH962" s="176"/>
      <c r="AI962" s="176"/>
      <c r="AJ962" s="176"/>
      <c r="AK962" s="176"/>
      <c r="AL962" s="176"/>
      <c r="AM962" s="176"/>
      <c r="AN962" s="176"/>
      <c r="AO962" s="176"/>
      <c r="AP962" s="176"/>
      <c r="AQ962" s="176"/>
      <c r="AR962" s="176"/>
      <c r="AS962" s="176"/>
      <c r="AT962" s="176"/>
      <c r="AU962" s="176"/>
      <c r="AV962" s="176"/>
      <c r="AW962" s="176"/>
      <c r="AX962" s="176"/>
      <c r="AY962" s="176"/>
      <c r="AZ962" s="176"/>
      <c r="BA962" s="176"/>
      <c r="BB962" s="176"/>
      <c r="BC962" s="176"/>
      <c r="BD962" s="176"/>
      <c r="BE962" s="176"/>
      <c r="BF962" s="176"/>
      <c r="BG962" s="176"/>
      <c r="BH962" s="176"/>
      <c r="BI962" s="176"/>
      <c r="BJ962" s="176"/>
      <c r="BK962" s="176"/>
      <c r="BL962" s="176"/>
      <c r="BM962" s="176"/>
      <c r="BN962" s="176"/>
      <c r="BO962" s="176"/>
      <c r="BP962" s="176"/>
      <c r="BQ962" s="176"/>
      <c r="BR962" s="176"/>
      <c r="BS962" s="176"/>
      <c r="BT962" s="176"/>
      <c r="BU962" s="176"/>
      <c r="BV962" s="176"/>
      <c r="BW962" s="176"/>
      <c r="BX962" s="176"/>
      <c r="BY962" s="191"/>
      <c r="BZ962" s="191"/>
      <c r="CA962" s="191"/>
      <c r="CC962" s="182"/>
    </row>
    <row r="963" spans="1:81" s="178" customFormat="1" ht="15.75" customHeight="1">
      <c r="A963" s="226"/>
      <c r="B963" s="227"/>
      <c r="C963" s="227"/>
      <c r="D963" s="227"/>
      <c r="E963" s="227"/>
      <c r="F963" s="227"/>
      <c r="G963" s="227"/>
      <c r="H963" s="227"/>
      <c r="I963" s="175" t="s">
        <v>351</v>
      </c>
      <c r="J963" s="175"/>
      <c r="K963" s="175"/>
      <c r="L963" s="175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7"/>
      <c r="Z963" s="176"/>
      <c r="AA963" s="176"/>
      <c r="AB963" s="176"/>
      <c r="AC963" s="176"/>
      <c r="AD963" s="176"/>
      <c r="AE963" s="176"/>
      <c r="AF963" s="176"/>
      <c r="AG963" s="176"/>
      <c r="AH963" s="176"/>
      <c r="AI963" s="176"/>
      <c r="AJ963" s="176"/>
      <c r="AK963" s="176"/>
      <c r="AL963" s="176"/>
      <c r="AM963" s="176"/>
      <c r="AN963" s="176"/>
      <c r="AO963" s="176"/>
      <c r="AP963" s="176"/>
      <c r="AQ963" s="176"/>
      <c r="AR963" s="176"/>
      <c r="AS963" s="176"/>
      <c r="AT963" s="176"/>
      <c r="AU963" s="176"/>
      <c r="AV963" s="176"/>
      <c r="AW963" s="176"/>
      <c r="AX963" s="176"/>
      <c r="AY963" s="176"/>
      <c r="AZ963" s="176"/>
      <c r="BA963" s="176"/>
      <c r="BB963" s="176"/>
      <c r="BC963" s="176"/>
      <c r="BD963" s="176"/>
      <c r="BE963" s="176"/>
      <c r="BF963" s="176"/>
      <c r="BG963" s="176"/>
      <c r="BH963" s="176"/>
      <c r="BI963" s="176"/>
      <c r="BJ963" s="176"/>
      <c r="BK963" s="176"/>
      <c r="BL963" s="176"/>
      <c r="BM963" s="176"/>
      <c r="BN963" s="176"/>
      <c r="BO963" s="176"/>
      <c r="BP963" s="176"/>
      <c r="BQ963" s="176"/>
      <c r="BR963" s="176"/>
      <c r="BS963" s="176"/>
      <c r="BT963" s="176"/>
      <c r="BU963" s="176"/>
      <c r="BV963" s="176"/>
      <c r="BW963" s="176"/>
      <c r="BX963" s="176"/>
      <c r="BY963" s="191"/>
      <c r="BZ963" s="191"/>
      <c r="CA963" s="191"/>
      <c r="CC963" s="182"/>
    </row>
    <row r="964" spans="1:81" s="178" customFormat="1" ht="15.75" customHeight="1">
      <c r="A964" s="226"/>
      <c r="B964" s="227"/>
      <c r="C964" s="227"/>
      <c r="D964" s="227"/>
      <c r="E964" s="227"/>
      <c r="F964" s="227"/>
      <c r="G964" s="227"/>
      <c r="H964" s="227"/>
      <c r="I964" s="175" t="s">
        <v>353</v>
      </c>
      <c r="J964" s="175"/>
      <c r="K964" s="175"/>
      <c r="L964" s="175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  <c r="AA964" s="176"/>
      <c r="AB964" s="176"/>
      <c r="AC964" s="176"/>
      <c r="AD964" s="176"/>
      <c r="AE964" s="176"/>
      <c r="AF964" s="176"/>
      <c r="AG964" s="176"/>
      <c r="AH964" s="176"/>
      <c r="AI964" s="176"/>
      <c r="AJ964" s="176"/>
      <c r="AK964" s="176"/>
      <c r="AL964" s="176"/>
      <c r="AM964" s="176"/>
      <c r="AN964" s="176"/>
      <c r="AO964" s="176"/>
      <c r="AP964" s="176"/>
      <c r="AQ964" s="176"/>
      <c r="AR964" s="176"/>
      <c r="AS964" s="176"/>
      <c r="AT964" s="176"/>
      <c r="AU964" s="176"/>
      <c r="AV964" s="176"/>
      <c r="AW964" s="176"/>
      <c r="AX964" s="176"/>
      <c r="AY964" s="176"/>
      <c r="AZ964" s="176"/>
      <c r="BA964" s="176"/>
      <c r="BB964" s="176"/>
      <c r="BC964" s="176"/>
      <c r="BD964" s="176"/>
      <c r="BE964" s="176"/>
      <c r="BF964" s="176"/>
      <c r="BG964" s="176"/>
      <c r="BH964" s="176"/>
      <c r="BI964" s="176"/>
      <c r="BJ964" s="176"/>
      <c r="BK964" s="176"/>
      <c r="BL964" s="176"/>
      <c r="BM964" s="176"/>
      <c r="BN964" s="176"/>
      <c r="BO964" s="176"/>
      <c r="BP964" s="176"/>
      <c r="BQ964" s="176"/>
      <c r="BR964" s="176"/>
      <c r="BS964" s="176"/>
      <c r="BT964" s="176"/>
      <c r="BU964" s="176"/>
      <c r="BV964" s="176"/>
      <c r="BW964" s="176"/>
      <c r="BX964" s="176"/>
      <c r="BY964" s="191"/>
      <c r="BZ964" s="191"/>
      <c r="CA964" s="191"/>
      <c r="CC964" s="182"/>
    </row>
    <row r="965" spans="1:81" s="178" customFormat="1" ht="15.75" customHeight="1">
      <c r="A965" s="226"/>
      <c r="B965" s="227"/>
      <c r="C965" s="227"/>
      <c r="D965" s="227"/>
      <c r="E965" s="227"/>
      <c r="F965" s="227"/>
      <c r="G965" s="227"/>
      <c r="H965" s="227"/>
      <c r="I965" s="175" t="s">
        <v>354</v>
      </c>
      <c r="J965" s="175"/>
      <c r="K965" s="175"/>
      <c r="L965" s="175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  <c r="AA965" s="176"/>
      <c r="AB965" s="176"/>
      <c r="AC965" s="176"/>
      <c r="AD965" s="176"/>
      <c r="AE965" s="176"/>
      <c r="AF965" s="176"/>
      <c r="AG965" s="176"/>
      <c r="AH965" s="176"/>
      <c r="AI965" s="176"/>
      <c r="AJ965" s="176"/>
      <c r="AK965" s="176"/>
      <c r="AL965" s="176"/>
      <c r="AM965" s="176"/>
      <c r="AN965" s="176"/>
      <c r="AO965" s="176"/>
      <c r="AP965" s="176"/>
      <c r="AQ965" s="176"/>
      <c r="AR965" s="176"/>
      <c r="AS965" s="176"/>
      <c r="AT965" s="176"/>
      <c r="AU965" s="176"/>
      <c r="AV965" s="176"/>
      <c r="AW965" s="176"/>
      <c r="AX965" s="176"/>
      <c r="AY965" s="176"/>
      <c r="AZ965" s="176"/>
      <c r="BA965" s="176"/>
      <c r="BB965" s="176"/>
      <c r="BC965" s="176"/>
      <c r="BD965" s="176"/>
      <c r="BE965" s="176"/>
      <c r="BF965" s="176"/>
      <c r="BG965" s="176"/>
      <c r="BH965" s="176"/>
      <c r="BI965" s="176"/>
      <c r="BJ965" s="176"/>
      <c r="BK965" s="176"/>
      <c r="BL965" s="176"/>
      <c r="BM965" s="176"/>
      <c r="BN965" s="176"/>
      <c r="BO965" s="176"/>
      <c r="BP965" s="176"/>
      <c r="BQ965" s="176"/>
      <c r="BR965" s="176">
        <f>175+96</f>
        <v>271</v>
      </c>
      <c r="BS965" s="176">
        <f>488.5+320</f>
        <v>808.5</v>
      </c>
      <c r="BT965" s="176">
        <v>808.5</v>
      </c>
      <c r="BU965" s="176">
        <f>546+320</f>
        <v>866</v>
      </c>
      <c r="BV965" s="176">
        <f>512+320</f>
        <v>832</v>
      </c>
      <c r="BW965" s="176">
        <f>559+320</f>
        <v>879</v>
      </c>
      <c r="BX965" s="176"/>
      <c r="BY965" s="191"/>
      <c r="BZ965" s="191"/>
      <c r="CA965" s="191"/>
      <c r="CC965" s="182"/>
    </row>
    <row r="966" spans="1:81" s="178" customFormat="1" ht="15.75" customHeight="1">
      <c r="A966" s="226"/>
      <c r="B966" s="227"/>
      <c r="C966" s="227"/>
      <c r="D966" s="227"/>
      <c r="E966" s="227"/>
      <c r="F966" s="227"/>
      <c r="G966" s="227"/>
      <c r="H966" s="227"/>
      <c r="I966" s="175" t="s">
        <v>355</v>
      </c>
      <c r="J966" s="175"/>
      <c r="K966" s="175"/>
      <c r="L966" s="175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  <c r="AA966" s="176"/>
      <c r="AB966" s="176"/>
      <c r="AC966" s="176"/>
      <c r="AD966" s="176"/>
      <c r="AE966" s="176"/>
      <c r="AF966" s="176"/>
      <c r="AG966" s="176"/>
      <c r="AH966" s="176"/>
      <c r="AI966" s="176"/>
      <c r="AJ966" s="176"/>
      <c r="AK966" s="176"/>
      <c r="AL966" s="176"/>
      <c r="AM966" s="176"/>
      <c r="AN966" s="176"/>
      <c r="AO966" s="176"/>
      <c r="AP966" s="176"/>
      <c r="AQ966" s="176"/>
      <c r="AR966" s="176"/>
      <c r="AS966" s="176"/>
      <c r="AT966" s="176"/>
      <c r="AU966" s="176"/>
      <c r="AV966" s="176"/>
      <c r="AW966" s="176"/>
      <c r="AX966" s="176"/>
      <c r="AY966" s="176"/>
      <c r="AZ966" s="176"/>
      <c r="BA966" s="176"/>
      <c r="BB966" s="176"/>
      <c r="BC966" s="176"/>
      <c r="BD966" s="176"/>
      <c r="BE966" s="176"/>
      <c r="BF966" s="176"/>
      <c r="BG966" s="176"/>
      <c r="BH966" s="176"/>
      <c r="BI966" s="176"/>
      <c r="BJ966" s="176"/>
      <c r="BK966" s="176"/>
      <c r="BL966" s="176"/>
      <c r="BM966" s="176"/>
      <c r="BN966" s="176"/>
      <c r="BO966" s="176"/>
      <c r="BP966" s="176"/>
      <c r="BQ966" s="176"/>
      <c r="BR966" s="176"/>
      <c r="BS966" s="176"/>
      <c r="BT966" s="176"/>
      <c r="BU966" s="176"/>
      <c r="BV966" s="176"/>
      <c r="BW966" s="176"/>
      <c r="BX966" s="176"/>
      <c r="BY966" s="191"/>
      <c r="BZ966" s="191"/>
      <c r="CA966" s="191"/>
      <c r="CC966" s="182"/>
    </row>
    <row r="967" spans="1:81" s="178" customFormat="1" ht="15.75" customHeight="1">
      <c r="A967" s="226"/>
      <c r="B967" s="227"/>
      <c r="C967" s="227"/>
      <c r="D967" s="227"/>
      <c r="E967" s="227"/>
      <c r="F967" s="227"/>
      <c r="G967" s="227"/>
      <c r="H967" s="227"/>
      <c r="I967" s="175" t="s">
        <v>357</v>
      </c>
      <c r="J967" s="175"/>
      <c r="K967" s="175"/>
      <c r="L967" s="175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  <c r="AA967" s="176"/>
      <c r="AB967" s="176"/>
      <c r="AC967" s="176"/>
      <c r="AD967" s="176"/>
      <c r="AE967" s="176"/>
      <c r="AF967" s="176"/>
      <c r="AG967" s="176"/>
      <c r="AH967" s="176"/>
      <c r="AI967" s="176"/>
      <c r="AJ967" s="176"/>
      <c r="AK967" s="176"/>
      <c r="AL967" s="176"/>
      <c r="AM967" s="176"/>
      <c r="AN967" s="176"/>
      <c r="AO967" s="176"/>
      <c r="AP967" s="176"/>
      <c r="AQ967" s="176"/>
      <c r="AR967" s="176"/>
      <c r="AS967" s="176"/>
      <c r="AT967" s="176"/>
      <c r="AU967" s="176"/>
      <c r="AV967" s="176"/>
      <c r="AW967" s="176"/>
      <c r="AX967" s="176"/>
      <c r="AY967" s="176"/>
      <c r="AZ967" s="176"/>
      <c r="BA967" s="176"/>
      <c r="BB967" s="176"/>
      <c r="BC967" s="176"/>
      <c r="BD967" s="176"/>
      <c r="BE967" s="176"/>
      <c r="BF967" s="176"/>
      <c r="BG967" s="176"/>
      <c r="BH967" s="176"/>
      <c r="BI967" s="176"/>
      <c r="BJ967" s="176"/>
      <c r="BK967" s="176"/>
      <c r="BL967" s="176"/>
      <c r="BM967" s="176"/>
      <c r="BN967" s="176"/>
      <c r="BO967" s="176"/>
      <c r="BP967" s="176"/>
      <c r="BQ967" s="176"/>
      <c r="BR967" s="176"/>
      <c r="BS967" s="176"/>
      <c r="BT967" s="176"/>
      <c r="BU967" s="176"/>
      <c r="BV967" s="176"/>
      <c r="BW967" s="176"/>
      <c r="BX967" s="176"/>
      <c r="BY967" s="191"/>
      <c r="BZ967" s="191"/>
      <c r="CA967" s="191"/>
      <c r="CC967" s="182"/>
    </row>
    <row r="968" spans="1:81" s="178" customFormat="1" ht="15.75" customHeight="1">
      <c r="A968" s="226"/>
      <c r="B968" s="227"/>
      <c r="C968" s="227"/>
      <c r="D968" s="227"/>
      <c r="E968" s="227"/>
      <c r="F968" s="227"/>
      <c r="G968" s="227"/>
      <c r="H968" s="227"/>
      <c r="I968" s="184" t="s">
        <v>362</v>
      </c>
      <c r="J968" s="175"/>
      <c r="K968" s="175"/>
      <c r="L968" s="175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  <c r="AA968" s="176"/>
      <c r="AB968" s="176"/>
      <c r="AC968" s="176"/>
      <c r="AD968" s="176"/>
      <c r="AE968" s="176"/>
      <c r="AF968" s="176"/>
      <c r="AG968" s="176"/>
      <c r="AH968" s="176"/>
      <c r="AI968" s="176"/>
      <c r="AJ968" s="176"/>
      <c r="AK968" s="176"/>
      <c r="AL968" s="176"/>
      <c r="AM968" s="176"/>
      <c r="AN968" s="176"/>
      <c r="AO968" s="176"/>
      <c r="AP968" s="176"/>
      <c r="AQ968" s="176"/>
      <c r="AR968" s="176"/>
      <c r="AS968" s="176"/>
      <c r="AT968" s="176"/>
      <c r="AU968" s="176"/>
      <c r="AV968" s="176"/>
      <c r="AW968" s="176"/>
      <c r="AX968" s="176"/>
      <c r="AY968" s="176"/>
      <c r="AZ968" s="176"/>
      <c r="BA968" s="176"/>
      <c r="BB968" s="176"/>
      <c r="BC968" s="176"/>
      <c r="BD968" s="176"/>
      <c r="BE968" s="176"/>
      <c r="BF968" s="176"/>
      <c r="BG968" s="176"/>
      <c r="BH968" s="176"/>
      <c r="BI968" s="176"/>
      <c r="BJ968" s="176"/>
      <c r="BK968" s="176"/>
      <c r="BL968" s="176"/>
      <c r="BM968" s="176"/>
      <c r="BN968" s="176"/>
      <c r="BO968" s="176"/>
      <c r="BP968" s="176"/>
      <c r="BQ968" s="176"/>
      <c r="BR968" s="176"/>
      <c r="BS968" s="176"/>
      <c r="BT968" s="176"/>
      <c r="BU968" s="176"/>
      <c r="BV968" s="176"/>
      <c r="BW968" s="176"/>
      <c r="BX968" s="176"/>
      <c r="BY968" s="191"/>
      <c r="BZ968" s="191"/>
      <c r="CA968" s="191"/>
      <c r="CC968" s="182"/>
    </row>
    <row r="969" spans="1:81" s="178" customFormat="1">
      <c r="A969" s="226"/>
      <c r="B969" s="227"/>
      <c r="C969" s="227"/>
      <c r="D969" s="227"/>
      <c r="E969" s="227"/>
      <c r="F969" s="227"/>
      <c r="G969" s="227"/>
      <c r="H969" s="227"/>
      <c r="I969" s="190" t="s">
        <v>363</v>
      </c>
      <c r="J969" s="190"/>
      <c r="K969" s="190"/>
      <c r="L969" s="190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  <c r="AA969" s="176"/>
      <c r="AB969" s="176"/>
      <c r="AC969" s="176"/>
      <c r="AD969" s="176"/>
      <c r="AE969" s="176"/>
      <c r="AF969" s="176"/>
      <c r="AG969" s="176"/>
      <c r="AH969" s="176"/>
      <c r="AI969" s="176"/>
      <c r="AJ969" s="176"/>
      <c r="AK969" s="176"/>
      <c r="AL969" s="176"/>
      <c r="AM969" s="176"/>
      <c r="AN969" s="176"/>
      <c r="AO969" s="176"/>
      <c r="AP969" s="176"/>
      <c r="AQ969" s="176"/>
      <c r="AR969" s="176"/>
      <c r="AS969" s="176"/>
      <c r="AT969" s="176"/>
      <c r="AU969" s="176"/>
      <c r="AV969" s="176"/>
      <c r="AW969" s="176"/>
      <c r="AX969" s="176"/>
      <c r="AY969" s="176"/>
      <c r="AZ969" s="176"/>
      <c r="BA969" s="176"/>
      <c r="BB969" s="176"/>
      <c r="BC969" s="176"/>
      <c r="BD969" s="176"/>
      <c r="BE969" s="176"/>
      <c r="BF969" s="176"/>
      <c r="BG969" s="176"/>
      <c r="BH969" s="176"/>
      <c r="BI969" s="176"/>
      <c r="BJ969" s="176"/>
      <c r="BK969" s="176"/>
      <c r="BL969" s="176"/>
      <c r="BM969" s="176"/>
      <c r="BN969" s="176"/>
      <c r="BO969" s="176"/>
      <c r="BP969" s="176"/>
      <c r="BQ969" s="176"/>
      <c r="BR969" s="176"/>
      <c r="BS969" s="176"/>
      <c r="BT969" s="176"/>
      <c r="BU969" s="176"/>
      <c r="BV969" s="176"/>
      <c r="BW969" s="176"/>
      <c r="BX969" s="176"/>
      <c r="BY969" s="191"/>
      <c r="BZ969" s="191"/>
    </row>
    <row r="970" spans="1:81" s="178" customFormat="1">
      <c r="A970" s="226"/>
      <c r="B970" s="227"/>
      <c r="C970" s="227"/>
      <c r="D970" s="227"/>
      <c r="E970" s="227"/>
      <c r="F970" s="227"/>
      <c r="G970" s="227"/>
      <c r="H970" s="227"/>
      <c r="I970" s="193" t="s">
        <v>373</v>
      </c>
      <c r="J970" s="193"/>
      <c r="K970" s="193"/>
      <c r="L970" s="193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  <c r="AA970" s="176"/>
      <c r="AB970" s="176"/>
      <c r="AC970" s="176"/>
      <c r="AD970" s="176"/>
      <c r="AE970" s="176"/>
      <c r="AF970" s="176"/>
      <c r="AG970" s="176"/>
      <c r="AH970" s="176"/>
      <c r="AI970" s="176"/>
      <c r="AJ970" s="176"/>
      <c r="AK970" s="176"/>
      <c r="AL970" s="176"/>
      <c r="AM970" s="176"/>
      <c r="AN970" s="176"/>
      <c r="AO970" s="176"/>
      <c r="AP970" s="176"/>
      <c r="AQ970" s="176"/>
      <c r="AR970" s="176"/>
      <c r="AS970" s="176"/>
      <c r="AT970" s="176"/>
      <c r="AU970" s="176"/>
      <c r="AV970" s="176"/>
      <c r="AW970" s="176"/>
      <c r="AX970" s="176"/>
      <c r="AY970" s="176"/>
      <c r="AZ970" s="176"/>
      <c r="BA970" s="176"/>
      <c r="BB970" s="176"/>
      <c r="BC970" s="176"/>
      <c r="BD970" s="176"/>
      <c r="BE970" s="176"/>
      <c r="BF970" s="176"/>
      <c r="BG970" s="176"/>
      <c r="BH970" s="176"/>
      <c r="BI970" s="176"/>
      <c r="BJ970" s="176"/>
      <c r="BK970" s="176"/>
      <c r="BL970" s="176"/>
      <c r="BM970" s="176"/>
      <c r="BN970" s="176"/>
      <c r="BO970" s="176"/>
      <c r="BP970" s="176"/>
      <c r="BQ970" s="176"/>
      <c r="BR970" s="176">
        <v>66.59</v>
      </c>
      <c r="BS970" s="176">
        <v>263.55</v>
      </c>
      <c r="BT970" s="176">
        <v>364.64</v>
      </c>
      <c r="BU970" s="176">
        <v>364.64</v>
      </c>
      <c r="BV970" s="176">
        <v>364.64</v>
      </c>
      <c r="BW970" s="176">
        <f>993.07-739.92</f>
        <v>253.15000000000009</v>
      </c>
      <c r="BX970" s="176"/>
      <c r="BY970" s="191"/>
      <c r="BZ970" s="191"/>
    </row>
    <row r="971" spans="1:81" s="178" customFormat="1">
      <c r="A971" s="226"/>
      <c r="B971" s="227"/>
      <c r="C971" s="227"/>
      <c r="D971" s="227"/>
      <c r="E971" s="227"/>
      <c r="F971" s="227"/>
      <c r="G971" s="227"/>
      <c r="H971" s="227"/>
      <c r="I971" s="190"/>
      <c r="J971" s="176">
        <f>SUM(J960:J969)-J970</f>
        <v>0</v>
      </c>
      <c r="K971" s="176">
        <f t="shared" ref="K971:Y971" si="487">SUM(K960:K969)-K970</f>
        <v>0</v>
      </c>
      <c r="L971" s="176">
        <f t="shared" si="487"/>
        <v>0</v>
      </c>
      <c r="M971" s="176">
        <f t="shared" si="487"/>
        <v>0</v>
      </c>
      <c r="N971" s="176">
        <f t="shared" si="487"/>
        <v>0</v>
      </c>
      <c r="O971" s="176">
        <f t="shared" si="487"/>
        <v>0</v>
      </c>
      <c r="P971" s="176">
        <f t="shared" si="487"/>
        <v>0</v>
      </c>
      <c r="Q971" s="176">
        <f t="shared" si="487"/>
        <v>0</v>
      </c>
      <c r="R971" s="176">
        <f t="shared" si="487"/>
        <v>0</v>
      </c>
      <c r="S971" s="176">
        <f t="shared" si="487"/>
        <v>0</v>
      </c>
      <c r="T971" s="176">
        <f t="shared" si="487"/>
        <v>0</v>
      </c>
      <c r="U971" s="176">
        <f t="shared" si="487"/>
        <v>0</v>
      </c>
      <c r="V971" s="176">
        <f t="shared" si="487"/>
        <v>0</v>
      </c>
      <c r="W971" s="176">
        <f t="shared" si="487"/>
        <v>0</v>
      </c>
      <c r="X971" s="176">
        <f t="shared" si="487"/>
        <v>0</v>
      </c>
      <c r="Y971" s="176">
        <f t="shared" si="487"/>
        <v>0</v>
      </c>
      <c r="Z971" s="176">
        <f>SUM(Z960:Z969)-Z970</f>
        <v>0</v>
      </c>
      <c r="AA971" s="176">
        <f t="shared" ref="AA971:AD971" si="488">SUM(AA960:AA969)-AA970</f>
        <v>0</v>
      </c>
      <c r="AB971" s="176">
        <f t="shared" si="488"/>
        <v>0</v>
      </c>
      <c r="AC971" s="176">
        <f t="shared" si="488"/>
        <v>0</v>
      </c>
      <c r="AD971" s="176">
        <f t="shared" si="488"/>
        <v>0</v>
      </c>
      <c r="AE971" s="176">
        <f>SUM(AE960:AE969)-AE970</f>
        <v>0</v>
      </c>
      <c r="AF971" s="176">
        <f>SUM(AF960:AF969)-AF970</f>
        <v>0</v>
      </c>
      <c r="AG971" s="176">
        <f t="shared" ref="AG971:AP971" si="489">SUM(AG960:AG969)-AG970</f>
        <v>0</v>
      </c>
      <c r="AH971" s="176">
        <f t="shared" si="489"/>
        <v>0</v>
      </c>
      <c r="AI971" s="176">
        <f t="shared" si="489"/>
        <v>0</v>
      </c>
      <c r="AJ971" s="176">
        <f t="shared" si="489"/>
        <v>0</v>
      </c>
      <c r="AK971" s="176">
        <f t="shared" si="489"/>
        <v>0</v>
      </c>
      <c r="AL971" s="176">
        <f t="shared" si="489"/>
        <v>0</v>
      </c>
      <c r="AM971" s="176">
        <f t="shared" si="489"/>
        <v>0</v>
      </c>
      <c r="AN971" s="176">
        <f t="shared" si="489"/>
        <v>0</v>
      </c>
      <c r="AO971" s="176">
        <f t="shared" si="489"/>
        <v>0</v>
      </c>
      <c r="AP971" s="176">
        <f t="shared" si="489"/>
        <v>0</v>
      </c>
      <c r="AQ971" s="176">
        <f t="shared" ref="AQ971:AU971" si="490">SUM(AQ960:AQ969)-AQ970</f>
        <v>0</v>
      </c>
      <c r="AR971" s="176">
        <f t="shared" si="490"/>
        <v>0</v>
      </c>
      <c r="AS971" s="176">
        <f t="shared" si="490"/>
        <v>0</v>
      </c>
      <c r="AT971" s="176">
        <f t="shared" si="490"/>
        <v>0</v>
      </c>
      <c r="AU971" s="176">
        <f t="shared" si="490"/>
        <v>0</v>
      </c>
      <c r="AV971" s="176">
        <f>SUM(AV960:AV969)-AV970</f>
        <v>0</v>
      </c>
      <c r="AW971" s="176">
        <f t="shared" ref="AW971:BA971" si="491">SUM(AW960:AW969)-AW970</f>
        <v>0</v>
      </c>
      <c r="AX971" s="176">
        <f t="shared" si="491"/>
        <v>0</v>
      </c>
      <c r="AY971" s="176">
        <f t="shared" si="491"/>
        <v>0</v>
      </c>
      <c r="AZ971" s="176">
        <f t="shared" si="491"/>
        <v>0</v>
      </c>
      <c r="BA971" s="176">
        <f t="shared" si="491"/>
        <v>0</v>
      </c>
      <c r="BB971" s="176"/>
      <c r="BC971" s="176"/>
      <c r="BD971" s="176"/>
      <c r="BE971" s="176"/>
      <c r="BF971" s="176"/>
      <c r="BG971" s="176"/>
      <c r="BH971" s="176"/>
      <c r="BI971" s="176"/>
      <c r="BJ971" s="176"/>
      <c r="BK971" s="176"/>
      <c r="BL971" s="176"/>
      <c r="BM971" s="176">
        <f>BM961+BM967-BM970+BM965</f>
        <v>0</v>
      </c>
      <c r="BN971" s="176">
        <f>BN961+BN967-BN970+BN965</f>
        <v>0</v>
      </c>
      <c r="BO971" s="176">
        <f>BO961+BO967-BO970+BO965</f>
        <v>0</v>
      </c>
      <c r="BP971" s="176">
        <f>BP961+BP967-BP970+BP965</f>
        <v>0</v>
      </c>
      <c r="BQ971" s="176"/>
      <c r="BR971" s="176">
        <f>BR961+BR967-BR970+BR965</f>
        <v>698.06</v>
      </c>
      <c r="BS971" s="176">
        <f>BS961+BS967-BS970+BS965</f>
        <v>2394.7600000000002</v>
      </c>
      <c r="BT971" s="176">
        <f>BT961+BT967-BT970+BT965</f>
        <v>2293.67</v>
      </c>
      <c r="BU971" s="176">
        <f>BU961+BU967-BU970+BU965</f>
        <v>2351.17</v>
      </c>
      <c r="BV971" s="176">
        <f>BV961+BV967-BV970+BV965</f>
        <v>2317.17</v>
      </c>
      <c r="BW971" s="176">
        <f>BW961+BW965-BW970</f>
        <v>2475.66</v>
      </c>
      <c r="BX971" s="176">
        <f>SUM(BD971:BW971)</f>
        <v>12530.49</v>
      </c>
      <c r="BY971" s="191"/>
      <c r="BZ971" s="191"/>
    </row>
    <row r="972" spans="1:81" ht="15.6" customHeight="1">
      <c r="A972" s="148" t="s">
        <v>346</v>
      </c>
      <c r="B972" s="148" t="s">
        <v>347</v>
      </c>
      <c r="C972" s="145" t="s">
        <v>310</v>
      </c>
      <c r="D972" s="145" t="s">
        <v>311</v>
      </c>
      <c r="E972" s="148" t="s">
        <v>312</v>
      </c>
      <c r="F972" s="148" t="s">
        <v>348</v>
      </c>
      <c r="G972" s="145" t="s">
        <v>314</v>
      </c>
      <c r="H972" s="145" t="s">
        <v>315</v>
      </c>
      <c r="I972" s="145" t="s">
        <v>349</v>
      </c>
      <c r="J972" s="146">
        <v>44105</v>
      </c>
      <c r="K972" s="146">
        <v>44136</v>
      </c>
      <c r="L972" s="146">
        <v>44166</v>
      </c>
      <c r="M972" s="146">
        <v>44197</v>
      </c>
      <c r="N972" s="146">
        <v>44228</v>
      </c>
      <c r="O972" s="146">
        <v>44256</v>
      </c>
      <c r="P972" s="146">
        <v>44287</v>
      </c>
      <c r="Q972" s="146">
        <v>44317</v>
      </c>
      <c r="R972" s="146">
        <v>44348</v>
      </c>
      <c r="S972" s="146">
        <v>44378</v>
      </c>
      <c r="T972" s="146">
        <v>44409</v>
      </c>
      <c r="U972" s="146">
        <v>44440</v>
      </c>
      <c r="V972" s="146">
        <v>44470</v>
      </c>
      <c r="W972" s="146">
        <v>44501</v>
      </c>
      <c r="X972" s="146">
        <v>44531</v>
      </c>
      <c r="Y972" s="146">
        <v>44562</v>
      </c>
      <c r="Z972" s="146">
        <v>44593</v>
      </c>
      <c r="AA972" s="146">
        <v>44621</v>
      </c>
      <c r="AB972" s="146">
        <v>44652</v>
      </c>
      <c r="AC972" s="146">
        <v>44682</v>
      </c>
      <c r="AD972" s="146">
        <v>44713</v>
      </c>
      <c r="AE972" s="146">
        <v>44743</v>
      </c>
      <c r="AF972" s="146">
        <v>44774</v>
      </c>
      <c r="AG972" s="146">
        <v>44805</v>
      </c>
      <c r="AH972" s="146">
        <v>44835</v>
      </c>
      <c r="AI972" s="146">
        <v>44866</v>
      </c>
      <c r="AJ972" s="146">
        <v>44896</v>
      </c>
      <c r="AK972" s="146">
        <v>44927</v>
      </c>
      <c r="AL972" s="146">
        <v>44958</v>
      </c>
      <c r="AM972" s="146">
        <v>44986</v>
      </c>
      <c r="AN972" s="146">
        <v>45017</v>
      </c>
      <c r="AO972" s="146">
        <v>45047</v>
      </c>
      <c r="AP972" s="146">
        <v>45078</v>
      </c>
      <c r="AQ972" s="146">
        <v>45108</v>
      </c>
      <c r="AR972" s="146">
        <v>45139</v>
      </c>
      <c r="AS972" s="146">
        <v>45170</v>
      </c>
      <c r="AT972" s="146">
        <v>45200</v>
      </c>
      <c r="AU972" s="146">
        <v>45231</v>
      </c>
      <c r="AV972" s="146">
        <v>45261</v>
      </c>
      <c r="AW972" s="146">
        <v>45292</v>
      </c>
      <c r="AX972" s="146">
        <v>45323</v>
      </c>
      <c r="AY972" s="146">
        <v>45352</v>
      </c>
      <c r="AZ972" s="146">
        <v>45383</v>
      </c>
      <c r="BA972" s="146">
        <v>45413</v>
      </c>
      <c r="BB972" s="146">
        <v>45444</v>
      </c>
      <c r="BC972" s="146">
        <v>45474</v>
      </c>
      <c r="BD972" s="146">
        <v>45505</v>
      </c>
      <c r="BE972" s="146">
        <v>45536</v>
      </c>
      <c r="BF972" s="146">
        <v>45566</v>
      </c>
      <c r="BG972" s="146">
        <v>45597</v>
      </c>
      <c r="BH972" s="146">
        <v>45627</v>
      </c>
      <c r="BI972" s="146">
        <v>45658</v>
      </c>
      <c r="BJ972" s="146">
        <v>45689</v>
      </c>
      <c r="BK972" s="146">
        <v>45717</v>
      </c>
      <c r="BL972" s="146">
        <v>45748</v>
      </c>
      <c r="BM972" s="146">
        <v>45778</v>
      </c>
      <c r="BN972" s="146">
        <v>45809</v>
      </c>
      <c r="BO972" s="146">
        <v>45839</v>
      </c>
      <c r="BP972" s="146">
        <v>45870</v>
      </c>
      <c r="BQ972" s="146">
        <v>45901</v>
      </c>
      <c r="BR972" s="146">
        <v>45931</v>
      </c>
      <c r="BS972" s="146">
        <v>45962</v>
      </c>
      <c r="BT972" s="146">
        <v>45992</v>
      </c>
      <c r="BU972" s="146">
        <v>46023</v>
      </c>
      <c r="BV972" s="146">
        <v>46054</v>
      </c>
      <c r="BW972" s="146">
        <v>46082</v>
      </c>
      <c r="BX972" s="147" t="s">
        <v>13</v>
      </c>
      <c r="BY972" s="5"/>
      <c r="BZ972" s="5"/>
      <c r="CA972" s="5"/>
    </row>
    <row r="973" spans="1:81" s="107" customFormat="1" ht="15.75" customHeight="1">
      <c r="A973" s="262">
        <v>73</v>
      </c>
      <c r="B973" s="241" t="s">
        <v>272</v>
      </c>
      <c r="C973" s="241" t="s">
        <v>23</v>
      </c>
      <c r="D973" s="241" t="s">
        <v>89</v>
      </c>
      <c r="E973" s="241" t="s">
        <v>150</v>
      </c>
      <c r="F973" s="241" t="s">
        <v>150</v>
      </c>
      <c r="G973" s="242">
        <v>45953</v>
      </c>
      <c r="H973" s="241"/>
      <c r="I973" s="106" t="s">
        <v>390</v>
      </c>
      <c r="J973" s="106"/>
      <c r="K973" s="106"/>
      <c r="L973" s="106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  <c r="AG973" s="105"/>
      <c r="AH973" s="105"/>
      <c r="AI973" s="105"/>
      <c r="AJ973" s="105"/>
      <c r="AK973" s="105"/>
      <c r="AL973" s="105"/>
      <c r="AM973" s="105"/>
      <c r="AN973" s="105"/>
      <c r="AO973" s="105"/>
      <c r="AP973" s="105"/>
      <c r="AQ973" s="105"/>
      <c r="AR973" s="105"/>
      <c r="AS973" s="105"/>
      <c r="AT973" s="105"/>
      <c r="AU973" s="105"/>
      <c r="AV973" s="105"/>
      <c r="AW973" s="105"/>
      <c r="AX973" s="105"/>
      <c r="AY973" s="105"/>
      <c r="AZ973" s="105"/>
      <c r="BA973" s="105"/>
      <c r="BB973" s="105"/>
      <c r="BC973" s="105"/>
      <c r="BD973" s="105"/>
      <c r="BE973" s="105"/>
      <c r="BF973" s="105"/>
      <c r="BG973" s="105"/>
      <c r="BH973" s="105"/>
      <c r="BI973" s="105"/>
      <c r="BJ973" s="105"/>
      <c r="BK973" s="105"/>
      <c r="BL973" s="105"/>
      <c r="BM973" s="105"/>
      <c r="BN973" s="105"/>
      <c r="BO973" s="105"/>
      <c r="BP973" s="105"/>
      <c r="BQ973" s="105"/>
      <c r="BR973" s="105"/>
      <c r="BS973" s="105"/>
      <c r="BT973" s="105"/>
      <c r="BU973" s="105"/>
      <c r="BV973" s="105"/>
      <c r="BW973" s="105"/>
      <c r="BX973" s="105"/>
      <c r="BY973" s="117"/>
      <c r="BZ973" s="117"/>
      <c r="CA973" s="117"/>
      <c r="CC973" s="118"/>
    </row>
    <row r="974" spans="1:81" s="107" customFormat="1" ht="15.75" customHeight="1">
      <c r="A974" s="262"/>
      <c r="B974" s="241"/>
      <c r="C974" s="241"/>
      <c r="D974" s="241"/>
      <c r="E974" s="241"/>
      <c r="F974" s="241"/>
      <c r="G974" s="241"/>
      <c r="H974" s="241"/>
      <c r="I974" s="106" t="s">
        <v>351</v>
      </c>
      <c r="J974" s="106"/>
      <c r="K974" s="106"/>
      <c r="L974" s="106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  <c r="AG974" s="105"/>
      <c r="AH974" s="105"/>
      <c r="AI974" s="105"/>
      <c r="AJ974" s="105"/>
      <c r="AK974" s="105"/>
      <c r="AL974" s="105"/>
      <c r="AM974" s="105"/>
      <c r="AN974" s="105"/>
      <c r="AO974" s="105"/>
      <c r="AP974" s="105"/>
      <c r="AQ974" s="105"/>
      <c r="AR974" s="105"/>
      <c r="AS974" s="105"/>
      <c r="AT974" s="105"/>
      <c r="AU974" s="105"/>
      <c r="AV974" s="105"/>
      <c r="AW974" s="105"/>
      <c r="AX974" s="105"/>
      <c r="AY974" s="105"/>
      <c r="AZ974" s="105"/>
      <c r="BA974" s="105"/>
      <c r="BB974" s="105"/>
      <c r="BC974" s="105"/>
      <c r="BD974" s="105"/>
      <c r="BE974" s="105"/>
      <c r="BF974" s="105"/>
      <c r="BG974" s="105"/>
      <c r="BH974" s="105"/>
      <c r="BI974" s="105"/>
      <c r="BJ974" s="105"/>
      <c r="BK974" s="105"/>
      <c r="BL974" s="105"/>
      <c r="BM974" s="105"/>
      <c r="BN974" s="105"/>
      <c r="BO974" s="105"/>
      <c r="BP974" s="105"/>
      <c r="BQ974" s="105"/>
      <c r="BR974" s="105">
        <v>493.65</v>
      </c>
      <c r="BS974" s="105">
        <v>1849.81</v>
      </c>
      <c r="BT974" s="105">
        <v>1849.81</v>
      </c>
      <c r="BU974" s="105">
        <v>1849.81</v>
      </c>
      <c r="BV974" s="105">
        <v>1849.81</v>
      </c>
      <c r="BW974" s="105"/>
      <c r="BX974" s="105"/>
      <c r="BY974" s="117"/>
      <c r="BZ974" s="117"/>
      <c r="CA974" s="117"/>
      <c r="CC974" s="118"/>
    </row>
    <row r="975" spans="1:81" s="107" customFormat="1" ht="15.75" customHeight="1">
      <c r="A975" s="262"/>
      <c r="B975" s="241"/>
      <c r="C975" s="241"/>
      <c r="D975" s="241"/>
      <c r="E975" s="241"/>
      <c r="F975" s="241"/>
      <c r="G975" s="241"/>
      <c r="H975" s="241"/>
      <c r="I975" s="106" t="s">
        <v>391</v>
      </c>
      <c r="J975" s="106"/>
      <c r="K975" s="106"/>
      <c r="L975" s="106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9"/>
      <c r="Z975" s="105"/>
      <c r="AA975" s="105"/>
      <c r="AB975" s="105"/>
      <c r="AC975" s="105"/>
      <c r="AD975" s="105"/>
      <c r="AE975" s="105"/>
      <c r="AF975" s="105"/>
      <c r="AG975" s="105"/>
      <c r="AH975" s="105"/>
      <c r="AI975" s="105"/>
      <c r="AJ975" s="105"/>
      <c r="AK975" s="105"/>
      <c r="AL975" s="105"/>
      <c r="AM975" s="105"/>
      <c r="AN975" s="105"/>
      <c r="AO975" s="105"/>
      <c r="AP975" s="105"/>
      <c r="AQ975" s="105"/>
      <c r="AR975" s="105"/>
      <c r="AS975" s="105"/>
      <c r="AT975" s="105"/>
      <c r="AU975" s="105"/>
      <c r="AV975" s="105"/>
      <c r="AW975" s="105"/>
      <c r="AX975" s="105"/>
      <c r="AY975" s="105"/>
      <c r="AZ975" s="105"/>
      <c r="BA975" s="105"/>
      <c r="BB975" s="105"/>
      <c r="BC975" s="105"/>
      <c r="BD975" s="105"/>
      <c r="BE975" s="105"/>
      <c r="BF975" s="105"/>
      <c r="BG975" s="105"/>
      <c r="BH975" s="105"/>
      <c r="BI975" s="105"/>
      <c r="BJ975" s="105"/>
      <c r="BK975" s="105"/>
      <c r="BL975" s="105"/>
      <c r="BM975" s="105"/>
      <c r="BN975" s="105"/>
      <c r="BO975" s="105"/>
      <c r="BP975" s="105"/>
      <c r="BQ975" s="105"/>
      <c r="BR975" s="105"/>
      <c r="BS975" s="105">
        <v>739</v>
      </c>
      <c r="BT975" s="105">
        <v>739</v>
      </c>
      <c r="BU975" s="105">
        <v>739</v>
      </c>
      <c r="BV975" s="105">
        <v>739</v>
      </c>
      <c r="BW975" s="105"/>
      <c r="BX975" s="105"/>
      <c r="BY975" s="117"/>
      <c r="BZ975" s="117"/>
      <c r="CA975" s="117"/>
      <c r="CC975" s="118"/>
    </row>
    <row r="976" spans="1:81" s="107" customFormat="1" ht="15.75" customHeight="1">
      <c r="A976" s="262"/>
      <c r="B976" s="241"/>
      <c r="C976" s="241"/>
      <c r="D976" s="241"/>
      <c r="E976" s="241"/>
      <c r="F976" s="241"/>
      <c r="G976" s="241"/>
      <c r="H976" s="241"/>
      <c r="I976" s="106" t="s">
        <v>351</v>
      </c>
      <c r="J976" s="106"/>
      <c r="K976" s="106"/>
      <c r="L976" s="106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9"/>
      <c r="Z976" s="105"/>
      <c r="AA976" s="105"/>
      <c r="AB976" s="105"/>
      <c r="AC976" s="105"/>
      <c r="AD976" s="105"/>
      <c r="AE976" s="105"/>
      <c r="AF976" s="105"/>
      <c r="AG976" s="105"/>
      <c r="AH976" s="105"/>
      <c r="AI976" s="105"/>
      <c r="AJ976" s="105"/>
      <c r="AK976" s="105"/>
      <c r="AL976" s="105"/>
      <c r="AM976" s="105"/>
      <c r="AN976" s="105"/>
      <c r="AO976" s="105"/>
      <c r="AP976" s="105"/>
      <c r="AQ976" s="105"/>
      <c r="AR976" s="105"/>
      <c r="AS976" s="105"/>
      <c r="AT976" s="105"/>
      <c r="AU976" s="105"/>
      <c r="AV976" s="105"/>
      <c r="AW976" s="105"/>
      <c r="AX976" s="105"/>
      <c r="AY976" s="105"/>
      <c r="AZ976" s="105"/>
      <c r="BA976" s="105"/>
      <c r="BB976" s="105"/>
      <c r="BC976" s="105"/>
      <c r="BD976" s="105"/>
      <c r="BE976" s="105"/>
      <c r="BF976" s="105"/>
      <c r="BG976" s="105"/>
      <c r="BH976" s="105"/>
      <c r="BI976" s="105"/>
      <c r="BJ976" s="105"/>
      <c r="BK976" s="105"/>
      <c r="BL976" s="105"/>
      <c r="BM976" s="105"/>
      <c r="BN976" s="105"/>
      <c r="BO976" s="105"/>
      <c r="BP976" s="105"/>
      <c r="BQ976" s="105"/>
      <c r="BR976" s="105"/>
      <c r="BS976" s="105"/>
      <c r="BT976" s="105"/>
      <c r="BU976" s="105"/>
      <c r="BV976" s="105"/>
      <c r="BW976" s="105"/>
      <c r="BX976" s="105"/>
      <c r="BY976" s="117"/>
      <c r="BZ976" s="117"/>
      <c r="CA976" s="117"/>
      <c r="CC976" s="118"/>
    </row>
    <row r="977" spans="1:81" s="107" customFormat="1" ht="15.75" customHeight="1">
      <c r="A977" s="262"/>
      <c r="B977" s="241"/>
      <c r="C977" s="241"/>
      <c r="D977" s="241"/>
      <c r="E977" s="241"/>
      <c r="F977" s="241"/>
      <c r="G977" s="241"/>
      <c r="H977" s="241"/>
      <c r="I977" s="106" t="s">
        <v>353</v>
      </c>
      <c r="J977" s="106"/>
      <c r="K977" s="106"/>
      <c r="L977" s="106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  <c r="AG977" s="105"/>
      <c r="AH977" s="105"/>
      <c r="AI977" s="105"/>
      <c r="AJ977" s="105"/>
      <c r="AK977" s="105"/>
      <c r="AL977" s="105"/>
      <c r="AM977" s="105"/>
      <c r="AN977" s="105"/>
      <c r="AO977" s="105"/>
      <c r="AP977" s="105"/>
      <c r="AQ977" s="105"/>
      <c r="AR977" s="105"/>
      <c r="AS977" s="105"/>
      <c r="AT977" s="105"/>
      <c r="AU977" s="105"/>
      <c r="AV977" s="105"/>
      <c r="AW977" s="105"/>
      <c r="AX977" s="105"/>
      <c r="AY977" s="105"/>
      <c r="AZ977" s="105"/>
      <c r="BA977" s="105"/>
      <c r="BB977" s="105"/>
      <c r="BC977" s="105"/>
      <c r="BD977" s="105"/>
      <c r="BE977" s="105"/>
      <c r="BF977" s="105"/>
      <c r="BG977" s="105"/>
      <c r="BH977" s="105"/>
      <c r="BI977" s="105"/>
      <c r="BJ977" s="105"/>
      <c r="BK977" s="105"/>
      <c r="BL977" s="105"/>
      <c r="BM977" s="105"/>
      <c r="BN977" s="105"/>
      <c r="BO977" s="105"/>
      <c r="BP977" s="105"/>
      <c r="BQ977" s="105"/>
      <c r="BR977" s="105"/>
      <c r="BS977" s="105"/>
      <c r="BT977" s="105"/>
      <c r="BU977" s="105"/>
      <c r="BV977" s="105"/>
      <c r="BW977" s="105"/>
      <c r="BX977" s="105"/>
      <c r="BY977" s="117"/>
      <c r="BZ977" s="117"/>
      <c r="CA977" s="117"/>
      <c r="CC977" s="118"/>
    </row>
    <row r="978" spans="1:81" s="107" customFormat="1" ht="15.75" customHeight="1">
      <c r="A978" s="262"/>
      <c r="B978" s="241"/>
      <c r="C978" s="241"/>
      <c r="D978" s="241"/>
      <c r="E978" s="241"/>
      <c r="F978" s="241"/>
      <c r="G978" s="241"/>
      <c r="H978" s="241"/>
      <c r="I978" s="106" t="s">
        <v>354</v>
      </c>
      <c r="J978" s="106"/>
      <c r="K978" s="106"/>
      <c r="L978" s="106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  <c r="AG978" s="105"/>
      <c r="AH978" s="105"/>
      <c r="AI978" s="105"/>
      <c r="AJ978" s="105"/>
      <c r="AK978" s="105"/>
      <c r="AL978" s="105"/>
      <c r="AM978" s="105"/>
      <c r="AN978" s="105"/>
      <c r="AO978" s="105"/>
      <c r="AP978" s="105"/>
      <c r="AQ978" s="105"/>
      <c r="AR978" s="105"/>
      <c r="AS978" s="105"/>
      <c r="AT978" s="105"/>
      <c r="AU978" s="105"/>
      <c r="AV978" s="105"/>
      <c r="AW978" s="105"/>
      <c r="AX978" s="105"/>
      <c r="AY978" s="105"/>
      <c r="AZ978" s="105"/>
      <c r="BA978" s="105"/>
      <c r="BB978" s="105"/>
      <c r="BC978" s="105"/>
      <c r="BD978" s="105"/>
      <c r="BE978" s="105"/>
      <c r="BF978" s="105"/>
      <c r="BG978" s="105"/>
      <c r="BH978" s="105"/>
      <c r="BI978" s="105"/>
      <c r="BJ978" s="105"/>
      <c r="BK978" s="105"/>
      <c r="BL978" s="105"/>
      <c r="BM978" s="105"/>
      <c r="BN978" s="105"/>
      <c r="BO978" s="105"/>
      <c r="BP978" s="105"/>
      <c r="BQ978" s="105"/>
      <c r="BR978" s="105">
        <f>104+96</f>
        <v>200</v>
      </c>
      <c r="BS978" s="105">
        <f>281+320</f>
        <v>601</v>
      </c>
      <c r="BT978" s="105">
        <v>601</v>
      </c>
      <c r="BU978" s="105">
        <f>317+320</f>
        <v>637</v>
      </c>
      <c r="BV978" s="105">
        <f>336.9+320</f>
        <v>656.9</v>
      </c>
      <c r="BW978" s="105"/>
      <c r="BX978" s="105"/>
      <c r="BY978" s="117"/>
      <c r="BZ978" s="117"/>
      <c r="CA978" s="117"/>
      <c r="CC978" s="118"/>
    </row>
    <row r="979" spans="1:81" s="107" customFormat="1" ht="15.75" customHeight="1">
      <c r="A979" s="262"/>
      <c r="B979" s="241"/>
      <c r="C979" s="241"/>
      <c r="D979" s="241"/>
      <c r="E979" s="241"/>
      <c r="F979" s="241"/>
      <c r="G979" s="241"/>
      <c r="H979" s="241"/>
      <c r="I979" s="106" t="s">
        <v>355</v>
      </c>
      <c r="J979" s="106"/>
      <c r="K979" s="106"/>
      <c r="L979" s="106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  <c r="AG979" s="105"/>
      <c r="AH979" s="105"/>
      <c r="AI979" s="105"/>
      <c r="AJ979" s="105"/>
      <c r="AK979" s="105"/>
      <c r="AL979" s="105"/>
      <c r="AM979" s="105"/>
      <c r="AN979" s="105"/>
      <c r="AO979" s="105"/>
      <c r="AP979" s="105"/>
      <c r="AQ979" s="105"/>
      <c r="AR979" s="105"/>
      <c r="AS979" s="105"/>
      <c r="AT979" s="105"/>
      <c r="AU979" s="105"/>
      <c r="AV979" s="105"/>
      <c r="AW979" s="105"/>
      <c r="AX979" s="105"/>
      <c r="AY979" s="105"/>
      <c r="AZ979" s="105"/>
      <c r="BA979" s="105"/>
      <c r="BB979" s="105"/>
      <c r="BC979" s="105"/>
      <c r="BD979" s="105"/>
      <c r="BE979" s="105"/>
      <c r="BF979" s="105"/>
      <c r="BG979" s="105"/>
      <c r="BH979" s="105"/>
      <c r="BI979" s="105"/>
      <c r="BJ979" s="105"/>
      <c r="BK979" s="105"/>
      <c r="BL979" s="105"/>
      <c r="BM979" s="105"/>
      <c r="BN979" s="105"/>
      <c r="BO979" s="105"/>
      <c r="BP979" s="105"/>
      <c r="BQ979" s="105"/>
      <c r="BR979" s="105"/>
      <c r="BS979" s="105"/>
      <c r="BT979" s="105"/>
      <c r="BU979" s="105"/>
      <c r="BV979" s="105"/>
      <c r="BW979" s="105"/>
      <c r="BX979" s="105"/>
      <c r="BY979" s="117"/>
      <c r="BZ979" s="117"/>
      <c r="CA979" s="117"/>
      <c r="CC979" s="118"/>
    </row>
    <row r="980" spans="1:81" s="107" customFormat="1" ht="15.75" customHeight="1">
      <c r="A980" s="262"/>
      <c r="B980" s="241"/>
      <c r="C980" s="241"/>
      <c r="D980" s="241"/>
      <c r="E980" s="241"/>
      <c r="F980" s="241"/>
      <c r="G980" s="241"/>
      <c r="H980" s="241"/>
      <c r="I980" s="106" t="s">
        <v>357</v>
      </c>
      <c r="J980" s="106"/>
      <c r="K980" s="106"/>
      <c r="L980" s="106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  <c r="AG980" s="105"/>
      <c r="AH980" s="105"/>
      <c r="AI980" s="105"/>
      <c r="AJ980" s="105"/>
      <c r="AK980" s="105"/>
      <c r="AL980" s="105"/>
      <c r="AM980" s="105"/>
      <c r="AN980" s="105"/>
      <c r="AO980" s="105"/>
      <c r="AP980" s="105"/>
      <c r="AQ980" s="105"/>
      <c r="AR980" s="105"/>
      <c r="AS980" s="105"/>
      <c r="AT980" s="105"/>
      <c r="AU980" s="105"/>
      <c r="AV980" s="105"/>
      <c r="AW980" s="105"/>
      <c r="AX980" s="105"/>
      <c r="AY980" s="105"/>
      <c r="AZ980" s="105"/>
      <c r="BA980" s="105"/>
      <c r="BB980" s="105"/>
      <c r="BC980" s="105"/>
      <c r="BD980" s="105"/>
      <c r="BE980" s="105"/>
      <c r="BF980" s="105"/>
      <c r="BG980" s="105"/>
      <c r="BH980" s="105"/>
      <c r="BI980" s="105"/>
      <c r="BJ980" s="105"/>
      <c r="BK980" s="105"/>
      <c r="BL980" s="105"/>
      <c r="BM980" s="105"/>
      <c r="BN980" s="105"/>
      <c r="BO980" s="105"/>
      <c r="BP980" s="105"/>
      <c r="BQ980" s="105"/>
      <c r="BR980" s="105"/>
      <c r="BS980" s="105"/>
      <c r="BT980" s="105"/>
      <c r="BU980" s="105"/>
      <c r="BV980" s="105"/>
      <c r="BW980" s="105"/>
      <c r="BX980" s="105"/>
      <c r="BY980" s="117"/>
      <c r="BZ980" s="117"/>
      <c r="CA980" s="117"/>
      <c r="CC980" s="118"/>
    </row>
    <row r="981" spans="1:81" s="107" customFormat="1" ht="15.75" customHeight="1">
      <c r="A981" s="262"/>
      <c r="B981" s="241"/>
      <c r="C981" s="241"/>
      <c r="D981" s="241"/>
      <c r="E981" s="241"/>
      <c r="F981" s="241"/>
      <c r="G981" s="241"/>
      <c r="H981" s="241"/>
      <c r="I981" s="131" t="s">
        <v>362</v>
      </c>
      <c r="J981" s="106"/>
      <c r="K981" s="106"/>
      <c r="L981" s="106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  <c r="AG981" s="105"/>
      <c r="AH981" s="105"/>
      <c r="AI981" s="105"/>
      <c r="AJ981" s="105"/>
      <c r="AK981" s="105"/>
      <c r="AL981" s="105"/>
      <c r="AM981" s="105"/>
      <c r="AN981" s="105"/>
      <c r="AO981" s="105"/>
      <c r="AP981" s="105"/>
      <c r="AQ981" s="105"/>
      <c r="AR981" s="105"/>
      <c r="AS981" s="105"/>
      <c r="AT981" s="105"/>
      <c r="AU981" s="105"/>
      <c r="AV981" s="105"/>
      <c r="AW981" s="105"/>
      <c r="AX981" s="105"/>
      <c r="AY981" s="105"/>
      <c r="AZ981" s="105"/>
      <c r="BA981" s="105"/>
      <c r="BB981" s="105"/>
      <c r="BC981" s="105"/>
      <c r="BD981" s="105"/>
      <c r="BE981" s="105"/>
      <c r="BF981" s="105"/>
      <c r="BG981" s="105"/>
      <c r="BH981" s="105"/>
      <c r="BI981" s="105"/>
      <c r="BJ981" s="105"/>
      <c r="BK981" s="105"/>
      <c r="BL981" s="105"/>
      <c r="BM981" s="105"/>
      <c r="BN981" s="105"/>
      <c r="BO981" s="105"/>
      <c r="BP981" s="105"/>
      <c r="BQ981" s="105"/>
      <c r="BR981" s="105"/>
      <c r="BS981" s="105"/>
      <c r="BT981" s="105"/>
      <c r="BU981" s="105"/>
      <c r="BV981" s="105"/>
      <c r="BW981" s="105">
        <v>950.64</v>
      </c>
      <c r="BX981" s="105"/>
      <c r="BY981" s="117"/>
      <c r="BZ981" s="117"/>
      <c r="CA981" s="117"/>
      <c r="CC981" s="118"/>
    </row>
    <row r="982" spans="1:81" s="107" customFormat="1">
      <c r="A982" s="262"/>
      <c r="B982" s="241"/>
      <c r="C982" s="241"/>
      <c r="D982" s="241"/>
      <c r="E982" s="241"/>
      <c r="F982" s="241"/>
      <c r="G982" s="241"/>
      <c r="H982" s="241"/>
      <c r="I982" s="132" t="s">
        <v>363</v>
      </c>
      <c r="J982" s="132"/>
      <c r="K982" s="132"/>
      <c r="L982" s="132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  <c r="AG982" s="105"/>
      <c r="AH982" s="105"/>
      <c r="AI982" s="105"/>
      <c r="AJ982" s="105"/>
      <c r="AK982" s="105"/>
      <c r="AL982" s="105"/>
      <c r="AM982" s="105"/>
      <c r="AN982" s="105"/>
      <c r="AO982" s="105"/>
      <c r="AP982" s="105"/>
      <c r="AQ982" s="105"/>
      <c r="AR982" s="105"/>
      <c r="AS982" s="105"/>
      <c r="AT982" s="105"/>
      <c r="AU982" s="105"/>
      <c r="AV982" s="105"/>
      <c r="AW982" s="105"/>
      <c r="AX982" s="105"/>
      <c r="AY982" s="105"/>
      <c r="AZ982" s="105"/>
      <c r="BA982" s="105"/>
      <c r="BB982" s="105"/>
      <c r="BC982" s="105"/>
      <c r="BD982" s="105"/>
      <c r="BE982" s="105"/>
      <c r="BF982" s="105"/>
      <c r="BG982" s="105"/>
      <c r="BH982" s="105"/>
      <c r="BI982" s="105"/>
      <c r="BJ982" s="105"/>
      <c r="BK982" s="105"/>
      <c r="BL982" s="105"/>
      <c r="BM982" s="105"/>
      <c r="BN982" s="105"/>
      <c r="BO982" s="105"/>
      <c r="BP982" s="105"/>
      <c r="BQ982" s="105"/>
      <c r="BR982" s="105"/>
      <c r="BS982" s="105"/>
      <c r="BT982" s="105"/>
      <c r="BU982" s="105"/>
      <c r="BV982" s="105"/>
      <c r="BW982" s="105"/>
      <c r="BX982" s="105"/>
      <c r="BY982" s="117"/>
      <c r="BZ982" s="117"/>
    </row>
    <row r="983" spans="1:81" s="107" customFormat="1">
      <c r="A983" s="262"/>
      <c r="B983" s="241"/>
      <c r="C983" s="241"/>
      <c r="D983" s="241"/>
      <c r="E983" s="241"/>
      <c r="F983" s="241"/>
      <c r="G983" s="241"/>
      <c r="H983" s="241"/>
      <c r="I983" s="133" t="s">
        <v>373</v>
      </c>
      <c r="J983" s="133"/>
      <c r="K983" s="133"/>
      <c r="L983" s="133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  <c r="AG983" s="105"/>
      <c r="AH983" s="105"/>
      <c r="AI983" s="105"/>
      <c r="AJ983" s="105"/>
      <c r="AK983" s="105"/>
      <c r="AL983" s="105"/>
      <c r="AM983" s="105"/>
      <c r="AN983" s="105"/>
      <c r="AO983" s="105"/>
      <c r="AP983" s="105"/>
      <c r="AQ983" s="105"/>
      <c r="AR983" s="105"/>
      <c r="AS983" s="105"/>
      <c r="AT983" s="105"/>
      <c r="AU983" s="105"/>
      <c r="AV983" s="105"/>
      <c r="AW983" s="105"/>
      <c r="AX983" s="105"/>
      <c r="AY983" s="105"/>
      <c r="AZ983" s="105"/>
      <c r="BA983" s="105"/>
      <c r="BB983" s="105"/>
      <c r="BC983" s="105"/>
      <c r="BD983" s="105"/>
      <c r="BE983" s="105"/>
      <c r="BF983" s="105"/>
      <c r="BG983" s="105"/>
      <c r="BH983" s="105"/>
      <c r="BI983" s="105"/>
      <c r="BJ983" s="105"/>
      <c r="BK983" s="105"/>
      <c r="BL983" s="105"/>
      <c r="BM983" s="105"/>
      <c r="BN983" s="105"/>
      <c r="BO983" s="105"/>
      <c r="BP983" s="105"/>
      <c r="BQ983" s="105"/>
      <c r="BR983" s="105">
        <v>66.59</v>
      </c>
      <c r="BS983" s="105">
        <v>993.7</v>
      </c>
      <c r="BT983" s="105">
        <v>1158.33</v>
      </c>
      <c r="BU983" s="105">
        <v>1158.33</v>
      </c>
      <c r="BV983" s="105">
        <v>1158.33</v>
      </c>
      <c r="BW983" s="105">
        <v>950.64</v>
      </c>
      <c r="BX983" s="105"/>
      <c r="BY983" s="117"/>
      <c r="BZ983" s="117"/>
    </row>
    <row r="984" spans="1:81" s="107" customFormat="1">
      <c r="A984" s="262"/>
      <c r="B984" s="241"/>
      <c r="C984" s="241"/>
      <c r="D984" s="241"/>
      <c r="E984" s="241"/>
      <c r="F984" s="241"/>
      <c r="G984" s="241"/>
      <c r="H984" s="241"/>
      <c r="I984" s="132"/>
      <c r="J984" s="105">
        <f>SUM(J973:J982)-J983</f>
        <v>0</v>
      </c>
      <c r="K984" s="105">
        <f t="shared" ref="K984:Y984" si="492">SUM(K973:K982)-K983</f>
        <v>0</v>
      </c>
      <c r="L984" s="105">
        <f t="shared" si="492"/>
        <v>0</v>
      </c>
      <c r="M984" s="105">
        <f t="shared" si="492"/>
        <v>0</v>
      </c>
      <c r="N984" s="105">
        <f t="shared" si="492"/>
        <v>0</v>
      </c>
      <c r="O984" s="105">
        <f t="shared" si="492"/>
        <v>0</v>
      </c>
      <c r="P984" s="105">
        <f t="shared" si="492"/>
        <v>0</v>
      </c>
      <c r="Q984" s="105">
        <f t="shared" si="492"/>
        <v>0</v>
      </c>
      <c r="R984" s="105">
        <f t="shared" si="492"/>
        <v>0</v>
      </c>
      <c r="S984" s="105">
        <f t="shared" si="492"/>
        <v>0</v>
      </c>
      <c r="T984" s="105">
        <f t="shared" si="492"/>
        <v>0</v>
      </c>
      <c r="U984" s="105">
        <f t="shared" si="492"/>
        <v>0</v>
      </c>
      <c r="V984" s="105">
        <f t="shared" si="492"/>
        <v>0</v>
      </c>
      <c r="W984" s="105">
        <f t="shared" si="492"/>
        <v>0</v>
      </c>
      <c r="X984" s="105">
        <f t="shared" si="492"/>
        <v>0</v>
      </c>
      <c r="Y984" s="105">
        <f t="shared" si="492"/>
        <v>0</v>
      </c>
      <c r="Z984" s="105">
        <f>SUM(Z973:Z982)-Z983</f>
        <v>0</v>
      </c>
      <c r="AA984" s="105">
        <f t="shared" ref="AA984:AD984" si="493">SUM(AA973:AA982)-AA983</f>
        <v>0</v>
      </c>
      <c r="AB984" s="105">
        <f t="shared" si="493"/>
        <v>0</v>
      </c>
      <c r="AC984" s="105">
        <f t="shared" si="493"/>
        <v>0</v>
      </c>
      <c r="AD984" s="105">
        <f t="shared" si="493"/>
        <v>0</v>
      </c>
      <c r="AE984" s="105">
        <f>SUM(AE973:AE982)-AE983</f>
        <v>0</v>
      </c>
      <c r="AF984" s="105">
        <f>SUM(AF973:AF982)-AF983</f>
        <v>0</v>
      </c>
      <c r="AG984" s="105">
        <f t="shared" ref="AG984:AP984" si="494">SUM(AG973:AG982)-AG983</f>
        <v>0</v>
      </c>
      <c r="AH984" s="105">
        <f t="shared" si="494"/>
        <v>0</v>
      </c>
      <c r="AI984" s="105">
        <f t="shared" si="494"/>
        <v>0</v>
      </c>
      <c r="AJ984" s="105">
        <f t="shared" si="494"/>
        <v>0</v>
      </c>
      <c r="AK984" s="105">
        <f t="shared" si="494"/>
        <v>0</v>
      </c>
      <c r="AL984" s="105">
        <f t="shared" si="494"/>
        <v>0</v>
      </c>
      <c r="AM984" s="105">
        <f t="shared" si="494"/>
        <v>0</v>
      </c>
      <c r="AN984" s="105">
        <f t="shared" si="494"/>
        <v>0</v>
      </c>
      <c r="AO984" s="105">
        <f t="shared" si="494"/>
        <v>0</v>
      </c>
      <c r="AP984" s="105">
        <f t="shared" si="494"/>
        <v>0</v>
      </c>
      <c r="AQ984" s="105">
        <f t="shared" ref="AQ984:AU984" si="495">SUM(AQ973:AQ982)-AQ983</f>
        <v>0</v>
      </c>
      <c r="AR984" s="105">
        <f t="shared" si="495"/>
        <v>0</v>
      </c>
      <c r="AS984" s="105">
        <f t="shared" si="495"/>
        <v>0</v>
      </c>
      <c r="AT984" s="105">
        <f t="shared" si="495"/>
        <v>0</v>
      </c>
      <c r="AU984" s="105">
        <f t="shared" si="495"/>
        <v>0</v>
      </c>
      <c r="AV984" s="105">
        <f>SUM(AV973:AV982)-AV983</f>
        <v>0</v>
      </c>
      <c r="AW984" s="105">
        <f t="shared" ref="AW984:BA984" si="496">SUM(AW973:AW982)-AW983</f>
        <v>0</v>
      </c>
      <c r="AX984" s="105">
        <f t="shared" si="496"/>
        <v>0</v>
      </c>
      <c r="AY984" s="105">
        <f t="shared" si="496"/>
        <v>0</v>
      </c>
      <c r="AZ984" s="105">
        <f t="shared" si="496"/>
        <v>0</v>
      </c>
      <c r="BA984" s="105">
        <f t="shared" si="496"/>
        <v>0</v>
      </c>
      <c r="BB984" s="105"/>
      <c r="BC984" s="105"/>
      <c r="BD984" s="105"/>
      <c r="BE984" s="105"/>
      <c r="BF984" s="105"/>
      <c r="BG984" s="105"/>
      <c r="BH984" s="105"/>
      <c r="BI984" s="105"/>
      <c r="BJ984" s="105"/>
      <c r="BK984" s="105"/>
      <c r="BL984" s="105"/>
      <c r="BM984" s="105">
        <f>BM974+BM980-BM983+BM978</f>
        <v>0</v>
      </c>
      <c r="BN984" s="105">
        <f>BN974+BN980-BN983+BN978</f>
        <v>0</v>
      </c>
      <c r="BO984" s="105">
        <f>BO974+BO980-BO983+BO978</f>
        <v>0</v>
      </c>
      <c r="BP984" s="105">
        <f>BP974+BP980-BP983+BP978</f>
        <v>0</v>
      </c>
      <c r="BQ984" s="105"/>
      <c r="BR984" s="105">
        <f>BR974+BR980-BR983+BR978</f>
        <v>627.05999999999995</v>
      </c>
      <c r="BS984" s="105">
        <f>BS974+BS975+BS978-BS983</f>
        <v>2196.1099999999997</v>
      </c>
      <c r="BT984" s="105">
        <f>BT974+BT975+BT978-BT983</f>
        <v>2031.48</v>
      </c>
      <c r="BU984" s="105">
        <f>BU974+BU975+BU978-BU983</f>
        <v>2067.48</v>
      </c>
      <c r="BV984" s="105">
        <f>BV974+BV975+BV978-BV983</f>
        <v>2087.38</v>
      </c>
      <c r="BW984" s="105">
        <v>0</v>
      </c>
      <c r="BX984" s="105">
        <f>SUM(BD984:BW984)</f>
        <v>9009.5099999999984</v>
      </c>
      <c r="BY984" s="117"/>
      <c r="BZ984" s="117"/>
    </row>
    <row r="985" spans="1:81" ht="15.6" customHeight="1">
      <c r="A985" s="148" t="s">
        <v>346</v>
      </c>
      <c r="B985" s="148" t="s">
        <v>347</v>
      </c>
      <c r="C985" s="145" t="s">
        <v>310</v>
      </c>
      <c r="D985" s="145" t="s">
        <v>311</v>
      </c>
      <c r="E985" s="148" t="s">
        <v>312</v>
      </c>
      <c r="F985" s="148" t="s">
        <v>348</v>
      </c>
      <c r="G985" s="145" t="s">
        <v>314</v>
      </c>
      <c r="H985" s="145" t="s">
        <v>315</v>
      </c>
      <c r="I985" s="145" t="s">
        <v>349</v>
      </c>
      <c r="J985" s="146">
        <v>44105</v>
      </c>
      <c r="K985" s="146">
        <v>44136</v>
      </c>
      <c r="L985" s="146">
        <v>44166</v>
      </c>
      <c r="M985" s="146">
        <v>44197</v>
      </c>
      <c r="N985" s="146">
        <v>44228</v>
      </c>
      <c r="O985" s="146">
        <v>44256</v>
      </c>
      <c r="P985" s="146">
        <v>44287</v>
      </c>
      <c r="Q985" s="146">
        <v>44317</v>
      </c>
      <c r="R985" s="146">
        <v>44348</v>
      </c>
      <c r="S985" s="146">
        <v>44378</v>
      </c>
      <c r="T985" s="146">
        <v>44409</v>
      </c>
      <c r="U985" s="146">
        <v>44440</v>
      </c>
      <c r="V985" s="146">
        <v>44470</v>
      </c>
      <c r="W985" s="146">
        <v>44501</v>
      </c>
      <c r="X985" s="146">
        <v>44531</v>
      </c>
      <c r="Y985" s="146">
        <v>44562</v>
      </c>
      <c r="Z985" s="146">
        <v>44593</v>
      </c>
      <c r="AA985" s="146">
        <v>44621</v>
      </c>
      <c r="AB985" s="146">
        <v>44652</v>
      </c>
      <c r="AC985" s="146">
        <v>44682</v>
      </c>
      <c r="AD985" s="146">
        <v>44713</v>
      </c>
      <c r="AE985" s="146">
        <v>44743</v>
      </c>
      <c r="AF985" s="146">
        <v>44774</v>
      </c>
      <c r="AG985" s="146">
        <v>44805</v>
      </c>
      <c r="AH985" s="146">
        <v>44835</v>
      </c>
      <c r="AI985" s="146">
        <v>44866</v>
      </c>
      <c r="AJ985" s="146">
        <v>44896</v>
      </c>
      <c r="AK985" s="146">
        <v>44927</v>
      </c>
      <c r="AL985" s="146">
        <v>44958</v>
      </c>
      <c r="AM985" s="146">
        <v>44986</v>
      </c>
      <c r="AN985" s="146">
        <v>45017</v>
      </c>
      <c r="AO985" s="146">
        <v>45047</v>
      </c>
      <c r="AP985" s="146">
        <v>45078</v>
      </c>
      <c r="AQ985" s="146">
        <v>45108</v>
      </c>
      <c r="AR985" s="146">
        <v>45139</v>
      </c>
      <c r="AS985" s="146">
        <v>45170</v>
      </c>
      <c r="AT985" s="146">
        <v>45200</v>
      </c>
      <c r="AU985" s="146">
        <v>45231</v>
      </c>
      <c r="AV985" s="146">
        <v>45261</v>
      </c>
      <c r="AW985" s="146">
        <v>45292</v>
      </c>
      <c r="AX985" s="146">
        <v>45323</v>
      </c>
      <c r="AY985" s="146">
        <v>45352</v>
      </c>
      <c r="AZ985" s="146">
        <v>45383</v>
      </c>
      <c r="BA985" s="146">
        <v>45413</v>
      </c>
      <c r="BB985" s="146">
        <v>45444</v>
      </c>
      <c r="BC985" s="146">
        <v>45474</v>
      </c>
      <c r="BD985" s="146">
        <v>45505</v>
      </c>
      <c r="BE985" s="146">
        <v>45536</v>
      </c>
      <c r="BF985" s="146">
        <v>45566</v>
      </c>
      <c r="BG985" s="146">
        <v>45597</v>
      </c>
      <c r="BH985" s="146">
        <v>45627</v>
      </c>
      <c r="BI985" s="146">
        <v>45658</v>
      </c>
      <c r="BJ985" s="146">
        <v>45689</v>
      </c>
      <c r="BK985" s="146">
        <v>45717</v>
      </c>
      <c r="BL985" s="146">
        <v>45748</v>
      </c>
      <c r="BM985" s="146">
        <v>45778</v>
      </c>
      <c r="BN985" s="146">
        <v>45809</v>
      </c>
      <c r="BO985" s="146">
        <v>45839</v>
      </c>
      <c r="BP985" s="146">
        <v>45870</v>
      </c>
      <c r="BQ985" s="146">
        <v>45901</v>
      </c>
      <c r="BR985" s="146">
        <v>45931</v>
      </c>
      <c r="BS985" s="146">
        <v>45962</v>
      </c>
      <c r="BT985" s="146">
        <v>45992</v>
      </c>
      <c r="BU985" s="146">
        <v>46023</v>
      </c>
      <c r="BV985" s="146">
        <v>46054</v>
      </c>
      <c r="BW985" s="146">
        <v>46082</v>
      </c>
      <c r="BX985" s="147" t="s">
        <v>13</v>
      </c>
      <c r="BY985" s="5"/>
      <c r="BZ985" s="5"/>
      <c r="CA985" s="5"/>
    </row>
    <row r="986" spans="1:81" s="178" customFormat="1" ht="15.75" customHeight="1">
      <c r="A986" s="226">
        <v>74</v>
      </c>
      <c r="B986" s="227" t="s">
        <v>223</v>
      </c>
      <c r="C986" s="230" t="s">
        <v>23</v>
      </c>
      <c r="D986" s="229" t="s">
        <v>89</v>
      </c>
      <c r="E986" s="227" t="s">
        <v>396</v>
      </c>
      <c r="F986" s="227" t="s">
        <v>396</v>
      </c>
      <c r="G986" s="228">
        <v>45832</v>
      </c>
      <c r="H986" s="228"/>
      <c r="I986" s="175" t="s">
        <v>390</v>
      </c>
      <c r="J986" s="175"/>
      <c r="K986" s="175"/>
      <c r="L986" s="175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  <c r="AA986" s="176"/>
      <c r="AB986" s="176"/>
      <c r="AC986" s="176"/>
      <c r="AD986" s="176"/>
      <c r="AE986" s="176"/>
      <c r="AF986" s="176"/>
      <c r="AG986" s="176"/>
      <c r="AH986" s="176"/>
      <c r="AI986" s="176"/>
      <c r="AJ986" s="176"/>
      <c r="AK986" s="176"/>
      <c r="AL986" s="176"/>
      <c r="AM986" s="176"/>
      <c r="AN986" s="176"/>
      <c r="AO986" s="176"/>
      <c r="AP986" s="176"/>
      <c r="AQ986" s="176"/>
      <c r="AR986" s="176"/>
      <c r="AS986" s="176"/>
      <c r="AT986" s="176"/>
      <c r="AU986" s="176"/>
      <c r="AV986" s="176"/>
      <c r="AW986" s="176"/>
      <c r="AX986" s="176"/>
      <c r="AY986" s="176"/>
      <c r="AZ986" s="176"/>
      <c r="BA986" s="176"/>
      <c r="BB986" s="176"/>
      <c r="BC986" s="176"/>
      <c r="BD986" s="176"/>
      <c r="BE986" s="176"/>
      <c r="BF986" s="176"/>
      <c r="BG986" s="176"/>
      <c r="BH986" s="176"/>
      <c r="BI986" s="176"/>
      <c r="BJ986" s="176"/>
      <c r="BK986" s="176"/>
      <c r="BL986" s="176"/>
      <c r="BM986" s="176"/>
      <c r="BN986" s="176"/>
      <c r="BO986" s="176"/>
      <c r="BP986" s="176"/>
      <c r="BQ986" s="176"/>
      <c r="BR986" s="176"/>
      <c r="BS986" s="176"/>
      <c r="BT986" s="176"/>
      <c r="BU986" s="176"/>
      <c r="BV986" s="176"/>
      <c r="BW986" s="176"/>
      <c r="BX986" s="176"/>
      <c r="BY986" s="191"/>
      <c r="BZ986" s="191"/>
      <c r="CA986" s="191"/>
      <c r="CC986" s="182"/>
    </row>
    <row r="987" spans="1:81" s="178" customFormat="1" ht="15.75" customHeight="1">
      <c r="A987" s="226"/>
      <c r="B987" s="227"/>
      <c r="C987" s="231"/>
      <c r="D987" s="229"/>
      <c r="E987" s="227"/>
      <c r="F987" s="227"/>
      <c r="G987" s="229"/>
      <c r="H987" s="229"/>
      <c r="I987" s="175" t="s">
        <v>351</v>
      </c>
      <c r="J987" s="175"/>
      <c r="K987" s="175"/>
      <c r="L987" s="175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  <c r="AA987" s="176"/>
      <c r="AB987" s="176"/>
      <c r="AC987" s="176"/>
      <c r="AD987" s="176"/>
      <c r="AE987" s="176"/>
      <c r="AF987" s="176"/>
      <c r="AG987" s="176"/>
      <c r="AH987" s="176"/>
      <c r="AI987" s="176"/>
      <c r="AJ987" s="176"/>
      <c r="AK987" s="176"/>
      <c r="AL987" s="176"/>
      <c r="AM987" s="176"/>
      <c r="AN987" s="176"/>
      <c r="AO987" s="176"/>
      <c r="AP987" s="176"/>
      <c r="AQ987" s="176"/>
      <c r="AR987" s="176"/>
      <c r="AS987" s="176"/>
      <c r="AT987" s="176"/>
      <c r="AU987" s="176"/>
      <c r="AV987" s="176"/>
      <c r="AW987" s="176"/>
      <c r="AX987" s="176"/>
      <c r="AY987" s="176"/>
      <c r="AZ987" s="176"/>
      <c r="BA987" s="176"/>
      <c r="BB987" s="176"/>
      <c r="BC987" s="176"/>
      <c r="BD987" s="176"/>
      <c r="BE987" s="176"/>
      <c r="BF987" s="176"/>
      <c r="BG987" s="176"/>
      <c r="BH987" s="176"/>
      <c r="BI987" s="176"/>
      <c r="BJ987" s="176"/>
      <c r="BK987" s="176"/>
      <c r="BL987" s="176"/>
      <c r="BM987" s="176"/>
      <c r="BN987" s="176">
        <v>442.12</v>
      </c>
      <c r="BO987" s="176">
        <v>2091.42</v>
      </c>
      <c r="BP987" s="176">
        <v>2091.42</v>
      </c>
      <c r="BQ987" s="176">
        <v>2091.42</v>
      </c>
      <c r="BR987" s="176">
        <v>2091.42</v>
      </c>
      <c r="BS987" s="176">
        <v>2927.01</v>
      </c>
      <c r="BT987" s="176">
        <v>2927.01</v>
      </c>
      <c r="BU987" s="176">
        <v>2927.01</v>
      </c>
      <c r="BV987" s="176">
        <v>2927.01</v>
      </c>
      <c r="BW987" s="176">
        <v>2927.01</v>
      </c>
      <c r="BX987" s="176"/>
      <c r="BY987" s="191"/>
      <c r="BZ987" s="191"/>
      <c r="CA987" s="191"/>
      <c r="CC987" s="182"/>
    </row>
    <row r="988" spans="1:81" s="178" customFormat="1" ht="15.75" customHeight="1">
      <c r="A988" s="226"/>
      <c r="B988" s="227"/>
      <c r="C988" s="231"/>
      <c r="D988" s="229"/>
      <c r="E988" s="227"/>
      <c r="F988" s="227"/>
      <c r="G988" s="229"/>
      <c r="H988" s="229"/>
      <c r="I988" s="175" t="s">
        <v>391</v>
      </c>
      <c r="J988" s="175"/>
      <c r="K988" s="175"/>
      <c r="L988" s="175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7"/>
      <c r="Z988" s="176"/>
      <c r="AA988" s="176"/>
      <c r="AB988" s="176"/>
      <c r="AC988" s="176"/>
      <c r="AD988" s="176"/>
      <c r="AE988" s="176"/>
      <c r="AF988" s="176"/>
      <c r="AG988" s="176"/>
      <c r="AH988" s="176"/>
      <c r="AI988" s="176"/>
      <c r="AJ988" s="176"/>
      <c r="AK988" s="176"/>
      <c r="AL988" s="176"/>
      <c r="AM988" s="176"/>
      <c r="AN988" s="176"/>
      <c r="AO988" s="176"/>
      <c r="AP988" s="176"/>
      <c r="AQ988" s="176"/>
      <c r="AR988" s="176"/>
      <c r="AS988" s="176"/>
      <c r="AT988" s="176"/>
      <c r="AU988" s="176"/>
      <c r="AV988" s="176"/>
      <c r="AW988" s="176"/>
      <c r="AX988" s="176"/>
      <c r="AY988" s="176"/>
      <c r="AZ988" s="176"/>
      <c r="BA988" s="176"/>
      <c r="BB988" s="176"/>
      <c r="BC988" s="176"/>
      <c r="BD988" s="176"/>
      <c r="BE988" s="176"/>
      <c r="BF988" s="176"/>
      <c r="BG988" s="176"/>
      <c r="BH988" s="176"/>
      <c r="BI988" s="176"/>
      <c r="BJ988" s="176"/>
      <c r="BK988" s="176"/>
      <c r="BL988" s="176"/>
      <c r="BM988" s="176"/>
      <c r="BN988" s="176"/>
      <c r="BO988" s="176"/>
      <c r="BP988" s="176"/>
      <c r="BQ988" s="176"/>
      <c r="BR988" s="176"/>
      <c r="BS988" s="176"/>
      <c r="BT988" s="176"/>
      <c r="BU988" s="176"/>
      <c r="BV988" s="176"/>
      <c r="BW988" s="176"/>
      <c r="BX988" s="176"/>
      <c r="BY988" s="191"/>
      <c r="BZ988" s="191"/>
      <c r="CA988" s="191"/>
      <c r="CC988" s="182"/>
    </row>
    <row r="989" spans="1:81" s="178" customFormat="1" ht="15.75" customHeight="1">
      <c r="A989" s="226"/>
      <c r="B989" s="227"/>
      <c r="C989" s="231"/>
      <c r="D989" s="229"/>
      <c r="E989" s="227"/>
      <c r="F989" s="227"/>
      <c r="G989" s="229"/>
      <c r="H989" s="229"/>
      <c r="I989" s="175" t="s">
        <v>351</v>
      </c>
      <c r="J989" s="175"/>
      <c r="K989" s="175"/>
      <c r="L989" s="175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7"/>
      <c r="Z989" s="176"/>
      <c r="AA989" s="176"/>
      <c r="AB989" s="176"/>
      <c r="AC989" s="176"/>
      <c r="AD989" s="176"/>
      <c r="AE989" s="176"/>
      <c r="AF989" s="176"/>
      <c r="AG989" s="176"/>
      <c r="AH989" s="176"/>
      <c r="AI989" s="176"/>
      <c r="AJ989" s="176"/>
      <c r="AK989" s="176"/>
      <c r="AL989" s="176"/>
      <c r="AM989" s="176"/>
      <c r="AN989" s="176"/>
      <c r="AO989" s="176"/>
      <c r="AP989" s="176"/>
      <c r="AQ989" s="176"/>
      <c r="AR989" s="176"/>
      <c r="AS989" s="176"/>
      <c r="AT989" s="176"/>
      <c r="AU989" s="176"/>
      <c r="AV989" s="176"/>
      <c r="AW989" s="176"/>
      <c r="AX989" s="176"/>
      <c r="AY989" s="176"/>
      <c r="AZ989" s="176"/>
      <c r="BA989" s="176"/>
      <c r="BB989" s="176"/>
      <c r="BC989" s="176"/>
      <c r="BD989" s="176"/>
      <c r="BE989" s="176"/>
      <c r="BF989" s="176"/>
      <c r="BG989" s="176"/>
      <c r="BH989" s="176"/>
      <c r="BI989" s="176"/>
      <c r="BJ989" s="176"/>
      <c r="BK989" s="176"/>
      <c r="BL989" s="176"/>
      <c r="BM989" s="176"/>
      <c r="BN989" s="176"/>
      <c r="BO989" s="176"/>
      <c r="BP989" s="176"/>
      <c r="BQ989" s="176"/>
      <c r="BR989" s="176"/>
      <c r="BS989" s="176"/>
      <c r="BT989" s="176"/>
      <c r="BU989" s="176"/>
      <c r="BV989" s="176"/>
      <c r="BW989" s="176"/>
      <c r="BX989" s="176"/>
      <c r="BY989" s="191"/>
      <c r="BZ989" s="191"/>
      <c r="CA989" s="191"/>
      <c r="CC989" s="182"/>
    </row>
    <row r="990" spans="1:81" s="178" customFormat="1" ht="15.75" customHeight="1">
      <c r="A990" s="226"/>
      <c r="B990" s="227"/>
      <c r="C990" s="231"/>
      <c r="D990" s="229"/>
      <c r="E990" s="227"/>
      <c r="F990" s="227"/>
      <c r="G990" s="229"/>
      <c r="H990" s="229"/>
      <c r="I990" s="175" t="s">
        <v>353</v>
      </c>
      <c r="J990" s="175"/>
      <c r="K990" s="175"/>
      <c r="L990" s="175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  <c r="AA990" s="176"/>
      <c r="AB990" s="176"/>
      <c r="AC990" s="176"/>
      <c r="AD990" s="176"/>
      <c r="AE990" s="176"/>
      <c r="AF990" s="176"/>
      <c r="AG990" s="176"/>
      <c r="AH990" s="176"/>
      <c r="AI990" s="176"/>
      <c r="AJ990" s="176"/>
      <c r="AK990" s="176"/>
      <c r="AL990" s="176"/>
      <c r="AM990" s="176"/>
      <c r="AN990" s="176"/>
      <c r="AO990" s="176"/>
      <c r="AP990" s="176"/>
      <c r="AQ990" s="176"/>
      <c r="AR990" s="176"/>
      <c r="AS990" s="176"/>
      <c r="AT990" s="176"/>
      <c r="AU990" s="176"/>
      <c r="AV990" s="176"/>
      <c r="AW990" s="176"/>
      <c r="AX990" s="176"/>
      <c r="AY990" s="176"/>
      <c r="AZ990" s="176"/>
      <c r="BA990" s="176"/>
      <c r="BB990" s="176"/>
      <c r="BC990" s="176"/>
      <c r="BD990" s="176"/>
      <c r="BE990" s="176"/>
      <c r="BF990" s="176"/>
      <c r="BG990" s="176"/>
      <c r="BH990" s="176"/>
      <c r="BI990" s="176"/>
      <c r="BJ990" s="176"/>
      <c r="BK990" s="176"/>
      <c r="BL990" s="176"/>
      <c r="BM990" s="176"/>
      <c r="BN990" s="176">
        <v>134</v>
      </c>
      <c r="BO990" s="176">
        <v>573.23</v>
      </c>
      <c r="BP990" s="176">
        <v>547.26</v>
      </c>
      <c r="BQ990" s="176">
        <v>573.32000000000005</v>
      </c>
      <c r="BR990" s="176">
        <v>633.25</v>
      </c>
      <c r="BS990" s="176">
        <v>523.45000000000005</v>
      </c>
      <c r="BT990" s="176">
        <v>523.45000000000005</v>
      </c>
      <c r="BU990" s="176">
        <v>551</v>
      </c>
      <c r="BV990" s="176">
        <v>551</v>
      </c>
      <c r="BW990" s="176">
        <v>606.1</v>
      </c>
      <c r="BX990" s="176"/>
      <c r="BY990" s="191"/>
      <c r="BZ990" s="191"/>
      <c r="CA990" s="191"/>
      <c r="CC990" s="182"/>
    </row>
    <row r="991" spans="1:81" s="178" customFormat="1" ht="15.75" customHeight="1">
      <c r="A991" s="226"/>
      <c r="B991" s="227"/>
      <c r="C991" s="231"/>
      <c r="D991" s="229"/>
      <c r="E991" s="227"/>
      <c r="F991" s="227"/>
      <c r="G991" s="229"/>
      <c r="H991" s="229"/>
      <c r="I991" s="175" t="s">
        <v>354</v>
      </c>
      <c r="J991" s="175"/>
      <c r="K991" s="175"/>
      <c r="L991" s="175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  <c r="AA991" s="176"/>
      <c r="AB991" s="176"/>
      <c r="AC991" s="176"/>
      <c r="AD991" s="176"/>
      <c r="AE991" s="176"/>
      <c r="AF991" s="176"/>
      <c r="AG991" s="176"/>
      <c r="AH991" s="176"/>
      <c r="AI991" s="176"/>
      <c r="AJ991" s="176"/>
      <c r="AK991" s="176"/>
      <c r="AL991" s="176"/>
      <c r="AM991" s="176"/>
      <c r="AN991" s="176"/>
      <c r="AO991" s="176"/>
      <c r="AP991" s="176"/>
      <c r="AQ991" s="176"/>
      <c r="AR991" s="176"/>
      <c r="AS991" s="176"/>
      <c r="AT991" s="176"/>
      <c r="AU991" s="176"/>
      <c r="AV991" s="176"/>
      <c r="AW991" s="176"/>
      <c r="AX991" s="176"/>
      <c r="AY991" s="176"/>
      <c r="AZ991" s="176"/>
      <c r="BA991" s="176"/>
      <c r="BB991" s="176"/>
      <c r="BC991" s="176"/>
      <c r="BD991" s="176"/>
      <c r="BE991" s="176"/>
      <c r="BF991" s="176"/>
      <c r="BG991" s="176"/>
      <c r="BH991" s="176"/>
      <c r="BI991" s="176"/>
      <c r="BJ991" s="176"/>
      <c r="BK991" s="176"/>
      <c r="BL991" s="176"/>
      <c r="BM991" s="176"/>
      <c r="BN991" s="176">
        <v>44.5</v>
      </c>
      <c r="BO991" s="176">
        <v>484</v>
      </c>
      <c r="BP991" s="176">
        <v>462</v>
      </c>
      <c r="BQ991" s="176">
        <v>484</v>
      </c>
      <c r="BR991" s="176">
        <v>506</v>
      </c>
      <c r="BS991" s="176">
        <v>418</v>
      </c>
      <c r="BT991" s="176">
        <v>418</v>
      </c>
      <c r="BU991" s="176">
        <v>440</v>
      </c>
      <c r="BV991" s="176">
        <v>448</v>
      </c>
      <c r="BW991" s="176">
        <v>492.8</v>
      </c>
      <c r="BX991" s="176"/>
      <c r="BY991" s="191"/>
      <c r="BZ991" s="191"/>
      <c r="CA991" s="191"/>
      <c r="CC991" s="182"/>
    </row>
    <row r="992" spans="1:81" s="178" customFormat="1" ht="15.75" customHeight="1">
      <c r="A992" s="226"/>
      <c r="B992" s="227"/>
      <c r="C992" s="231"/>
      <c r="D992" s="229"/>
      <c r="E992" s="227"/>
      <c r="F992" s="227"/>
      <c r="G992" s="229"/>
      <c r="H992" s="229"/>
      <c r="I992" s="175" t="s">
        <v>356</v>
      </c>
      <c r="J992" s="175"/>
      <c r="K992" s="175"/>
      <c r="L992" s="175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  <c r="AA992" s="176"/>
      <c r="AB992" s="176"/>
      <c r="AC992" s="176"/>
      <c r="AD992" s="176"/>
      <c r="AE992" s="176"/>
      <c r="AF992" s="176"/>
      <c r="AG992" s="176"/>
      <c r="AH992" s="176"/>
      <c r="AI992" s="176"/>
      <c r="AJ992" s="176"/>
      <c r="AK992" s="176"/>
      <c r="AL992" s="176"/>
      <c r="AM992" s="176"/>
      <c r="AN992" s="176"/>
      <c r="AO992" s="176"/>
      <c r="AP992" s="176"/>
      <c r="AQ992" s="176"/>
      <c r="AR992" s="176"/>
      <c r="AS992" s="176"/>
      <c r="AT992" s="176"/>
      <c r="AU992" s="176"/>
      <c r="AV992" s="176"/>
      <c r="AW992" s="176"/>
      <c r="AX992" s="176"/>
      <c r="AY992" s="176"/>
      <c r="AZ992" s="176"/>
      <c r="BA992" s="176"/>
      <c r="BB992" s="176"/>
      <c r="BC992" s="176"/>
      <c r="BD992" s="176"/>
      <c r="BE992" s="176"/>
      <c r="BF992" s="176"/>
      <c r="BG992" s="176"/>
      <c r="BH992" s="176"/>
      <c r="BI992" s="176"/>
      <c r="BJ992" s="176"/>
      <c r="BK992" s="176"/>
      <c r="BL992" s="176"/>
      <c r="BM992" s="176"/>
      <c r="BN992" s="176"/>
      <c r="BO992" s="176"/>
      <c r="BP992" s="176"/>
      <c r="BQ992" s="176"/>
      <c r="BR992" s="176">
        <v>315</v>
      </c>
      <c r="BS992" s="176">
        <v>315</v>
      </c>
      <c r="BT992" s="176">
        <v>315</v>
      </c>
      <c r="BU992" s="176">
        <v>315</v>
      </c>
      <c r="BV992" s="176">
        <v>315</v>
      </c>
      <c r="BW992" s="176">
        <v>315</v>
      </c>
      <c r="BX992" s="176"/>
      <c r="BY992" s="191"/>
      <c r="BZ992" s="191"/>
      <c r="CA992" s="191"/>
      <c r="CC992" s="182"/>
    </row>
    <row r="993" spans="1:81" s="178" customFormat="1" ht="15.75" customHeight="1">
      <c r="A993" s="226"/>
      <c r="B993" s="227"/>
      <c r="C993" s="231"/>
      <c r="D993" s="229"/>
      <c r="E993" s="227"/>
      <c r="F993" s="227"/>
      <c r="G993" s="229"/>
      <c r="H993" s="229"/>
      <c r="I993" s="175" t="s">
        <v>355</v>
      </c>
      <c r="J993" s="175"/>
      <c r="K993" s="175"/>
      <c r="L993" s="175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  <c r="AA993" s="176"/>
      <c r="AB993" s="176"/>
      <c r="AC993" s="176"/>
      <c r="AD993" s="176"/>
      <c r="AE993" s="176"/>
      <c r="AF993" s="176"/>
      <c r="AG993" s="176"/>
      <c r="AH993" s="176"/>
      <c r="AI993" s="176"/>
      <c r="AJ993" s="176"/>
      <c r="AK993" s="176"/>
      <c r="AL993" s="176"/>
      <c r="AM993" s="176"/>
      <c r="AN993" s="176"/>
      <c r="AO993" s="176"/>
      <c r="AP993" s="176"/>
      <c r="AQ993" s="176"/>
      <c r="AR993" s="176"/>
      <c r="AS993" s="176"/>
      <c r="AT993" s="176"/>
      <c r="AU993" s="176"/>
      <c r="AV993" s="176"/>
      <c r="AW993" s="176"/>
      <c r="AX993" s="176"/>
      <c r="AY993" s="176"/>
      <c r="AZ993" s="176"/>
      <c r="BA993" s="176"/>
      <c r="BB993" s="176"/>
      <c r="BC993" s="176"/>
      <c r="BD993" s="176"/>
      <c r="BE993" s="176"/>
      <c r="BF993" s="176"/>
      <c r="BG993" s="176"/>
      <c r="BH993" s="176"/>
      <c r="BI993" s="176"/>
      <c r="BJ993" s="176"/>
      <c r="BK993" s="176"/>
      <c r="BL993" s="212"/>
      <c r="BM993" s="212"/>
      <c r="BN993" s="212"/>
      <c r="BO993" s="212"/>
      <c r="BP993" s="212"/>
      <c r="BQ993" s="212"/>
      <c r="BR993" s="212"/>
      <c r="BS993" s="212"/>
      <c r="BT993" s="212"/>
      <c r="BU993" s="212"/>
      <c r="BV993" s="212"/>
      <c r="BW993" s="212"/>
      <c r="BX993" s="176"/>
      <c r="BY993" s="191"/>
      <c r="BZ993" s="191"/>
      <c r="CA993" s="191"/>
      <c r="CC993" s="182"/>
    </row>
    <row r="994" spans="1:81" s="178" customFormat="1" ht="15.75" customHeight="1">
      <c r="A994" s="226"/>
      <c r="B994" s="227"/>
      <c r="C994" s="231"/>
      <c r="D994" s="229"/>
      <c r="E994" s="227"/>
      <c r="F994" s="227"/>
      <c r="G994" s="229"/>
      <c r="H994" s="229"/>
      <c r="I994" s="184" t="s">
        <v>362</v>
      </c>
      <c r="J994" s="175"/>
      <c r="K994" s="175"/>
      <c r="L994" s="175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  <c r="AA994" s="176"/>
      <c r="AB994" s="176"/>
      <c r="AC994" s="176"/>
      <c r="AD994" s="176"/>
      <c r="AE994" s="176"/>
      <c r="AF994" s="176"/>
      <c r="AG994" s="176"/>
      <c r="AH994" s="176"/>
      <c r="AI994" s="176"/>
      <c r="AJ994" s="176"/>
      <c r="AK994" s="176"/>
      <c r="AL994" s="176"/>
      <c r="AM994" s="176"/>
      <c r="AN994" s="176"/>
      <c r="AO994" s="176"/>
      <c r="AP994" s="176"/>
      <c r="AQ994" s="176"/>
      <c r="AR994" s="176"/>
      <c r="AS994" s="176"/>
      <c r="AT994" s="176"/>
      <c r="AU994" s="176"/>
      <c r="AV994" s="176"/>
      <c r="AW994" s="176"/>
      <c r="AX994" s="176"/>
      <c r="AY994" s="176"/>
      <c r="AZ994" s="176"/>
      <c r="BA994" s="176"/>
      <c r="BB994" s="176"/>
      <c r="BC994" s="176"/>
      <c r="BD994" s="176"/>
      <c r="BE994" s="176"/>
      <c r="BF994" s="176"/>
      <c r="BG994" s="176"/>
      <c r="BH994" s="176"/>
      <c r="BI994" s="176"/>
      <c r="BJ994" s="176"/>
      <c r="BK994" s="176"/>
      <c r="BL994" s="176"/>
      <c r="BM994" s="176"/>
      <c r="BN994" s="176"/>
      <c r="BO994" s="176"/>
      <c r="BP994" s="176"/>
      <c r="BQ994" s="176"/>
      <c r="BR994" s="176"/>
      <c r="BS994" s="176"/>
      <c r="BT994" s="176"/>
      <c r="BU994" s="176"/>
      <c r="BV994" s="176"/>
      <c r="BW994" s="176"/>
      <c r="BX994" s="176"/>
      <c r="BY994" s="191"/>
      <c r="BZ994" s="191"/>
      <c r="CA994" s="191"/>
      <c r="CC994" s="182"/>
    </row>
    <row r="995" spans="1:81" s="178" customFormat="1">
      <c r="A995" s="226"/>
      <c r="B995" s="227"/>
      <c r="C995" s="231"/>
      <c r="D995" s="229"/>
      <c r="E995" s="227"/>
      <c r="F995" s="227"/>
      <c r="G995" s="229"/>
      <c r="H995" s="229"/>
      <c r="I995" s="190" t="s">
        <v>363</v>
      </c>
      <c r="J995" s="190"/>
      <c r="K995" s="190"/>
      <c r="L995" s="190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  <c r="AA995" s="176"/>
      <c r="AB995" s="176"/>
      <c r="AC995" s="176"/>
      <c r="AD995" s="176"/>
      <c r="AE995" s="176"/>
      <c r="AF995" s="176"/>
      <c r="AG995" s="176"/>
      <c r="AH995" s="176"/>
      <c r="AI995" s="176"/>
      <c r="AJ995" s="176"/>
      <c r="AK995" s="176"/>
      <c r="AL995" s="176"/>
      <c r="AM995" s="176"/>
      <c r="AN995" s="176"/>
      <c r="AO995" s="176"/>
      <c r="AP995" s="176"/>
      <c r="AQ995" s="176"/>
      <c r="AR995" s="176"/>
      <c r="AS995" s="176"/>
      <c r="AT995" s="176"/>
      <c r="AU995" s="176"/>
      <c r="AV995" s="176"/>
      <c r="AW995" s="176"/>
      <c r="AX995" s="176"/>
      <c r="AY995" s="176"/>
      <c r="AZ995" s="176"/>
      <c r="BA995" s="176"/>
      <c r="BB995" s="176"/>
      <c r="BC995" s="176"/>
      <c r="BD995" s="176"/>
      <c r="BE995" s="176"/>
      <c r="BF995" s="176"/>
      <c r="BG995" s="176"/>
      <c r="BH995" s="176"/>
      <c r="BI995" s="176"/>
      <c r="BJ995" s="176"/>
      <c r="BK995" s="176"/>
      <c r="BL995" s="176"/>
      <c r="BM995" s="176"/>
      <c r="BN995" s="176"/>
      <c r="BO995" s="176"/>
      <c r="BP995" s="176"/>
      <c r="BQ995" s="176"/>
      <c r="BR995" s="176"/>
      <c r="BS995" s="176"/>
      <c r="BT995" s="176"/>
      <c r="BU995" s="176"/>
      <c r="BV995" s="176"/>
      <c r="BW995" s="176"/>
      <c r="BX995" s="176"/>
      <c r="BY995" s="191"/>
      <c r="BZ995" s="191"/>
    </row>
    <row r="996" spans="1:81" s="178" customFormat="1">
      <c r="A996" s="226"/>
      <c r="B996" s="227"/>
      <c r="C996" s="231"/>
      <c r="D996" s="229"/>
      <c r="E996" s="227"/>
      <c r="F996" s="227"/>
      <c r="G996" s="229"/>
      <c r="H996" s="229"/>
      <c r="I996" s="193" t="s">
        <v>373</v>
      </c>
      <c r="J996" s="193"/>
      <c r="K996" s="193"/>
      <c r="L996" s="193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  <c r="AA996" s="176"/>
      <c r="AB996" s="176"/>
      <c r="AC996" s="176"/>
      <c r="AD996" s="176"/>
      <c r="AE996" s="176"/>
      <c r="AF996" s="176"/>
      <c r="AG996" s="176"/>
      <c r="AH996" s="176"/>
      <c r="AI996" s="176"/>
      <c r="AJ996" s="176"/>
      <c r="AK996" s="176"/>
      <c r="AL996" s="176"/>
      <c r="AM996" s="176"/>
      <c r="AN996" s="176"/>
      <c r="AO996" s="176"/>
      <c r="AP996" s="176"/>
      <c r="AQ996" s="176"/>
      <c r="AR996" s="176"/>
      <c r="AS996" s="176"/>
      <c r="AT996" s="176"/>
      <c r="AU996" s="176"/>
      <c r="AV996" s="176"/>
      <c r="AW996" s="176"/>
      <c r="AX996" s="176"/>
      <c r="AY996" s="176"/>
      <c r="AZ996" s="176"/>
      <c r="BA996" s="176"/>
      <c r="BB996" s="176"/>
      <c r="BC996" s="176"/>
      <c r="BD996" s="176"/>
      <c r="BE996" s="176"/>
      <c r="BF996" s="176"/>
      <c r="BG996" s="176"/>
      <c r="BH996" s="176"/>
      <c r="BI996" s="176"/>
      <c r="BJ996" s="176"/>
      <c r="BK996" s="176"/>
      <c r="BL996" s="176"/>
      <c r="BM996" s="176"/>
      <c r="BN996" s="176"/>
      <c r="BO996" s="176">
        <v>290.94</v>
      </c>
      <c r="BP996" s="176">
        <v>290.94</v>
      </c>
      <c r="BQ996" s="176">
        <v>290.94</v>
      </c>
      <c r="BR996" s="176">
        <v>290.94</v>
      </c>
      <c r="BS996" s="176">
        <f>1590.26-1170.8</f>
        <v>419.46000000000004</v>
      </c>
      <c r="BT996" s="176">
        <f>1590.26-1170.8</f>
        <v>419.46000000000004</v>
      </c>
      <c r="BU996" s="176">
        <f>1590.26-1170</f>
        <v>420.26</v>
      </c>
      <c r="BV996" s="176">
        <f>1590.26-1170.8</f>
        <v>419.46000000000004</v>
      </c>
      <c r="BW996" s="176">
        <f>1768.51-1170.8</f>
        <v>597.71</v>
      </c>
      <c r="BX996" s="176"/>
      <c r="BY996" s="191"/>
      <c r="BZ996" s="191"/>
    </row>
    <row r="997" spans="1:81" s="178" customFormat="1">
      <c r="A997" s="226"/>
      <c r="B997" s="227"/>
      <c r="C997" s="232"/>
      <c r="D997" s="229"/>
      <c r="E997" s="227"/>
      <c r="F997" s="227"/>
      <c r="G997" s="229"/>
      <c r="H997" s="229"/>
      <c r="I997" s="190"/>
      <c r="J997" s="176">
        <f>SUM(J986:J995)-J996</f>
        <v>0</v>
      </c>
      <c r="K997" s="176">
        <f t="shared" ref="K997:Y997" si="497">SUM(K986:K995)-K996</f>
        <v>0</v>
      </c>
      <c r="L997" s="176">
        <f t="shared" si="497"/>
        <v>0</v>
      </c>
      <c r="M997" s="176">
        <f t="shared" si="497"/>
        <v>0</v>
      </c>
      <c r="N997" s="176">
        <f t="shared" si="497"/>
        <v>0</v>
      </c>
      <c r="O997" s="176">
        <f t="shared" si="497"/>
        <v>0</v>
      </c>
      <c r="P997" s="176">
        <f t="shared" si="497"/>
        <v>0</v>
      </c>
      <c r="Q997" s="176">
        <f t="shared" si="497"/>
        <v>0</v>
      </c>
      <c r="R997" s="176">
        <f t="shared" si="497"/>
        <v>0</v>
      </c>
      <c r="S997" s="176">
        <f t="shared" si="497"/>
        <v>0</v>
      </c>
      <c r="T997" s="176">
        <f t="shared" si="497"/>
        <v>0</v>
      </c>
      <c r="U997" s="176">
        <f t="shared" si="497"/>
        <v>0</v>
      </c>
      <c r="V997" s="176">
        <f t="shared" si="497"/>
        <v>0</v>
      </c>
      <c r="W997" s="176">
        <f t="shared" si="497"/>
        <v>0</v>
      </c>
      <c r="X997" s="176">
        <f t="shared" si="497"/>
        <v>0</v>
      </c>
      <c r="Y997" s="176">
        <f t="shared" si="497"/>
        <v>0</v>
      </c>
      <c r="Z997" s="176">
        <f>SUM(Z986:Z995)-Z996</f>
        <v>0</v>
      </c>
      <c r="AA997" s="176">
        <f t="shared" ref="AA997:AD997" si="498">SUM(AA986:AA995)-AA996</f>
        <v>0</v>
      </c>
      <c r="AB997" s="176">
        <f t="shared" si="498"/>
        <v>0</v>
      </c>
      <c r="AC997" s="176">
        <f t="shared" si="498"/>
        <v>0</v>
      </c>
      <c r="AD997" s="176">
        <f t="shared" si="498"/>
        <v>0</v>
      </c>
      <c r="AE997" s="176">
        <f>SUM(AE986:AE995)-AE996</f>
        <v>0</v>
      </c>
      <c r="AF997" s="176">
        <f>SUM(AF986:AF995)-AF996</f>
        <v>0</v>
      </c>
      <c r="AG997" s="176">
        <f t="shared" ref="AG997:AP997" si="499">SUM(AG986:AG995)-AG996</f>
        <v>0</v>
      </c>
      <c r="AH997" s="176">
        <f t="shared" si="499"/>
        <v>0</v>
      </c>
      <c r="AI997" s="176">
        <f t="shared" si="499"/>
        <v>0</v>
      </c>
      <c r="AJ997" s="176">
        <f t="shared" si="499"/>
        <v>0</v>
      </c>
      <c r="AK997" s="176">
        <f t="shared" si="499"/>
        <v>0</v>
      </c>
      <c r="AL997" s="176">
        <f t="shared" si="499"/>
        <v>0</v>
      </c>
      <c r="AM997" s="176">
        <f t="shared" si="499"/>
        <v>0</v>
      </c>
      <c r="AN997" s="176">
        <f t="shared" si="499"/>
        <v>0</v>
      </c>
      <c r="AO997" s="176">
        <f t="shared" si="499"/>
        <v>0</v>
      </c>
      <c r="AP997" s="176">
        <f t="shared" si="499"/>
        <v>0</v>
      </c>
      <c r="AQ997" s="176">
        <f t="shared" ref="AQ997:AU997" si="500">SUM(AQ986:AQ995)-AQ996</f>
        <v>0</v>
      </c>
      <c r="AR997" s="176">
        <f t="shared" si="500"/>
        <v>0</v>
      </c>
      <c r="AS997" s="176">
        <f t="shared" si="500"/>
        <v>0</v>
      </c>
      <c r="AT997" s="176">
        <f t="shared" si="500"/>
        <v>0</v>
      </c>
      <c r="AU997" s="176">
        <f t="shared" si="500"/>
        <v>0</v>
      </c>
      <c r="AV997" s="176">
        <f>SUM(AV986:AV995)-AV996</f>
        <v>0</v>
      </c>
      <c r="AW997" s="176">
        <f t="shared" ref="AW997:BA997" si="501">SUM(AW986:AW995)-AW996</f>
        <v>0</v>
      </c>
      <c r="AX997" s="176">
        <f t="shared" si="501"/>
        <v>0</v>
      </c>
      <c r="AY997" s="176">
        <f t="shared" si="501"/>
        <v>0</v>
      </c>
      <c r="AZ997" s="176">
        <f t="shared" si="501"/>
        <v>0</v>
      </c>
      <c r="BA997" s="176">
        <f t="shared" si="501"/>
        <v>0</v>
      </c>
      <c r="BB997" s="176"/>
      <c r="BC997" s="176"/>
      <c r="BD997" s="176"/>
      <c r="BE997" s="176"/>
      <c r="BF997" s="176"/>
      <c r="BG997" s="176"/>
      <c r="BH997" s="176"/>
      <c r="BI997" s="176"/>
      <c r="BJ997" s="176"/>
      <c r="BK997" s="176"/>
      <c r="BL997" s="176"/>
      <c r="BM997" s="176"/>
      <c r="BN997" s="176">
        <f>BN987+BN992+BN993-BN996+BN991+BN990</f>
        <v>620.62</v>
      </c>
      <c r="BO997" s="176">
        <f>BO987+BO992+BO993-BO996+BO991+BO990</f>
        <v>2857.71</v>
      </c>
      <c r="BP997" s="176">
        <f>BP987+BP992+BP993-BP996+BP991+BP990</f>
        <v>2809.74</v>
      </c>
      <c r="BQ997" s="176">
        <f>BQ987+BQ992+BQ993-BQ996+BQ991+BQ990</f>
        <v>2857.8</v>
      </c>
      <c r="BR997" s="176">
        <f>BR987+BR992+BR993-BR996+BR991+BR990</f>
        <v>3254.73</v>
      </c>
      <c r="BS997" s="176">
        <f>BS987+BS988+BS990+BS991+BS992-BS996</f>
        <v>3764</v>
      </c>
      <c r="BT997" s="176">
        <f>BT987+BT988+BT990+BT991+BT992-BT996</f>
        <v>3764</v>
      </c>
      <c r="BU997" s="176">
        <f>BU987+BU988+BU990+BU991+BU992-BU996</f>
        <v>3812.75</v>
      </c>
      <c r="BV997" s="176">
        <f>BV987+BV988+BV990+BV991+BV992-BV996</f>
        <v>3821.55</v>
      </c>
      <c r="BW997" s="176">
        <f>BW987+BW988+BW990+BW991+BW992-BW996</f>
        <v>3743.2</v>
      </c>
      <c r="BX997" s="176">
        <f>SUM(BN997:BW997)</f>
        <v>31306.1</v>
      </c>
      <c r="BY997" s="191"/>
      <c r="BZ997" s="191"/>
    </row>
    <row r="998" spans="1:81" ht="15.6" customHeight="1">
      <c r="A998" s="148" t="s">
        <v>346</v>
      </c>
      <c r="B998" s="148" t="s">
        <v>347</v>
      </c>
      <c r="C998" s="145" t="s">
        <v>310</v>
      </c>
      <c r="D998" s="145" t="s">
        <v>311</v>
      </c>
      <c r="E998" s="148" t="s">
        <v>312</v>
      </c>
      <c r="F998" s="148" t="s">
        <v>348</v>
      </c>
      <c r="G998" s="145" t="s">
        <v>314</v>
      </c>
      <c r="H998" s="145" t="s">
        <v>315</v>
      </c>
      <c r="I998" s="145" t="s">
        <v>349</v>
      </c>
      <c r="J998" s="146">
        <v>44105</v>
      </c>
      <c r="K998" s="146">
        <v>44136</v>
      </c>
      <c r="L998" s="146">
        <v>44166</v>
      </c>
      <c r="M998" s="146">
        <v>44197</v>
      </c>
      <c r="N998" s="146">
        <v>44228</v>
      </c>
      <c r="O998" s="146">
        <v>44256</v>
      </c>
      <c r="P998" s="146">
        <v>44287</v>
      </c>
      <c r="Q998" s="146">
        <v>44317</v>
      </c>
      <c r="R998" s="146">
        <v>44348</v>
      </c>
      <c r="S998" s="146">
        <v>44378</v>
      </c>
      <c r="T998" s="146">
        <v>44409</v>
      </c>
      <c r="U998" s="146">
        <v>44440</v>
      </c>
      <c r="V998" s="146">
        <v>44470</v>
      </c>
      <c r="W998" s="146">
        <v>44501</v>
      </c>
      <c r="X998" s="146">
        <v>44531</v>
      </c>
      <c r="Y998" s="146">
        <v>44562</v>
      </c>
      <c r="Z998" s="146">
        <v>44593</v>
      </c>
      <c r="AA998" s="146">
        <v>44621</v>
      </c>
      <c r="AB998" s="146">
        <v>44652</v>
      </c>
      <c r="AC998" s="146">
        <v>44682</v>
      </c>
      <c r="AD998" s="146">
        <v>44713</v>
      </c>
      <c r="AE998" s="146">
        <v>44743</v>
      </c>
      <c r="AF998" s="146">
        <v>44774</v>
      </c>
      <c r="AG998" s="146">
        <v>44805</v>
      </c>
      <c r="AH998" s="146">
        <v>44835</v>
      </c>
      <c r="AI998" s="146">
        <v>44866</v>
      </c>
      <c r="AJ998" s="146">
        <v>44896</v>
      </c>
      <c r="AK998" s="146">
        <v>44927</v>
      </c>
      <c r="AL998" s="146">
        <v>44958</v>
      </c>
      <c r="AM998" s="146">
        <v>44986</v>
      </c>
      <c r="AN998" s="146">
        <v>45017</v>
      </c>
      <c r="AO998" s="146">
        <v>45047</v>
      </c>
      <c r="AP998" s="146">
        <v>45078</v>
      </c>
      <c r="AQ998" s="146">
        <v>45108</v>
      </c>
      <c r="AR998" s="146">
        <v>45139</v>
      </c>
      <c r="AS998" s="146">
        <v>45170</v>
      </c>
      <c r="AT998" s="146">
        <v>45200</v>
      </c>
      <c r="AU998" s="146">
        <v>45231</v>
      </c>
      <c r="AV998" s="146">
        <v>45261</v>
      </c>
      <c r="AW998" s="146">
        <v>45292</v>
      </c>
      <c r="AX998" s="146">
        <v>45323</v>
      </c>
      <c r="AY998" s="146">
        <v>45352</v>
      </c>
      <c r="AZ998" s="146">
        <v>45383</v>
      </c>
      <c r="BA998" s="146">
        <v>45413</v>
      </c>
      <c r="BB998" s="146">
        <v>45444</v>
      </c>
      <c r="BC998" s="146">
        <v>45474</v>
      </c>
      <c r="BD998" s="146">
        <v>45505</v>
      </c>
      <c r="BE998" s="146">
        <v>45536</v>
      </c>
      <c r="BF998" s="146">
        <v>45566</v>
      </c>
      <c r="BG998" s="146">
        <v>45597</v>
      </c>
      <c r="BH998" s="146">
        <v>45627</v>
      </c>
      <c r="BI998" s="146">
        <v>45658</v>
      </c>
      <c r="BJ998" s="146">
        <v>45689</v>
      </c>
      <c r="BK998" s="146">
        <v>45717</v>
      </c>
      <c r="BL998" s="146">
        <v>45748</v>
      </c>
      <c r="BM998" s="146">
        <v>45778</v>
      </c>
      <c r="BN998" s="146">
        <v>45809</v>
      </c>
      <c r="BO998" s="146">
        <v>45839</v>
      </c>
      <c r="BP998" s="146">
        <v>45870</v>
      </c>
      <c r="BQ998" s="146">
        <v>45901</v>
      </c>
      <c r="BR998" s="146">
        <v>45931</v>
      </c>
      <c r="BS998" s="146">
        <v>45962</v>
      </c>
      <c r="BT998" s="146">
        <v>45992</v>
      </c>
      <c r="BU998" s="146">
        <v>46023</v>
      </c>
      <c r="BV998" s="146">
        <v>46054</v>
      </c>
      <c r="BW998" s="146">
        <v>46082</v>
      </c>
      <c r="BX998" s="147" t="s">
        <v>13</v>
      </c>
      <c r="BY998" s="5"/>
      <c r="BZ998" s="5"/>
      <c r="CA998" s="5"/>
    </row>
    <row r="999" spans="1:81" s="178" customFormat="1">
      <c r="A999" s="234">
        <v>75</v>
      </c>
      <c r="B999" s="227" t="s">
        <v>286</v>
      </c>
      <c r="C999" s="230" t="s">
        <v>369</v>
      </c>
      <c r="D999" s="237" t="s">
        <v>99</v>
      </c>
      <c r="E999" s="237" t="s">
        <v>370</v>
      </c>
      <c r="F999" s="237" t="s">
        <v>370</v>
      </c>
      <c r="G999" s="230"/>
      <c r="H999" s="230"/>
      <c r="I999" s="175" t="s">
        <v>350</v>
      </c>
      <c r="J999" s="175"/>
      <c r="K999" s="175"/>
      <c r="L999" s="175"/>
      <c r="M999" s="180"/>
      <c r="N999" s="180"/>
      <c r="O999" s="180"/>
      <c r="P999" s="180"/>
      <c r="Q999" s="180"/>
      <c r="R999" s="180"/>
      <c r="S999" s="180"/>
      <c r="T999" s="180"/>
      <c r="U999" s="180"/>
      <c r="V999" s="176"/>
      <c r="W999" s="176"/>
      <c r="X999" s="180"/>
      <c r="Y999" s="180"/>
      <c r="Z999" s="180"/>
      <c r="AA999" s="180"/>
      <c r="AB999" s="180"/>
      <c r="AC999" s="180"/>
      <c r="AD999" s="176"/>
      <c r="AE999" s="180"/>
      <c r="AF999" s="180"/>
      <c r="AG999" s="180"/>
      <c r="AH999" s="180"/>
      <c r="AI999" s="180"/>
      <c r="AJ999" s="180"/>
      <c r="AK999" s="180"/>
      <c r="AL999" s="180"/>
      <c r="AM999" s="180"/>
      <c r="AN999" s="180"/>
      <c r="AO999" s="180"/>
      <c r="AP999" s="180"/>
      <c r="AQ999" s="180"/>
      <c r="AR999" s="180"/>
      <c r="AS999" s="180"/>
      <c r="AT999" s="180"/>
      <c r="AU999" s="180"/>
      <c r="AV999" s="180"/>
      <c r="AW999" s="180"/>
      <c r="AX999" s="180"/>
      <c r="AY999" s="180"/>
      <c r="AZ999" s="180"/>
      <c r="BA999" s="180"/>
      <c r="BB999" s="180"/>
      <c r="BC999" s="180"/>
      <c r="BD999" s="180"/>
      <c r="BE999" s="180"/>
      <c r="BF999" s="180"/>
      <c r="BG999" s="180"/>
      <c r="BH999" s="180"/>
      <c r="BI999" s="180"/>
      <c r="BJ999" s="180"/>
      <c r="BK999" s="180"/>
      <c r="BL999" s="180"/>
      <c r="BM999" s="180"/>
      <c r="BN999" s="180"/>
      <c r="BO999" s="180"/>
      <c r="BP999" s="180"/>
      <c r="BQ999" s="180"/>
      <c r="BR999" s="180"/>
      <c r="BS999" s="180"/>
      <c r="BT999" s="180"/>
      <c r="BU999" s="180"/>
      <c r="BV999" s="180"/>
      <c r="BW999" s="180"/>
      <c r="BX999" s="176"/>
      <c r="BY999" s="181"/>
      <c r="BZ999" s="181"/>
      <c r="CA999" s="181"/>
    </row>
    <row r="1000" spans="1:81" s="178" customFormat="1">
      <c r="A1000" s="235"/>
      <c r="B1000" s="227"/>
      <c r="C1000" s="231"/>
      <c r="D1000" s="238"/>
      <c r="E1000" s="238"/>
      <c r="F1000" s="238"/>
      <c r="G1000" s="231"/>
      <c r="H1000" s="231"/>
      <c r="I1000" s="175" t="s">
        <v>351</v>
      </c>
      <c r="J1000" s="175"/>
      <c r="K1000" s="175"/>
      <c r="L1000" s="175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  <c r="AA1000" s="176"/>
      <c r="AB1000" s="176"/>
      <c r="AC1000" s="176"/>
      <c r="AD1000" s="176"/>
      <c r="AE1000" s="176"/>
      <c r="AF1000" s="176"/>
      <c r="AG1000" s="176"/>
      <c r="AH1000" s="176"/>
      <c r="AI1000" s="176"/>
      <c r="AJ1000" s="176"/>
      <c r="AK1000" s="176"/>
      <c r="AL1000" s="176"/>
      <c r="AM1000" s="176"/>
      <c r="AN1000" s="176"/>
      <c r="AO1000" s="176"/>
      <c r="AP1000" s="176"/>
      <c r="AQ1000" s="176"/>
      <c r="AR1000" s="176"/>
      <c r="AS1000" s="176"/>
      <c r="AT1000" s="176"/>
      <c r="AU1000" s="176"/>
      <c r="AV1000" s="176"/>
      <c r="AW1000" s="176"/>
      <c r="AX1000" s="176"/>
      <c r="AY1000" s="176"/>
      <c r="AZ1000" s="176"/>
      <c r="BA1000" s="176"/>
      <c r="BB1000" s="176"/>
      <c r="BC1000" s="176"/>
      <c r="BD1000" s="176"/>
      <c r="BE1000" s="176"/>
      <c r="BF1000" s="176"/>
      <c r="BG1000" s="176"/>
      <c r="BH1000" s="176"/>
      <c r="BI1000" s="176"/>
      <c r="BJ1000" s="176"/>
      <c r="BK1000" s="176"/>
      <c r="BL1000" s="176"/>
      <c r="BM1000" s="176"/>
      <c r="BN1000" s="176"/>
      <c r="BO1000" s="176"/>
      <c r="BP1000" s="176"/>
      <c r="BQ1000" s="176"/>
      <c r="BR1000" s="176"/>
      <c r="BS1000" s="176"/>
      <c r="BT1000" s="176"/>
      <c r="BU1000" s="176">
        <v>1000</v>
      </c>
      <c r="BV1000" s="176">
        <v>1000</v>
      </c>
      <c r="BW1000" s="176">
        <v>1000</v>
      </c>
      <c r="BX1000" s="176"/>
      <c r="CA1000" s="181"/>
    </row>
    <row r="1001" spans="1:81" s="178" customFormat="1">
      <c r="A1001" s="235"/>
      <c r="B1001" s="227"/>
      <c r="C1001" s="231"/>
      <c r="D1001" s="238"/>
      <c r="E1001" s="238"/>
      <c r="F1001" s="238"/>
      <c r="G1001" s="231"/>
      <c r="H1001" s="231"/>
      <c r="I1001" s="175" t="s">
        <v>352</v>
      </c>
      <c r="J1001" s="175"/>
      <c r="K1001" s="175"/>
      <c r="L1001" s="175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  <c r="Z1001" s="176"/>
      <c r="AA1001" s="176"/>
      <c r="AB1001" s="176"/>
      <c r="AC1001" s="176"/>
      <c r="AD1001" s="176"/>
      <c r="AE1001" s="176"/>
      <c r="AF1001" s="176"/>
      <c r="AG1001" s="176"/>
      <c r="AH1001" s="176"/>
      <c r="AI1001" s="176"/>
      <c r="AJ1001" s="176"/>
      <c r="AK1001" s="176"/>
      <c r="AL1001" s="176"/>
      <c r="AM1001" s="176"/>
      <c r="AN1001" s="176"/>
      <c r="AO1001" s="176"/>
      <c r="AP1001" s="176"/>
      <c r="AQ1001" s="176"/>
      <c r="AR1001" s="176"/>
      <c r="AS1001" s="176"/>
      <c r="AT1001" s="176"/>
      <c r="AU1001" s="176"/>
      <c r="AV1001" s="176"/>
      <c r="AW1001" s="176"/>
      <c r="AX1001" s="176"/>
      <c r="AY1001" s="176"/>
      <c r="AZ1001" s="176"/>
      <c r="BA1001" s="176"/>
      <c r="BB1001" s="176"/>
      <c r="BC1001" s="176"/>
      <c r="BD1001" s="176"/>
      <c r="BE1001" s="176"/>
      <c r="BF1001" s="176"/>
      <c r="BG1001" s="176"/>
      <c r="BH1001" s="176"/>
      <c r="BI1001" s="176"/>
      <c r="BJ1001" s="176"/>
      <c r="BK1001" s="176"/>
      <c r="BL1001" s="176"/>
      <c r="BM1001" s="176"/>
      <c r="BN1001" s="176"/>
      <c r="BO1001" s="176"/>
      <c r="BP1001" s="176"/>
      <c r="BQ1001" s="176"/>
      <c r="BR1001" s="176"/>
      <c r="BS1001" s="176"/>
      <c r="BT1001" s="176"/>
      <c r="BU1001" s="176"/>
      <c r="BV1001" s="176"/>
      <c r="BW1001" s="176"/>
      <c r="BX1001" s="176"/>
      <c r="CA1001" s="181"/>
    </row>
    <row r="1002" spans="1:81" s="178" customFormat="1">
      <c r="A1002" s="235"/>
      <c r="B1002" s="227"/>
      <c r="C1002" s="231"/>
      <c r="D1002" s="238"/>
      <c r="E1002" s="238"/>
      <c r="F1002" s="238"/>
      <c r="G1002" s="231"/>
      <c r="H1002" s="231"/>
      <c r="I1002" s="175" t="s">
        <v>353</v>
      </c>
      <c r="J1002" s="175"/>
      <c r="K1002" s="175"/>
      <c r="L1002" s="175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  <c r="Z1002" s="176"/>
      <c r="AA1002" s="176"/>
      <c r="AB1002" s="176"/>
      <c r="AC1002" s="176"/>
      <c r="AD1002" s="176"/>
      <c r="AE1002" s="176"/>
      <c r="AF1002" s="176"/>
      <c r="AG1002" s="176"/>
      <c r="AH1002" s="176"/>
      <c r="AI1002" s="176"/>
      <c r="AJ1002" s="176"/>
      <c r="AK1002" s="176"/>
      <c r="AL1002" s="176"/>
      <c r="AM1002" s="176"/>
      <c r="AN1002" s="176"/>
      <c r="AO1002" s="176"/>
      <c r="AP1002" s="176"/>
      <c r="AQ1002" s="176"/>
      <c r="AR1002" s="176"/>
      <c r="AS1002" s="176"/>
      <c r="AT1002" s="176"/>
      <c r="AU1002" s="176"/>
      <c r="AV1002" s="176"/>
      <c r="AW1002" s="176"/>
      <c r="AX1002" s="176"/>
      <c r="AY1002" s="176"/>
      <c r="AZ1002" s="176"/>
      <c r="BA1002" s="176"/>
      <c r="BB1002" s="176"/>
      <c r="BC1002" s="176"/>
      <c r="BD1002" s="176"/>
      <c r="BE1002" s="176"/>
      <c r="BF1002" s="176"/>
      <c r="BG1002" s="176"/>
      <c r="BH1002" s="176"/>
      <c r="BI1002" s="176"/>
      <c r="BJ1002" s="176"/>
      <c r="BK1002" s="176"/>
      <c r="BL1002" s="176"/>
      <c r="BM1002" s="176"/>
      <c r="BN1002" s="176"/>
      <c r="BO1002" s="176"/>
      <c r="BP1002" s="176"/>
      <c r="BQ1002" s="176"/>
      <c r="BR1002" s="176"/>
      <c r="BS1002" s="176"/>
      <c r="BT1002" s="176"/>
      <c r="BU1002" s="176"/>
      <c r="BV1002" s="176"/>
      <c r="BW1002" s="176"/>
      <c r="BX1002" s="176"/>
      <c r="CA1002" s="181"/>
    </row>
    <row r="1003" spans="1:81" s="178" customFormat="1">
      <c r="A1003" s="235"/>
      <c r="B1003" s="227"/>
      <c r="C1003" s="231"/>
      <c r="D1003" s="238"/>
      <c r="E1003" s="238"/>
      <c r="F1003" s="238"/>
      <c r="G1003" s="231"/>
      <c r="H1003" s="231"/>
      <c r="I1003" s="175" t="s">
        <v>354</v>
      </c>
      <c r="J1003" s="175"/>
      <c r="K1003" s="175"/>
      <c r="L1003" s="175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  <c r="Z1003" s="176"/>
      <c r="AA1003" s="176"/>
      <c r="AB1003" s="176"/>
      <c r="AC1003" s="176"/>
      <c r="AD1003" s="176"/>
      <c r="AE1003" s="176"/>
      <c r="AF1003" s="176"/>
      <c r="AG1003" s="176"/>
      <c r="AH1003" s="176"/>
      <c r="AI1003" s="176"/>
      <c r="AJ1003" s="176"/>
      <c r="AK1003" s="176"/>
      <c r="AL1003" s="176"/>
      <c r="AM1003" s="176"/>
      <c r="AN1003" s="176"/>
      <c r="AO1003" s="176"/>
      <c r="AP1003" s="176"/>
      <c r="AQ1003" s="176"/>
      <c r="AR1003" s="176"/>
      <c r="AS1003" s="176"/>
      <c r="AT1003" s="176"/>
      <c r="AU1003" s="176"/>
      <c r="AV1003" s="176"/>
      <c r="AW1003" s="176"/>
      <c r="AX1003" s="176"/>
      <c r="AY1003" s="176"/>
      <c r="AZ1003" s="176"/>
      <c r="BA1003" s="176"/>
      <c r="BB1003" s="176"/>
      <c r="BC1003" s="176"/>
      <c r="BD1003" s="176"/>
      <c r="BE1003" s="176"/>
      <c r="BF1003" s="176"/>
      <c r="BG1003" s="176"/>
      <c r="BH1003" s="176"/>
      <c r="BI1003" s="176"/>
      <c r="BJ1003" s="176"/>
      <c r="BK1003" s="176"/>
      <c r="BL1003" s="176"/>
      <c r="BM1003" s="176"/>
      <c r="BN1003" s="176"/>
      <c r="BO1003" s="176"/>
      <c r="BP1003" s="176"/>
      <c r="BQ1003" s="176"/>
      <c r="BR1003" s="176"/>
      <c r="BS1003" s="176"/>
      <c r="BT1003" s="176"/>
      <c r="BU1003" s="176"/>
      <c r="BV1003" s="176"/>
      <c r="BW1003" s="176"/>
      <c r="BX1003" s="176"/>
      <c r="CA1003" s="181"/>
    </row>
    <row r="1004" spans="1:81" s="178" customFormat="1">
      <c r="A1004" s="235"/>
      <c r="B1004" s="227"/>
      <c r="C1004" s="231"/>
      <c r="D1004" s="238"/>
      <c r="E1004" s="238"/>
      <c r="F1004" s="238"/>
      <c r="G1004" s="231"/>
      <c r="H1004" s="231"/>
      <c r="I1004" s="175" t="s">
        <v>355</v>
      </c>
      <c r="J1004" s="175"/>
      <c r="K1004" s="175"/>
      <c r="L1004" s="175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  <c r="Z1004" s="176"/>
      <c r="AA1004" s="176"/>
      <c r="AB1004" s="176"/>
      <c r="AC1004" s="176"/>
      <c r="AD1004" s="176"/>
      <c r="AE1004" s="176"/>
      <c r="AF1004" s="176"/>
      <c r="AG1004" s="176"/>
      <c r="AH1004" s="176"/>
      <c r="AI1004" s="176"/>
      <c r="AJ1004" s="176"/>
      <c r="AK1004" s="176"/>
      <c r="AL1004" s="176"/>
      <c r="AM1004" s="176"/>
      <c r="AN1004" s="176"/>
      <c r="AO1004" s="176"/>
      <c r="AP1004" s="176"/>
      <c r="AQ1004" s="176"/>
      <c r="AR1004" s="176"/>
      <c r="AS1004" s="176"/>
      <c r="AT1004" s="176"/>
      <c r="AU1004" s="176"/>
      <c r="AV1004" s="176"/>
      <c r="AW1004" s="176"/>
      <c r="AX1004" s="176"/>
      <c r="AY1004" s="176"/>
      <c r="AZ1004" s="176"/>
      <c r="BA1004" s="176"/>
      <c r="BB1004" s="176"/>
      <c r="BC1004" s="176"/>
      <c r="BD1004" s="176"/>
      <c r="BE1004" s="176"/>
      <c r="BF1004" s="176"/>
      <c r="BG1004" s="176"/>
      <c r="BH1004" s="176"/>
      <c r="BI1004" s="176"/>
      <c r="BJ1004" s="176"/>
      <c r="BK1004" s="176"/>
      <c r="BL1004" s="176"/>
      <c r="BM1004" s="176"/>
      <c r="BN1004" s="176"/>
      <c r="BO1004" s="176"/>
      <c r="BP1004" s="176"/>
      <c r="BQ1004" s="176"/>
      <c r="BR1004" s="176"/>
      <c r="BS1004" s="176"/>
      <c r="BT1004" s="176"/>
      <c r="BU1004" s="176"/>
      <c r="BV1004" s="176"/>
      <c r="BW1004" s="176"/>
      <c r="BX1004" s="176"/>
      <c r="CA1004" s="181"/>
    </row>
    <row r="1005" spans="1:81" s="178" customFormat="1">
      <c r="A1005" s="235"/>
      <c r="B1005" s="227"/>
      <c r="C1005" s="231"/>
      <c r="D1005" s="238"/>
      <c r="E1005" s="238"/>
      <c r="F1005" s="238"/>
      <c r="G1005" s="231"/>
      <c r="H1005" s="231"/>
      <c r="I1005" s="175" t="s">
        <v>356</v>
      </c>
      <c r="J1005" s="175"/>
      <c r="K1005" s="175"/>
      <c r="L1005" s="175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  <c r="Z1005" s="176"/>
      <c r="AA1005" s="176"/>
      <c r="AB1005" s="176"/>
      <c r="AC1005" s="176"/>
      <c r="AD1005" s="176"/>
      <c r="AE1005" s="176"/>
      <c r="AF1005" s="176"/>
      <c r="AG1005" s="176"/>
      <c r="AH1005" s="176"/>
      <c r="AI1005" s="176"/>
      <c r="AJ1005" s="176"/>
      <c r="AK1005" s="176"/>
      <c r="AL1005" s="176"/>
      <c r="AM1005" s="176"/>
      <c r="AN1005" s="176"/>
      <c r="AO1005" s="176"/>
      <c r="AP1005" s="176"/>
      <c r="AQ1005" s="176"/>
      <c r="AR1005" s="176"/>
      <c r="AS1005" s="176"/>
      <c r="AT1005" s="176"/>
      <c r="AU1005" s="176"/>
      <c r="AV1005" s="176"/>
      <c r="AW1005" s="176"/>
      <c r="AX1005" s="176"/>
      <c r="AY1005" s="176"/>
      <c r="AZ1005" s="176"/>
      <c r="BA1005" s="176"/>
      <c r="BB1005" s="176"/>
      <c r="BC1005" s="176"/>
      <c r="BD1005" s="176"/>
      <c r="BE1005" s="176"/>
      <c r="BF1005" s="176"/>
      <c r="BG1005" s="176"/>
      <c r="BH1005" s="176"/>
      <c r="BI1005" s="176"/>
      <c r="BJ1005" s="176"/>
      <c r="BK1005" s="176"/>
      <c r="BL1005" s="176"/>
      <c r="BM1005" s="176"/>
      <c r="BN1005" s="176"/>
      <c r="BO1005" s="176"/>
      <c r="BP1005" s="176"/>
      <c r="BQ1005" s="176"/>
      <c r="BR1005" s="176"/>
      <c r="BS1005" s="176"/>
      <c r="BT1005" s="176"/>
      <c r="BU1005" s="176"/>
      <c r="BV1005" s="176"/>
      <c r="BW1005" s="176"/>
      <c r="BX1005" s="176"/>
      <c r="CA1005" s="181"/>
    </row>
    <row r="1006" spans="1:81" s="178" customFormat="1">
      <c r="A1006" s="235"/>
      <c r="B1006" s="227"/>
      <c r="C1006" s="231"/>
      <c r="D1006" s="238"/>
      <c r="E1006" s="238"/>
      <c r="F1006" s="238"/>
      <c r="G1006" s="231"/>
      <c r="H1006" s="231"/>
      <c r="I1006" s="175" t="s">
        <v>357</v>
      </c>
      <c r="J1006" s="175"/>
      <c r="K1006" s="175"/>
      <c r="L1006" s="175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  <c r="Z1006" s="176"/>
      <c r="AA1006" s="176"/>
      <c r="AB1006" s="176"/>
      <c r="AC1006" s="176"/>
      <c r="AD1006" s="176"/>
      <c r="AE1006" s="176"/>
      <c r="AF1006" s="176"/>
      <c r="AG1006" s="176"/>
      <c r="AH1006" s="176"/>
      <c r="AI1006" s="176"/>
      <c r="AJ1006" s="176"/>
      <c r="AK1006" s="176"/>
      <c r="AL1006" s="176"/>
      <c r="AM1006" s="176"/>
      <c r="AN1006" s="176"/>
      <c r="AO1006" s="176"/>
      <c r="AP1006" s="176"/>
      <c r="AQ1006" s="176"/>
      <c r="AR1006" s="176"/>
      <c r="AS1006" s="176"/>
      <c r="AT1006" s="176"/>
      <c r="AU1006" s="176"/>
      <c r="AV1006" s="176"/>
      <c r="AW1006" s="176"/>
      <c r="AX1006" s="176"/>
      <c r="AY1006" s="176"/>
      <c r="AZ1006" s="176"/>
      <c r="BA1006" s="176"/>
      <c r="BB1006" s="176"/>
      <c r="BC1006" s="176"/>
      <c r="BD1006" s="176"/>
      <c r="BE1006" s="176"/>
      <c r="BF1006" s="176"/>
      <c r="BG1006" s="176"/>
      <c r="BH1006" s="176"/>
      <c r="BI1006" s="176"/>
      <c r="BJ1006" s="176"/>
      <c r="BK1006" s="176"/>
      <c r="BL1006" s="176"/>
      <c r="BM1006" s="176"/>
      <c r="BN1006" s="176"/>
      <c r="BO1006" s="176"/>
      <c r="BP1006" s="176"/>
      <c r="BQ1006" s="176"/>
      <c r="BR1006" s="176"/>
      <c r="BS1006" s="176"/>
      <c r="BT1006" s="176"/>
      <c r="BU1006" s="176">
        <v>220.5</v>
      </c>
      <c r="BV1006" s="176">
        <v>241.5</v>
      </c>
      <c r="BW1006" s="176">
        <v>273</v>
      </c>
      <c r="BX1006" s="176"/>
      <c r="CA1006" s="181"/>
    </row>
    <row r="1007" spans="1:81" s="178" customFormat="1">
      <c r="A1007" s="235"/>
      <c r="B1007" s="227"/>
      <c r="C1007" s="231"/>
      <c r="D1007" s="238"/>
      <c r="E1007" s="238"/>
      <c r="F1007" s="238"/>
      <c r="G1007" s="231"/>
      <c r="H1007" s="231"/>
      <c r="I1007" s="175" t="s">
        <v>358</v>
      </c>
      <c r="J1007" s="175"/>
      <c r="K1007" s="175"/>
      <c r="L1007" s="175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  <c r="Z1007" s="176"/>
      <c r="AA1007" s="176"/>
      <c r="AB1007" s="176"/>
      <c r="AC1007" s="176"/>
      <c r="AD1007" s="176"/>
      <c r="AE1007" s="176"/>
      <c r="AF1007" s="176"/>
      <c r="AG1007" s="176"/>
      <c r="AH1007" s="176"/>
      <c r="AI1007" s="176"/>
      <c r="AJ1007" s="176"/>
      <c r="AK1007" s="176"/>
      <c r="AL1007" s="176"/>
      <c r="AM1007" s="176"/>
      <c r="AN1007" s="176"/>
      <c r="AO1007" s="176"/>
      <c r="AP1007" s="176"/>
      <c r="AQ1007" s="176"/>
      <c r="AR1007" s="176"/>
      <c r="AS1007" s="176"/>
      <c r="AT1007" s="176"/>
      <c r="AU1007" s="176"/>
      <c r="AV1007" s="176"/>
      <c r="AW1007" s="176"/>
      <c r="AX1007" s="176"/>
      <c r="AY1007" s="176"/>
      <c r="AZ1007" s="176"/>
      <c r="BA1007" s="176"/>
      <c r="BB1007" s="176"/>
      <c r="BC1007" s="176"/>
      <c r="BD1007" s="176"/>
      <c r="BE1007" s="176"/>
      <c r="BF1007" s="176"/>
      <c r="BG1007" s="176"/>
      <c r="BH1007" s="176"/>
      <c r="BI1007" s="176"/>
      <c r="BJ1007" s="176"/>
      <c r="BK1007" s="176"/>
      <c r="BL1007" s="176"/>
      <c r="BM1007" s="176"/>
      <c r="BN1007" s="176"/>
      <c r="BO1007" s="176"/>
      <c r="BP1007" s="176"/>
      <c r="BQ1007" s="176"/>
      <c r="BR1007" s="176"/>
      <c r="BS1007" s="176"/>
      <c r="BT1007" s="176"/>
      <c r="BU1007" s="176"/>
      <c r="BV1007" s="176"/>
      <c r="BW1007" s="176"/>
      <c r="BX1007" s="176"/>
      <c r="CA1007" s="181"/>
    </row>
    <row r="1008" spans="1:81" s="178" customFormat="1">
      <c r="A1008" s="235"/>
      <c r="B1008" s="227"/>
      <c r="C1008" s="231"/>
      <c r="D1008" s="238"/>
      <c r="E1008" s="238"/>
      <c r="F1008" s="238"/>
      <c r="G1008" s="231"/>
      <c r="H1008" s="231"/>
      <c r="I1008" s="175" t="s">
        <v>360</v>
      </c>
      <c r="J1008" s="175"/>
      <c r="K1008" s="175"/>
      <c r="L1008" s="175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  <c r="Z1008" s="176"/>
      <c r="AA1008" s="176"/>
      <c r="AB1008" s="176"/>
      <c r="AC1008" s="176"/>
      <c r="AD1008" s="176"/>
      <c r="AE1008" s="176"/>
      <c r="AF1008" s="176"/>
      <c r="AG1008" s="176"/>
      <c r="AH1008" s="176"/>
      <c r="AI1008" s="176"/>
      <c r="AJ1008" s="176"/>
      <c r="AK1008" s="176"/>
      <c r="AL1008" s="176"/>
      <c r="AM1008" s="176"/>
      <c r="AN1008" s="176"/>
      <c r="AO1008" s="176"/>
      <c r="AP1008" s="176"/>
      <c r="AQ1008" s="176"/>
      <c r="AR1008" s="176"/>
      <c r="AS1008" s="176"/>
      <c r="AT1008" s="176"/>
      <c r="AU1008" s="176"/>
      <c r="AV1008" s="176"/>
      <c r="AW1008" s="176"/>
      <c r="AX1008" s="176"/>
      <c r="AY1008" s="176"/>
      <c r="AZ1008" s="176"/>
      <c r="BA1008" s="176"/>
      <c r="BB1008" s="176"/>
      <c r="BC1008" s="176"/>
      <c r="BD1008" s="176"/>
      <c r="BE1008" s="176"/>
      <c r="BF1008" s="176"/>
      <c r="BG1008" s="176"/>
      <c r="BH1008" s="176"/>
      <c r="BI1008" s="176"/>
      <c r="BJ1008" s="176"/>
      <c r="BK1008" s="176"/>
      <c r="BL1008" s="176"/>
      <c r="BM1008" s="176"/>
      <c r="BN1008" s="176"/>
      <c r="BO1008" s="176"/>
      <c r="BP1008" s="176"/>
      <c r="BQ1008" s="176"/>
      <c r="BR1008" s="176"/>
      <c r="BS1008" s="176"/>
      <c r="BT1008" s="176"/>
      <c r="BU1008" s="176"/>
      <c r="BV1008" s="176"/>
      <c r="BW1008" s="176"/>
      <c r="BX1008" s="176"/>
      <c r="CA1008" s="181"/>
    </row>
    <row r="1009" spans="1:79" s="178" customFormat="1">
      <c r="A1009" s="235"/>
      <c r="B1009" s="227"/>
      <c r="C1009" s="231"/>
      <c r="D1009" s="238"/>
      <c r="E1009" s="238"/>
      <c r="F1009" s="238"/>
      <c r="G1009" s="231"/>
      <c r="H1009" s="231"/>
      <c r="I1009" s="175" t="s">
        <v>368</v>
      </c>
      <c r="J1009" s="175"/>
      <c r="K1009" s="175"/>
      <c r="L1009" s="175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  <c r="Z1009" s="176"/>
      <c r="AA1009" s="176"/>
      <c r="AB1009" s="176"/>
      <c r="AC1009" s="176"/>
      <c r="AD1009" s="176"/>
      <c r="AE1009" s="176"/>
      <c r="AF1009" s="176"/>
      <c r="AG1009" s="176"/>
      <c r="AH1009" s="176"/>
      <c r="AI1009" s="176"/>
      <c r="AJ1009" s="176"/>
      <c r="AK1009" s="176"/>
      <c r="AL1009" s="176"/>
      <c r="AM1009" s="176"/>
      <c r="AN1009" s="176"/>
      <c r="AO1009" s="176"/>
      <c r="AP1009" s="176"/>
      <c r="AQ1009" s="176"/>
      <c r="AR1009" s="176"/>
      <c r="AS1009" s="176"/>
      <c r="AT1009" s="176"/>
      <c r="AU1009" s="176"/>
      <c r="AV1009" s="176"/>
      <c r="AW1009" s="176"/>
      <c r="AX1009" s="176"/>
      <c r="AY1009" s="176"/>
      <c r="AZ1009" s="176"/>
      <c r="BA1009" s="176"/>
      <c r="BB1009" s="176"/>
      <c r="BC1009" s="176"/>
      <c r="BD1009" s="176"/>
      <c r="BE1009" s="176"/>
      <c r="BF1009" s="176"/>
      <c r="BG1009" s="176"/>
      <c r="BH1009" s="176"/>
      <c r="BI1009" s="176"/>
      <c r="BJ1009" s="176"/>
      <c r="BK1009" s="176"/>
      <c r="BL1009" s="176"/>
      <c r="BM1009" s="176"/>
      <c r="BN1009" s="176"/>
      <c r="BO1009" s="176"/>
      <c r="BP1009" s="176"/>
      <c r="BQ1009" s="176"/>
      <c r="BR1009" s="176"/>
      <c r="BS1009" s="176"/>
      <c r="BT1009" s="176"/>
      <c r="BU1009" s="176"/>
      <c r="BV1009" s="176"/>
      <c r="BW1009" s="176"/>
      <c r="BX1009" s="176"/>
      <c r="CA1009" s="181"/>
    </row>
    <row r="1010" spans="1:79" s="189" customFormat="1">
      <c r="A1010" s="235"/>
      <c r="B1010" s="227"/>
      <c r="C1010" s="231"/>
      <c r="D1010" s="238"/>
      <c r="E1010" s="238"/>
      <c r="F1010" s="238"/>
      <c r="G1010" s="231"/>
      <c r="H1010" s="231"/>
      <c r="I1010" s="184" t="s">
        <v>362</v>
      </c>
      <c r="J1010" s="184"/>
      <c r="K1010" s="184"/>
      <c r="L1010" s="184"/>
      <c r="M1010" s="185"/>
      <c r="N1010" s="185"/>
      <c r="O1010" s="185"/>
      <c r="P1010" s="185"/>
      <c r="Q1010" s="185"/>
      <c r="R1010" s="185"/>
      <c r="S1010" s="185"/>
      <c r="T1010" s="185"/>
      <c r="U1010" s="185"/>
      <c r="V1010" s="185"/>
      <c r="W1010" s="185"/>
      <c r="X1010" s="186"/>
      <c r="Y1010" s="185"/>
      <c r="Z1010" s="185"/>
      <c r="AA1010" s="185"/>
      <c r="AB1010" s="185"/>
      <c r="AC1010" s="185"/>
      <c r="AD1010" s="185"/>
      <c r="AE1010" s="185"/>
      <c r="AF1010" s="185"/>
      <c r="AG1010" s="185"/>
      <c r="AH1010" s="185"/>
      <c r="AI1010" s="185"/>
      <c r="AJ1010" s="185"/>
      <c r="AK1010" s="185"/>
      <c r="AL1010" s="185"/>
      <c r="AM1010" s="185"/>
      <c r="AN1010" s="185"/>
      <c r="AO1010" s="185"/>
      <c r="AP1010" s="185"/>
      <c r="AQ1010" s="185"/>
      <c r="AR1010" s="185"/>
      <c r="AS1010" s="185"/>
      <c r="AT1010" s="185"/>
      <c r="AU1010" s="185"/>
      <c r="AW1010" s="185"/>
      <c r="AX1010" s="185"/>
      <c r="AY1010" s="185"/>
      <c r="AZ1010" s="185"/>
      <c r="BA1010" s="185"/>
      <c r="BB1010" s="185"/>
      <c r="BC1010" s="185"/>
      <c r="BD1010" s="185"/>
      <c r="BE1010" s="185"/>
      <c r="BF1010" s="185"/>
      <c r="BG1010" s="185"/>
      <c r="BH1010" s="185"/>
      <c r="BI1010" s="185"/>
      <c r="BJ1010" s="185"/>
      <c r="BK1010" s="185"/>
      <c r="BL1010" s="185"/>
      <c r="BM1010" s="185"/>
      <c r="BN1010" s="185"/>
      <c r="BO1010" s="185"/>
      <c r="BP1010" s="185"/>
      <c r="BQ1010" s="185"/>
      <c r="BR1010" s="185"/>
      <c r="BS1010" s="185"/>
      <c r="BT1010" s="185"/>
      <c r="BU1010" s="185"/>
      <c r="BV1010" s="185"/>
      <c r="BW1010" s="185"/>
      <c r="BX1010" s="185"/>
      <c r="BY1010" s="187"/>
      <c r="BZ1010" s="187"/>
      <c r="CA1010" s="188"/>
    </row>
    <row r="1011" spans="1:79" s="178" customFormat="1">
      <c r="A1011" s="235"/>
      <c r="B1011" s="227"/>
      <c r="C1011" s="231"/>
      <c r="D1011" s="238"/>
      <c r="E1011" s="238"/>
      <c r="F1011" s="238"/>
      <c r="G1011" s="231"/>
      <c r="H1011" s="231"/>
      <c r="I1011" s="190" t="s">
        <v>363</v>
      </c>
      <c r="J1011" s="190"/>
      <c r="K1011" s="190"/>
      <c r="L1011" s="190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  <c r="Z1011" s="176"/>
      <c r="AA1011" s="176"/>
      <c r="AB1011" s="176"/>
      <c r="AC1011" s="176"/>
      <c r="AD1011" s="176"/>
      <c r="AE1011" s="176"/>
      <c r="AF1011" s="176"/>
      <c r="AG1011" s="176"/>
      <c r="AH1011" s="176"/>
      <c r="AI1011" s="176"/>
      <c r="AJ1011" s="176"/>
      <c r="AK1011" s="176"/>
      <c r="AL1011" s="176"/>
      <c r="AM1011" s="176"/>
      <c r="AN1011" s="176"/>
      <c r="AO1011" s="176"/>
      <c r="AP1011" s="176"/>
      <c r="AQ1011" s="176"/>
      <c r="AR1011" s="176"/>
      <c r="AS1011" s="176"/>
      <c r="AT1011" s="176"/>
      <c r="AU1011" s="176"/>
      <c r="AV1011" s="186"/>
      <c r="AW1011" s="176"/>
      <c r="AX1011" s="176"/>
      <c r="AY1011" s="176"/>
      <c r="AZ1011" s="176"/>
      <c r="BA1011" s="176"/>
      <c r="BB1011" s="176"/>
      <c r="BC1011" s="176"/>
      <c r="BD1011" s="176"/>
      <c r="BE1011" s="176"/>
      <c r="BF1011" s="176"/>
      <c r="BG1011" s="176"/>
      <c r="BH1011" s="176"/>
      <c r="BI1011" s="176"/>
      <c r="BJ1011" s="176"/>
      <c r="BK1011" s="176"/>
      <c r="BL1011" s="176"/>
      <c r="BM1011" s="176"/>
      <c r="BN1011" s="176"/>
      <c r="BO1011" s="176"/>
      <c r="BP1011" s="176"/>
      <c r="BQ1011" s="176"/>
      <c r="BR1011" s="176"/>
      <c r="BS1011" s="176"/>
      <c r="BT1011" s="176"/>
      <c r="BU1011" s="176"/>
      <c r="BV1011" s="176"/>
      <c r="BW1011" s="176"/>
      <c r="BX1011" s="176"/>
      <c r="BY1011" s="191"/>
      <c r="BZ1011" s="191"/>
      <c r="CA1011" s="181"/>
    </row>
    <row r="1012" spans="1:79" s="178" customFormat="1">
      <c r="A1012" s="235"/>
      <c r="B1012" s="227"/>
      <c r="C1012" s="231"/>
      <c r="D1012" s="238"/>
      <c r="E1012" s="238"/>
      <c r="F1012" s="238"/>
      <c r="G1012" s="231"/>
      <c r="H1012" s="231"/>
      <c r="I1012" s="175" t="s">
        <v>364</v>
      </c>
      <c r="J1012" s="175"/>
      <c r="K1012" s="175"/>
      <c r="L1012" s="175"/>
      <c r="M1012" s="176"/>
      <c r="N1012" s="176"/>
      <c r="O1012" s="176"/>
      <c r="P1012" s="176"/>
      <c r="Q1012" s="176"/>
      <c r="R1012" s="176"/>
      <c r="S1012" s="176"/>
      <c r="T1012" s="176"/>
      <c r="U1012" s="176"/>
      <c r="V1012" s="176"/>
      <c r="W1012" s="176"/>
      <c r="X1012" s="176"/>
      <c r="Y1012" s="176"/>
      <c r="Z1012" s="176"/>
      <c r="AA1012" s="176"/>
      <c r="AB1012" s="176"/>
      <c r="AC1012" s="176"/>
      <c r="AD1012" s="176"/>
      <c r="AE1012" s="176"/>
      <c r="AF1012" s="176"/>
      <c r="AG1012" s="176"/>
      <c r="AH1012" s="176"/>
      <c r="AI1012" s="176"/>
      <c r="AJ1012" s="176"/>
      <c r="AK1012" s="176"/>
      <c r="AL1012" s="176"/>
      <c r="AM1012" s="176"/>
      <c r="AN1012" s="176"/>
      <c r="AO1012" s="176"/>
      <c r="AP1012" s="176"/>
      <c r="AQ1012" s="176"/>
      <c r="AR1012" s="176"/>
      <c r="AS1012" s="176"/>
      <c r="AT1012" s="176"/>
      <c r="AU1012" s="176"/>
      <c r="AV1012" s="176"/>
      <c r="AW1012" s="176"/>
      <c r="AX1012" s="176"/>
      <c r="AY1012" s="176"/>
      <c r="AZ1012" s="176"/>
      <c r="BA1012" s="176"/>
      <c r="BC1012" s="176"/>
      <c r="BD1012" s="176"/>
      <c r="BE1012" s="176"/>
      <c r="BF1012" s="176"/>
      <c r="BG1012" s="176"/>
      <c r="BH1012" s="176"/>
      <c r="BI1012" s="176"/>
      <c r="BJ1012" s="176"/>
      <c r="BK1012" s="176"/>
      <c r="BL1012" s="176"/>
      <c r="BM1012" s="176"/>
      <c r="BN1012" s="176"/>
      <c r="BO1012" s="176"/>
      <c r="BP1012" s="176"/>
      <c r="BQ1012" s="176"/>
      <c r="BR1012" s="176"/>
      <c r="BS1012" s="176"/>
      <c r="BT1012" s="176"/>
      <c r="BU1012" s="176"/>
      <c r="BV1012" s="176"/>
      <c r="BW1012" s="176"/>
      <c r="BX1012" s="176"/>
      <c r="BY1012" s="191"/>
      <c r="BZ1012" s="191"/>
      <c r="CA1012" s="181"/>
    </row>
    <row r="1013" spans="1:79" s="191" customFormat="1">
      <c r="A1013" s="236"/>
      <c r="B1013" s="227"/>
      <c r="C1013" s="232"/>
      <c r="D1013" s="239"/>
      <c r="E1013" s="239"/>
      <c r="F1013" s="239"/>
      <c r="G1013" s="232"/>
      <c r="H1013" s="232"/>
      <c r="I1013" s="192"/>
      <c r="J1013" s="176">
        <f>SUM(J999:J1011)-J1012</f>
        <v>0</v>
      </c>
      <c r="K1013" s="176">
        <f t="shared" ref="K1013:V1013" si="502">SUM(K999:K1011)-K1012</f>
        <v>0</v>
      </c>
      <c r="L1013" s="176">
        <f t="shared" si="502"/>
        <v>0</v>
      </c>
      <c r="M1013" s="176">
        <f t="shared" si="502"/>
        <v>0</v>
      </c>
      <c r="N1013" s="176">
        <f t="shared" si="502"/>
        <v>0</v>
      </c>
      <c r="O1013" s="176">
        <f t="shared" si="502"/>
        <v>0</v>
      </c>
      <c r="P1013" s="176">
        <f t="shared" si="502"/>
        <v>0</v>
      </c>
      <c r="Q1013" s="176">
        <f t="shared" si="502"/>
        <v>0</v>
      </c>
      <c r="R1013" s="176">
        <f t="shared" si="502"/>
        <v>0</v>
      </c>
      <c r="S1013" s="176">
        <f t="shared" si="502"/>
        <v>0</v>
      </c>
      <c r="T1013" s="176">
        <f t="shared" si="502"/>
        <v>0</v>
      </c>
      <c r="U1013" s="176">
        <f t="shared" si="502"/>
        <v>0</v>
      </c>
      <c r="V1013" s="176">
        <f t="shared" si="502"/>
        <v>0</v>
      </c>
      <c r="W1013" s="176">
        <f>SUM(W999:W1011)-W1012</f>
        <v>0</v>
      </c>
      <c r="X1013" s="176">
        <f>SUM(X999:X1011)-X1012</f>
        <v>0</v>
      </c>
      <c r="Y1013" s="176">
        <f t="shared" ref="Y1013" si="503">SUM(Y999:Y1011)-Y1012</f>
        <v>0</v>
      </c>
      <c r="Z1013" s="176">
        <f>SUM(Z999:Z1011)-Z1012</f>
        <v>0</v>
      </c>
      <c r="AA1013" s="176">
        <f t="shared" ref="AA1013:AC1013" si="504">SUM(AA999:AA1011)-AA1012</f>
        <v>0</v>
      </c>
      <c r="AB1013" s="176">
        <f t="shared" si="504"/>
        <v>0</v>
      </c>
      <c r="AC1013" s="176">
        <f t="shared" si="504"/>
        <v>0</v>
      </c>
      <c r="AD1013" s="176"/>
      <c r="AE1013" s="176">
        <f>SUM(AE999:AE1011)-AE1012</f>
        <v>0</v>
      </c>
      <c r="AF1013" s="176">
        <f>SUM(AF999:AF1011)-AF1012</f>
        <v>0</v>
      </c>
      <c r="AG1013" s="176">
        <f>SUM(AG999:AG1011)-AG1012</f>
        <v>0</v>
      </c>
      <c r="AH1013" s="176">
        <f t="shared" ref="AH1013" si="505">SUM(AH999:AH1011)-AH1012</f>
        <v>0</v>
      </c>
      <c r="AI1013" s="176">
        <f>SUM(AI999:AI1011)-AI1012</f>
        <v>0</v>
      </c>
      <c r="AJ1013" s="176">
        <f t="shared" ref="AJ1013" si="506">SUM(AJ999:AJ1011)-AJ1012</f>
        <v>0</v>
      </c>
      <c r="AK1013" s="176">
        <f>SUM(AK999:AK1011)-AK1012</f>
        <v>0</v>
      </c>
      <c r="AL1013" s="176">
        <f t="shared" ref="AL1013:AM1013" si="507">SUM(AL999:AL1011)-AL1012</f>
        <v>0</v>
      </c>
      <c r="AM1013" s="176">
        <f t="shared" si="507"/>
        <v>0</v>
      </c>
      <c r="AN1013" s="176">
        <f>SUM(AN999:AN1011)-AN1012</f>
        <v>0</v>
      </c>
      <c r="AO1013" s="176">
        <f t="shared" ref="AO1013:AT1013" si="508">SUM(AO999:AO1011)-AO1012</f>
        <v>0</v>
      </c>
      <c r="AP1013" s="176">
        <f t="shared" si="508"/>
        <v>0</v>
      </c>
      <c r="AQ1013" s="176">
        <f t="shared" si="508"/>
        <v>0</v>
      </c>
      <c r="AR1013" s="176">
        <f t="shared" si="508"/>
        <v>0</v>
      </c>
      <c r="AS1013" s="176">
        <f t="shared" si="508"/>
        <v>0</v>
      </c>
      <c r="AT1013" s="176">
        <f t="shared" si="508"/>
        <v>0</v>
      </c>
      <c r="AU1013" s="176">
        <f>SUM(AU999:AU1011)-AU1012</f>
        <v>0</v>
      </c>
      <c r="AV1013" s="176">
        <f t="shared" ref="AV1013:BB1013" si="509">SUM(AV999:AV1011)-AV1012</f>
        <v>0</v>
      </c>
      <c r="AW1013" s="176">
        <f t="shared" si="509"/>
        <v>0</v>
      </c>
      <c r="AX1013" s="176">
        <f t="shared" si="509"/>
        <v>0</v>
      </c>
      <c r="AY1013" s="176">
        <f t="shared" si="509"/>
        <v>0</v>
      </c>
      <c r="AZ1013" s="176">
        <f t="shared" si="509"/>
        <v>0</v>
      </c>
      <c r="BA1013" s="176">
        <f t="shared" si="509"/>
        <v>0</v>
      </c>
      <c r="BB1013" s="176">
        <f t="shared" si="509"/>
        <v>0</v>
      </c>
      <c r="BC1013" s="176">
        <f>BC1000</f>
        <v>0</v>
      </c>
      <c r="BD1013" s="176">
        <f>BD1000-BD1012</f>
        <v>0</v>
      </c>
      <c r="BE1013" s="176">
        <f>BE1000</f>
        <v>0</v>
      </c>
      <c r="BF1013" s="176">
        <f>BF1000</f>
        <v>0</v>
      </c>
      <c r="BG1013" s="176"/>
      <c r="BH1013" s="176"/>
      <c r="BI1013" s="176"/>
      <c r="BJ1013" s="176"/>
      <c r="BK1013" s="176"/>
      <c r="BL1013" s="176"/>
      <c r="BM1013" s="176"/>
      <c r="BN1013" s="176"/>
      <c r="BO1013" s="176"/>
      <c r="BP1013" s="176"/>
      <c r="BQ1013" s="176"/>
      <c r="BR1013" s="176"/>
      <c r="BS1013" s="176"/>
      <c r="BT1013" s="176"/>
      <c r="BU1013" s="176">
        <f>BU1000+BU1006</f>
        <v>1220.5</v>
      </c>
      <c r="BV1013" s="176">
        <f t="shared" ref="BV1013:BW1013" si="510">BV1000+BV1006</f>
        <v>1241.5</v>
      </c>
      <c r="BW1013" s="176">
        <f t="shared" si="510"/>
        <v>1273</v>
      </c>
      <c r="BX1013" s="176">
        <f>SUM(L1013:BW1013)</f>
        <v>3735</v>
      </c>
    </row>
    <row r="1014" spans="1:79" ht="15.6" customHeight="1">
      <c r="A1014" s="148" t="s">
        <v>346</v>
      </c>
      <c r="B1014" s="148" t="s">
        <v>347</v>
      </c>
      <c r="C1014" s="145" t="s">
        <v>310</v>
      </c>
      <c r="D1014" s="145" t="s">
        <v>311</v>
      </c>
      <c r="E1014" s="148" t="s">
        <v>312</v>
      </c>
      <c r="F1014" s="148" t="s">
        <v>348</v>
      </c>
      <c r="G1014" s="145" t="s">
        <v>314</v>
      </c>
      <c r="H1014" s="145" t="s">
        <v>315</v>
      </c>
      <c r="I1014" s="145" t="s">
        <v>349</v>
      </c>
      <c r="J1014" s="146">
        <v>44105</v>
      </c>
      <c r="K1014" s="146">
        <v>44136</v>
      </c>
      <c r="L1014" s="146">
        <v>44166</v>
      </c>
      <c r="M1014" s="146">
        <v>44197</v>
      </c>
      <c r="N1014" s="146">
        <v>44228</v>
      </c>
      <c r="O1014" s="146">
        <v>44256</v>
      </c>
      <c r="P1014" s="146">
        <v>44287</v>
      </c>
      <c r="Q1014" s="146">
        <v>44317</v>
      </c>
      <c r="R1014" s="146">
        <v>44348</v>
      </c>
      <c r="S1014" s="146">
        <v>44378</v>
      </c>
      <c r="T1014" s="146">
        <v>44409</v>
      </c>
      <c r="U1014" s="146">
        <v>44440</v>
      </c>
      <c r="V1014" s="146">
        <v>44470</v>
      </c>
      <c r="W1014" s="146">
        <v>44501</v>
      </c>
      <c r="X1014" s="146">
        <v>44531</v>
      </c>
      <c r="Y1014" s="146">
        <v>44562</v>
      </c>
      <c r="Z1014" s="146">
        <v>44593</v>
      </c>
      <c r="AA1014" s="146">
        <v>44621</v>
      </c>
      <c r="AB1014" s="146">
        <v>44652</v>
      </c>
      <c r="AC1014" s="146">
        <v>44682</v>
      </c>
      <c r="AD1014" s="146">
        <v>44713</v>
      </c>
      <c r="AE1014" s="146">
        <v>44743</v>
      </c>
      <c r="AF1014" s="146">
        <v>44774</v>
      </c>
      <c r="AG1014" s="146">
        <v>44805</v>
      </c>
      <c r="AH1014" s="146">
        <v>44835</v>
      </c>
      <c r="AI1014" s="146">
        <v>44866</v>
      </c>
      <c r="AJ1014" s="146">
        <v>44896</v>
      </c>
      <c r="AK1014" s="146">
        <v>44927</v>
      </c>
      <c r="AL1014" s="146">
        <v>44958</v>
      </c>
      <c r="AM1014" s="146">
        <v>44986</v>
      </c>
      <c r="AN1014" s="146">
        <v>45017</v>
      </c>
      <c r="AO1014" s="146">
        <v>45047</v>
      </c>
      <c r="AP1014" s="146">
        <v>45078</v>
      </c>
      <c r="AQ1014" s="146">
        <v>45108</v>
      </c>
      <c r="AR1014" s="146">
        <v>45139</v>
      </c>
      <c r="AS1014" s="146">
        <v>45170</v>
      </c>
      <c r="AT1014" s="146">
        <v>45200</v>
      </c>
      <c r="AU1014" s="146">
        <v>45231</v>
      </c>
      <c r="AV1014" s="146">
        <v>45261</v>
      </c>
      <c r="AW1014" s="146">
        <v>45292</v>
      </c>
      <c r="AX1014" s="146">
        <v>45323</v>
      </c>
      <c r="AY1014" s="146">
        <v>45352</v>
      </c>
      <c r="AZ1014" s="146">
        <v>45383</v>
      </c>
      <c r="BA1014" s="146">
        <v>45413</v>
      </c>
      <c r="BB1014" s="146">
        <v>45444</v>
      </c>
      <c r="BC1014" s="146">
        <v>45474</v>
      </c>
      <c r="BD1014" s="146">
        <v>45505</v>
      </c>
      <c r="BE1014" s="146">
        <v>45536</v>
      </c>
      <c r="BF1014" s="146">
        <v>45566</v>
      </c>
      <c r="BG1014" s="146">
        <v>45597</v>
      </c>
      <c r="BH1014" s="146">
        <v>45627</v>
      </c>
      <c r="BI1014" s="146">
        <v>45658</v>
      </c>
      <c r="BJ1014" s="146">
        <v>45689</v>
      </c>
      <c r="BK1014" s="146">
        <v>45717</v>
      </c>
      <c r="BL1014" s="146">
        <v>45748</v>
      </c>
      <c r="BM1014" s="146">
        <v>45778</v>
      </c>
      <c r="BN1014" s="146">
        <v>45809</v>
      </c>
      <c r="BO1014" s="146">
        <v>45839</v>
      </c>
      <c r="BP1014" s="146">
        <v>45870</v>
      </c>
      <c r="BQ1014" s="146">
        <v>45901</v>
      </c>
      <c r="BR1014" s="146">
        <v>45931</v>
      </c>
      <c r="BS1014" s="146">
        <v>45962</v>
      </c>
      <c r="BT1014" s="146">
        <v>45992</v>
      </c>
      <c r="BU1014" s="146">
        <v>46023</v>
      </c>
      <c r="BV1014" s="146">
        <v>46054</v>
      </c>
      <c r="BW1014" s="146">
        <v>46082</v>
      </c>
      <c r="BX1014" s="147" t="s">
        <v>13</v>
      </c>
      <c r="BY1014" s="5"/>
      <c r="BZ1014" s="5"/>
      <c r="CA1014" s="5"/>
    </row>
    <row r="1015" spans="1:79" s="178" customFormat="1">
      <c r="A1015" s="234">
        <v>76</v>
      </c>
      <c r="B1015" s="227" t="s">
        <v>287</v>
      </c>
      <c r="C1015" s="230" t="s">
        <v>369</v>
      </c>
      <c r="D1015" s="237" t="s">
        <v>99</v>
      </c>
      <c r="E1015" s="237" t="s">
        <v>370</v>
      </c>
      <c r="F1015" s="237" t="s">
        <v>370</v>
      </c>
      <c r="G1015" s="230"/>
      <c r="H1015" s="230"/>
      <c r="I1015" s="175" t="s">
        <v>350</v>
      </c>
      <c r="J1015" s="175"/>
      <c r="K1015" s="175"/>
      <c r="L1015" s="175"/>
      <c r="M1015" s="180"/>
      <c r="N1015" s="180"/>
      <c r="O1015" s="180"/>
      <c r="P1015" s="180"/>
      <c r="Q1015" s="180"/>
      <c r="R1015" s="180"/>
      <c r="S1015" s="180"/>
      <c r="T1015" s="180"/>
      <c r="U1015" s="180"/>
      <c r="V1015" s="176"/>
      <c r="W1015" s="176"/>
      <c r="X1015" s="180"/>
      <c r="Y1015" s="180"/>
      <c r="Z1015" s="180"/>
      <c r="AA1015" s="180"/>
      <c r="AB1015" s="180"/>
      <c r="AC1015" s="180"/>
      <c r="AD1015" s="176"/>
      <c r="AE1015" s="180"/>
      <c r="AF1015" s="180"/>
      <c r="AG1015" s="180"/>
      <c r="AH1015" s="180"/>
      <c r="AI1015" s="180"/>
      <c r="AJ1015" s="180"/>
      <c r="AK1015" s="180"/>
      <c r="AL1015" s="180"/>
      <c r="AM1015" s="180"/>
      <c r="AN1015" s="180"/>
      <c r="AO1015" s="180"/>
      <c r="AP1015" s="180"/>
      <c r="AQ1015" s="180"/>
      <c r="AR1015" s="180"/>
      <c r="AS1015" s="180"/>
      <c r="AT1015" s="180"/>
      <c r="AU1015" s="180"/>
      <c r="AV1015" s="180"/>
      <c r="AW1015" s="180"/>
      <c r="AX1015" s="180"/>
      <c r="AY1015" s="180"/>
      <c r="AZ1015" s="180"/>
      <c r="BA1015" s="180"/>
      <c r="BB1015" s="180"/>
      <c r="BC1015" s="180"/>
      <c r="BD1015" s="180"/>
      <c r="BE1015" s="180"/>
      <c r="BF1015" s="180"/>
      <c r="BG1015" s="180"/>
      <c r="BH1015" s="180"/>
      <c r="BI1015" s="180"/>
      <c r="BJ1015" s="180"/>
      <c r="BK1015" s="180"/>
      <c r="BL1015" s="180"/>
      <c r="BM1015" s="180"/>
      <c r="BN1015" s="180"/>
      <c r="BO1015" s="180"/>
      <c r="BP1015" s="180"/>
      <c r="BQ1015" s="180"/>
      <c r="BR1015" s="180"/>
      <c r="BS1015" s="180"/>
      <c r="BT1015" s="180"/>
      <c r="BU1015" s="180"/>
      <c r="BV1015" s="180"/>
      <c r="BW1015" s="180"/>
      <c r="BX1015" s="176"/>
      <c r="BY1015" s="181"/>
      <c r="BZ1015" s="181"/>
      <c r="CA1015" s="181"/>
    </row>
    <row r="1016" spans="1:79" s="178" customFormat="1">
      <c r="A1016" s="235"/>
      <c r="B1016" s="227"/>
      <c r="C1016" s="231"/>
      <c r="D1016" s="238"/>
      <c r="E1016" s="238"/>
      <c r="F1016" s="238"/>
      <c r="G1016" s="231"/>
      <c r="H1016" s="231"/>
      <c r="I1016" s="175" t="s">
        <v>351</v>
      </c>
      <c r="J1016" s="175"/>
      <c r="K1016" s="175"/>
      <c r="L1016" s="175"/>
      <c r="M1016" s="176"/>
      <c r="N1016" s="176"/>
      <c r="O1016" s="176"/>
      <c r="P1016" s="176"/>
      <c r="Q1016" s="176"/>
      <c r="R1016" s="176"/>
      <c r="S1016" s="176"/>
      <c r="T1016" s="176"/>
      <c r="U1016" s="176"/>
      <c r="V1016" s="176"/>
      <c r="W1016" s="176"/>
      <c r="X1016" s="176"/>
      <c r="Y1016" s="176"/>
      <c r="Z1016" s="176"/>
      <c r="AA1016" s="176"/>
      <c r="AB1016" s="176"/>
      <c r="AC1016" s="176"/>
      <c r="AD1016" s="176"/>
      <c r="AE1016" s="176"/>
      <c r="AF1016" s="176"/>
      <c r="AG1016" s="176"/>
      <c r="AH1016" s="176"/>
      <c r="AI1016" s="176"/>
      <c r="AJ1016" s="176"/>
      <c r="AK1016" s="176"/>
      <c r="AL1016" s="176"/>
      <c r="AM1016" s="176"/>
      <c r="AN1016" s="176"/>
      <c r="AO1016" s="176"/>
      <c r="AP1016" s="176"/>
      <c r="AQ1016" s="176"/>
      <c r="AR1016" s="176"/>
      <c r="AS1016" s="176"/>
      <c r="AT1016" s="176"/>
      <c r="AU1016" s="176"/>
      <c r="AV1016" s="176"/>
      <c r="AW1016" s="176"/>
      <c r="AX1016" s="176"/>
      <c r="AY1016" s="176"/>
      <c r="AZ1016" s="176"/>
      <c r="BA1016" s="176"/>
      <c r="BB1016" s="176"/>
      <c r="BC1016" s="176"/>
      <c r="BD1016" s="176"/>
      <c r="BE1016" s="176"/>
      <c r="BF1016" s="176"/>
      <c r="BG1016" s="176"/>
      <c r="BH1016" s="176"/>
      <c r="BI1016" s="176"/>
      <c r="BJ1016" s="176"/>
      <c r="BK1016" s="176"/>
      <c r="BL1016" s="176"/>
      <c r="BM1016" s="176"/>
      <c r="BN1016" s="176"/>
      <c r="BO1016" s="176"/>
      <c r="BP1016" s="176"/>
      <c r="BQ1016" s="176"/>
      <c r="BR1016" s="176"/>
      <c r="BS1016" s="176"/>
      <c r="BT1016" s="176"/>
      <c r="BU1016" s="176">
        <v>1000</v>
      </c>
      <c r="BV1016" s="176">
        <v>1000</v>
      </c>
      <c r="BW1016" s="176">
        <v>1000</v>
      </c>
      <c r="BX1016" s="176"/>
      <c r="CA1016" s="181"/>
    </row>
    <row r="1017" spans="1:79" s="178" customFormat="1">
      <c r="A1017" s="235"/>
      <c r="B1017" s="227"/>
      <c r="C1017" s="231"/>
      <c r="D1017" s="238"/>
      <c r="E1017" s="238"/>
      <c r="F1017" s="238"/>
      <c r="G1017" s="231"/>
      <c r="H1017" s="231"/>
      <c r="I1017" s="175" t="s">
        <v>352</v>
      </c>
      <c r="J1017" s="175"/>
      <c r="K1017" s="175"/>
      <c r="L1017" s="175"/>
      <c r="M1017" s="176"/>
      <c r="N1017" s="176"/>
      <c r="O1017" s="176"/>
      <c r="P1017" s="176"/>
      <c r="Q1017" s="176"/>
      <c r="R1017" s="176"/>
      <c r="S1017" s="176"/>
      <c r="T1017" s="176"/>
      <c r="U1017" s="176"/>
      <c r="V1017" s="176"/>
      <c r="W1017" s="176"/>
      <c r="X1017" s="176"/>
      <c r="Y1017" s="176"/>
      <c r="Z1017" s="176"/>
      <c r="AA1017" s="176"/>
      <c r="AB1017" s="176"/>
      <c r="AC1017" s="176"/>
      <c r="AD1017" s="176"/>
      <c r="AE1017" s="176"/>
      <c r="AF1017" s="176"/>
      <c r="AG1017" s="176"/>
      <c r="AH1017" s="176"/>
      <c r="AI1017" s="176"/>
      <c r="AJ1017" s="176"/>
      <c r="AK1017" s="176"/>
      <c r="AL1017" s="176"/>
      <c r="AM1017" s="176"/>
      <c r="AN1017" s="176"/>
      <c r="AO1017" s="176"/>
      <c r="AP1017" s="176"/>
      <c r="AQ1017" s="176"/>
      <c r="AR1017" s="176"/>
      <c r="AS1017" s="176"/>
      <c r="AT1017" s="176"/>
      <c r="AU1017" s="176"/>
      <c r="AV1017" s="176"/>
      <c r="AW1017" s="176"/>
      <c r="AX1017" s="176"/>
      <c r="AY1017" s="176"/>
      <c r="AZ1017" s="176"/>
      <c r="BA1017" s="176"/>
      <c r="BB1017" s="176"/>
      <c r="BC1017" s="176"/>
      <c r="BD1017" s="176"/>
      <c r="BE1017" s="176"/>
      <c r="BF1017" s="176"/>
      <c r="BG1017" s="176"/>
      <c r="BH1017" s="176"/>
      <c r="BI1017" s="176"/>
      <c r="BJ1017" s="176"/>
      <c r="BK1017" s="176"/>
      <c r="BL1017" s="176"/>
      <c r="BM1017" s="176"/>
      <c r="BN1017" s="176"/>
      <c r="BO1017" s="176"/>
      <c r="BP1017" s="176"/>
      <c r="BQ1017" s="176"/>
      <c r="BR1017" s="176"/>
      <c r="BS1017" s="176"/>
      <c r="BT1017" s="176"/>
      <c r="BU1017" s="176"/>
      <c r="BV1017" s="176"/>
      <c r="BW1017" s="176"/>
      <c r="BX1017" s="176"/>
      <c r="CA1017" s="181"/>
    </row>
    <row r="1018" spans="1:79" s="178" customFormat="1">
      <c r="A1018" s="235"/>
      <c r="B1018" s="227"/>
      <c r="C1018" s="231"/>
      <c r="D1018" s="238"/>
      <c r="E1018" s="238"/>
      <c r="F1018" s="238"/>
      <c r="G1018" s="231"/>
      <c r="H1018" s="231"/>
      <c r="I1018" s="175" t="s">
        <v>353</v>
      </c>
      <c r="J1018" s="175"/>
      <c r="K1018" s="175"/>
      <c r="L1018" s="175"/>
      <c r="M1018" s="176"/>
      <c r="N1018" s="176"/>
      <c r="O1018" s="176"/>
      <c r="P1018" s="176"/>
      <c r="Q1018" s="176"/>
      <c r="R1018" s="176"/>
      <c r="S1018" s="176"/>
      <c r="T1018" s="176"/>
      <c r="U1018" s="176"/>
      <c r="V1018" s="176"/>
      <c r="W1018" s="176"/>
      <c r="X1018" s="176"/>
      <c r="Y1018" s="176"/>
      <c r="Z1018" s="176"/>
      <c r="AA1018" s="176"/>
      <c r="AB1018" s="176"/>
      <c r="AC1018" s="176"/>
      <c r="AD1018" s="176"/>
      <c r="AE1018" s="176"/>
      <c r="AF1018" s="176"/>
      <c r="AG1018" s="176"/>
      <c r="AH1018" s="176"/>
      <c r="AI1018" s="176"/>
      <c r="AJ1018" s="176"/>
      <c r="AK1018" s="176"/>
      <c r="AL1018" s="176"/>
      <c r="AM1018" s="176"/>
      <c r="AN1018" s="176"/>
      <c r="AO1018" s="176"/>
      <c r="AP1018" s="176"/>
      <c r="AQ1018" s="176"/>
      <c r="AR1018" s="176"/>
      <c r="AS1018" s="176"/>
      <c r="AT1018" s="176"/>
      <c r="AU1018" s="176"/>
      <c r="AV1018" s="176"/>
      <c r="AW1018" s="176"/>
      <c r="AX1018" s="176"/>
      <c r="AY1018" s="176"/>
      <c r="AZ1018" s="176"/>
      <c r="BA1018" s="176"/>
      <c r="BB1018" s="176"/>
      <c r="BC1018" s="176"/>
      <c r="BD1018" s="176"/>
      <c r="BE1018" s="176"/>
      <c r="BF1018" s="176"/>
      <c r="BG1018" s="176"/>
      <c r="BH1018" s="176"/>
      <c r="BI1018" s="176"/>
      <c r="BJ1018" s="176"/>
      <c r="BK1018" s="176"/>
      <c r="BL1018" s="176"/>
      <c r="BM1018" s="176"/>
      <c r="BN1018" s="176"/>
      <c r="BO1018" s="176"/>
      <c r="BP1018" s="176"/>
      <c r="BQ1018" s="176"/>
      <c r="BR1018" s="176"/>
      <c r="BS1018" s="176"/>
      <c r="BT1018" s="176"/>
      <c r="BU1018" s="176"/>
      <c r="BV1018" s="176"/>
      <c r="BW1018" s="176"/>
      <c r="BX1018" s="176"/>
      <c r="CA1018" s="181"/>
    </row>
    <row r="1019" spans="1:79" s="178" customFormat="1">
      <c r="A1019" s="235"/>
      <c r="B1019" s="227"/>
      <c r="C1019" s="231"/>
      <c r="D1019" s="238"/>
      <c r="E1019" s="238"/>
      <c r="F1019" s="238"/>
      <c r="G1019" s="231"/>
      <c r="H1019" s="231"/>
      <c r="I1019" s="175" t="s">
        <v>354</v>
      </c>
      <c r="J1019" s="175"/>
      <c r="K1019" s="175"/>
      <c r="L1019" s="175"/>
      <c r="M1019" s="176"/>
      <c r="N1019" s="176"/>
      <c r="O1019" s="176"/>
      <c r="P1019" s="176"/>
      <c r="Q1019" s="176"/>
      <c r="R1019" s="176"/>
      <c r="S1019" s="176"/>
      <c r="T1019" s="176"/>
      <c r="U1019" s="176"/>
      <c r="V1019" s="176"/>
      <c r="W1019" s="176"/>
      <c r="X1019" s="176"/>
      <c r="Y1019" s="176"/>
      <c r="Z1019" s="176"/>
      <c r="AA1019" s="176"/>
      <c r="AB1019" s="176"/>
      <c r="AC1019" s="176"/>
      <c r="AD1019" s="176"/>
      <c r="AE1019" s="176"/>
      <c r="AF1019" s="176"/>
      <c r="AG1019" s="176"/>
      <c r="AH1019" s="176"/>
      <c r="AI1019" s="176"/>
      <c r="AJ1019" s="176"/>
      <c r="AK1019" s="176"/>
      <c r="AL1019" s="176"/>
      <c r="AM1019" s="176"/>
      <c r="AN1019" s="176"/>
      <c r="AO1019" s="176"/>
      <c r="AP1019" s="176"/>
      <c r="AQ1019" s="176"/>
      <c r="AR1019" s="176"/>
      <c r="AS1019" s="176"/>
      <c r="AT1019" s="176"/>
      <c r="AU1019" s="176"/>
      <c r="AV1019" s="176"/>
      <c r="AW1019" s="176"/>
      <c r="AX1019" s="176"/>
      <c r="AY1019" s="176"/>
      <c r="AZ1019" s="176"/>
      <c r="BA1019" s="176"/>
      <c r="BB1019" s="176"/>
      <c r="BC1019" s="176"/>
      <c r="BD1019" s="176"/>
      <c r="BE1019" s="176"/>
      <c r="BF1019" s="176"/>
      <c r="BG1019" s="176"/>
      <c r="BH1019" s="176"/>
      <c r="BI1019" s="176"/>
      <c r="BJ1019" s="176"/>
      <c r="BK1019" s="176"/>
      <c r="BL1019" s="176"/>
      <c r="BM1019" s="176"/>
      <c r="BN1019" s="176"/>
      <c r="BO1019" s="176"/>
      <c r="BP1019" s="176"/>
      <c r="BQ1019" s="176"/>
      <c r="BR1019" s="176"/>
      <c r="BS1019" s="176"/>
      <c r="BT1019" s="176"/>
      <c r="BU1019" s="176"/>
      <c r="BV1019" s="176"/>
      <c r="BW1019" s="176"/>
      <c r="BX1019" s="176"/>
      <c r="CA1019" s="181"/>
    </row>
    <row r="1020" spans="1:79" s="178" customFormat="1">
      <c r="A1020" s="235"/>
      <c r="B1020" s="227"/>
      <c r="C1020" s="231"/>
      <c r="D1020" s="238"/>
      <c r="E1020" s="238"/>
      <c r="F1020" s="238"/>
      <c r="G1020" s="231"/>
      <c r="H1020" s="231"/>
      <c r="I1020" s="175" t="s">
        <v>355</v>
      </c>
      <c r="J1020" s="175"/>
      <c r="K1020" s="175"/>
      <c r="L1020" s="175"/>
      <c r="M1020" s="176"/>
      <c r="N1020" s="176"/>
      <c r="O1020" s="176"/>
      <c r="P1020" s="176"/>
      <c r="Q1020" s="176"/>
      <c r="R1020" s="176"/>
      <c r="S1020" s="176"/>
      <c r="T1020" s="176"/>
      <c r="U1020" s="176"/>
      <c r="V1020" s="176"/>
      <c r="W1020" s="176"/>
      <c r="X1020" s="176"/>
      <c r="Y1020" s="176"/>
      <c r="Z1020" s="176"/>
      <c r="AA1020" s="176"/>
      <c r="AB1020" s="176"/>
      <c r="AC1020" s="176"/>
      <c r="AD1020" s="176"/>
      <c r="AE1020" s="176"/>
      <c r="AF1020" s="176"/>
      <c r="AG1020" s="176"/>
      <c r="AH1020" s="176"/>
      <c r="AI1020" s="176"/>
      <c r="AJ1020" s="176"/>
      <c r="AK1020" s="176"/>
      <c r="AL1020" s="176"/>
      <c r="AM1020" s="176"/>
      <c r="AN1020" s="176"/>
      <c r="AO1020" s="176"/>
      <c r="AP1020" s="176"/>
      <c r="AQ1020" s="176"/>
      <c r="AR1020" s="176"/>
      <c r="AS1020" s="176"/>
      <c r="AT1020" s="176"/>
      <c r="AU1020" s="176"/>
      <c r="AV1020" s="176"/>
      <c r="AW1020" s="176"/>
      <c r="AX1020" s="176"/>
      <c r="AY1020" s="176"/>
      <c r="AZ1020" s="176"/>
      <c r="BA1020" s="176"/>
      <c r="BB1020" s="176"/>
      <c r="BC1020" s="176"/>
      <c r="BD1020" s="176"/>
      <c r="BE1020" s="176"/>
      <c r="BF1020" s="176"/>
      <c r="BG1020" s="176"/>
      <c r="BH1020" s="176"/>
      <c r="BI1020" s="176"/>
      <c r="BJ1020" s="176"/>
      <c r="BK1020" s="176"/>
      <c r="BL1020" s="176"/>
      <c r="BM1020" s="176"/>
      <c r="BN1020" s="176"/>
      <c r="BO1020" s="176"/>
      <c r="BP1020" s="176"/>
      <c r="BQ1020" s="176"/>
      <c r="BR1020" s="176"/>
      <c r="BS1020" s="176"/>
      <c r="BT1020" s="176"/>
      <c r="BU1020" s="176"/>
      <c r="BV1020" s="176"/>
      <c r="BW1020" s="176"/>
      <c r="BX1020" s="176"/>
      <c r="CA1020" s="181"/>
    </row>
    <row r="1021" spans="1:79" s="178" customFormat="1">
      <c r="A1021" s="235"/>
      <c r="B1021" s="227"/>
      <c r="C1021" s="231"/>
      <c r="D1021" s="238"/>
      <c r="E1021" s="238"/>
      <c r="F1021" s="238"/>
      <c r="G1021" s="231"/>
      <c r="H1021" s="231"/>
      <c r="I1021" s="175" t="s">
        <v>356</v>
      </c>
      <c r="J1021" s="175"/>
      <c r="K1021" s="175"/>
      <c r="L1021" s="175"/>
      <c r="M1021" s="176"/>
      <c r="N1021" s="176"/>
      <c r="O1021" s="176"/>
      <c r="P1021" s="176"/>
      <c r="Q1021" s="176"/>
      <c r="R1021" s="176"/>
      <c r="S1021" s="176"/>
      <c r="T1021" s="176"/>
      <c r="U1021" s="176"/>
      <c r="V1021" s="176"/>
      <c r="W1021" s="176"/>
      <c r="X1021" s="176"/>
      <c r="Y1021" s="176"/>
      <c r="Z1021" s="176"/>
      <c r="AA1021" s="176"/>
      <c r="AB1021" s="176"/>
      <c r="AC1021" s="176"/>
      <c r="AD1021" s="176"/>
      <c r="AE1021" s="176"/>
      <c r="AF1021" s="176"/>
      <c r="AG1021" s="176"/>
      <c r="AH1021" s="176"/>
      <c r="AI1021" s="176"/>
      <c r="AJ1021" s="176"/>
      <c r="AK1021" s="176"/>
      <c r="AL1021" s="176"/>
      <c r="AM1021" s="176"/>
      <c r="AN1021" s="176"/>
      <c r="AO1021" s="176"/>
      <c r="AP1021" s="176"/>
      <c r="AQ1021" s="176"/>
      <c r="AR1021" s="176"/>
      <c r="AS1021" s="176"/>
      <c r="AT1021" s="176"/>
      <c r="AU1021" s="176"/>
      <c r="AV1021" s="176"/>
      <c r="AW1021" s="176"/>
      <c r="AX1021" s="176"/>
      <c r="AY1021" s="176"/>
      <c r="AZ1021" s="176"/>
      <c r="BA1021" s="176"/>
      <c r="BB1021" s="176"/>
      <c r="BC1021" s="176"/>
      <c r="BD1021" s="176"/>
      <c r="BE1021" s="176"/>
      <c r="BF1021" s="176"/>
      <c r="BG1021" s="176"/>
      <c r="BH1021" s="176"/>
      <c r="BI1021" s="176"/>
      <c r="BJ1021" s="176"/>
      <c r="BK1021" s="176"/>
      <c r="BL1021" s="176"/>
      <c r="BM1021" s="176"/>
      <c r="BN1021" s="176"/>
      <c r="BO1021" s="176"/>
      <c r="BP1021" s="176"/>
      <c r="BQ1021" s="176"/>
      <c r="BR1021" s="176"/>
      <c r="BS1021" s="176"/>
      <c r="BT1021" s="176"/>
      <c r="BU1021" s="176"/>
      <c r="BV1021" s="176"/>
      <c r="BW1021" s="176"/>
      <c r="BX1021" s="176"/>
      <c r="CA1021" s="181"/>
    </row>
    <row r="1022" spans="1:79" s="178" customFormat="1">
      <c r="A1022" s="235"/>
      <c r="B1022" s="227"/>
      <c r="C1022" s="231"/>
      <c r="D1022" s="238"/>
      <c r="E1022" s="238"/>
      <c r="F1022" s="238"/>
      <c r="G1022" s="231"/>
      <c r="H1022" s="231"/>
      <c r="I1022" s="175" t="s">
        <v>357</v>
      </c>
      <c r="J1022" s="175"/>
      <c r="K1022" s="175"/>
      <c r="L1022" s="175"/>
      <c r="M1022" s="176"/>
      <c r="N1022" s="176"/>
      <c r="O1022" s="176"/>
      <c r="P1022" s="176"/>
      <c r="Q1022" s="176"/>
      <c r="R1022" s="176"/>
      <c r="S1022" s="176"/>
      <c r="T1022" s="176"/>
      <c r="U1022" s="176"/>
      <c r="V1022" s="176"/>
      <c r="W1022" s="176"/>
      <c r="X1022" s="176"/>
      <c r="Y1022" s="176"/>
      <c r="Z1022" s="176"/>
      <c r="AA1022" s="176"/>
      <c r="AB1022" s="176"/>
      <c r="AC1022" s="176"/>
      <c r="AD1022" s="176"/>
      <c r="AE1022" s="176"/>
      <c r="AF1022" s="176"/>
      <c r="AG1022" s="176"/>
      <c r="AH1022" s="176"/>
      <c r="AI1022" s="176"/>
      <c r="AJ1022" s="176"/>
      <c r="AK1022" s="176"/>
      <c r="AL1022" s="176"/>
      <c r="AM1022" s="176"/>
      <c r="AN1022" s="176"/>
      <c r="AO1022" s="176"/>
      <c r="AP1022" s="176"/>
      <c r="AQ1022" s="176"/>
      <c r="AR1022" s="176"/>
      <c r="AS1022" s="176"/>
      <c r="AT1022" s="176"/>
      <c r="AU1022" s="176"/>
      <c r="AV1022" s="176"/>
      <c r="AW1022" s="176"/>
      <c r="AX1022" s="176"/>
      <c r="AY1022" s="176"/>
      <c r="AZ1022" s="176"/>
      <c r="BA1022" s="176"/>
      <c r="BB1022" s="176"/>
      <c r="BC1022" s="176"/>
      <c r="BD1022" s="176"/>
      <c r="BE1022" s="176"/>
      <c r="BF1022" s="176"/>
      <c r="BG1022" s="176"/>
      <c r="BH1022" s="176"/>
      <c r="BI1022" s="176"/>
      <c r="BJ1022" s="176"/>
      <c r="BK1022" s="176"/>
      <c r="BL1022" s="176"/>
      <c r="BM1022" s="176"/>
      <c r="BN1022" s="176"/>
      <c r="BO1022" s="176"/>
      <c r="BP1022" s="176"/>
      <c r="BQ1022" s="176"/>
      <c r="BR1022" s="176"/>
      <c r="BS1022" s="176"/>
      <c r="BT1022" s="176"/>
      <c r="BU1022" s="176">
        <v>220.5</v>
      </c>
      <c r="BV1022" s="176">
        <v>210</v>
      </c>
      <c r="BW1022" s="176">
        <v>231</v>
      </c>
      <c r="BX1022" s="176"/>
      <c r="CA1022" s="181"/>
    </row>
    <row r="1023" spans="1:79" s="178" customFormat="1">
      <c r="A1023" s="235"/>
      <c r="B1023" s="227"/>
      <c r="C1023" s="231"/>
      <c r="D1023" s="238"/>
      <c r="E1023" s="238"/>
      <c r="F1023" s="238"/>
      <c r="G1023" s="231"/>
      <c r="H1023" s="231"/>
      <c r="I1023" s="175" t="s">
        <v>358</v>
      </c>
      <c r="J1023" s="175"/>
      <c r="K1023" s="175"/>
      <c r="L1023" s="175"/>
      <c r="M1023" s="176"/>
      <c r="N1023" s="176"/>
      <c r="O1023" s="176"/>
      <c r="P1023" s="176"/>
      <c r="Q1023" s="176"/>
      <c r="R1023" s="176"/>
      <c r="S1023" s="176"/>
      <c r="T1023" s="176"/>
      <c r="U1023" s="176"/>
      <c r="V1023" s="176"/>
      <c r="W1023" s="176"/>
      <c r="X1023" s="176"/>
      <c r="Y1023" s="176"/>
      <c r="Z1023" s="176"/>
      <c r="AA1023" s="176"/>
      <c r="AB1023" s="176"/>
      <c r="AC1023" s="176"/>
      <c r="AD1023" s="176"/>
      <c r="AE1023" s="176"/>
      <c r="AF1023" s="176"/>
      <c r="AG1023" s="176"/>
      <c r="AH1023" s="176"/>
      <c r="AI1023" s="176"/>
      <c r="AJ1023" s="176"/>
      <c r="AK1023" s="176"/>
      <c r="AL1023" s="176"/>
      <c r="AM1023" s="176"/>
      <c r="AN1023" s="176"/>
      <c r="AO1023" s="176"/>
      <c r="AP1023" s="176"/>
      <c r="AQ1023" s="176"/>
      <c r="AR1023" s="176"/>
      <c r="AS1023" s="176"/>
      <c r="AT1023" s="176"/>
      <c r="AU1023" s="176"/>
      <c r="AV1023" s="176"/>
      <c r="AW1023" s="176"/>
      <c r="AX1023" s="176"/>
      <c r="AY1023" s="176"/>
      <c r="AZ1023" s="176"/>
      <c r="BA1023" s="176"/>
      <c r="BB1023" s="176"/>
      <c r="BC1023" s="176"/>
      <c r="BD1023" s="176"/>
      <c r="BE1023" s="176"/>
      <c r="BF1023" s="176"/>
      <c r="BG1023" s="176"/>
      <c r="BH1023" s="176"/>
      <c r="BI1023" s="176"/>
      <c r="BJ1023" s="176"/>
      <c r="BK1023" s="176"/>
      <c r="BL1023" s="176"/>
      <c r="BM1023" s="176"/>
      <c r="BN1023" s="176"/>
      <c r="BO1023" s="176"/>
      <c r="BP1023" s="176"/>
      <c r="BQ1023" s="176"/>
      <c r="BR1023" s="176"/>
      <c r="BS1023" s="176"/>
      <c r="BT1023" s="176"/>
      <c r="BU1023" s="176"/>
      <c r="BV1023" s="176"/>
      <c r="BW1023" s="176"/>
      <c r="BX1023" s="176"/>
      <c r="CA1023" s="181"/>
    </row>
    <row r="1024" spans="1:79" s="178" customFormat="1">
      <c r="A1024" s="235"/>
      <c r="B1024" s="227"/>
      <c r="C1024" s="231"/>
      <c r="D1024" s="238"/>
      <c r="E1024" s="238"/>
      <c r="F1024" s="238"/>
      <c r="G1024" s="231"/>
      <c r="H1024" s="231"/>
      <c r="I1024" s="175" t="s">
        <v>360</v>
      </c>
      <c r="J1024" s="175"/>
      <c r="K1024" s="175"/>
      <c r="L1024" s="175"/>
      <c r="M1024" s="176"/>
      <c r="N1024" s="176"/>
      <c r="O1024" s="176"/>
      <c r="P1024" s="176"/>
      <c r="Q1024" s="176"/>
      <c r="R1024" s="176"/>
      <c r="S1024" s="176"/>
      <c r="T1024" s="176"/>
      <c r="U1024" s="176"/>
      <c r="V1024" s="176"/>
      <c r="W1024" s="176"/>
      <c r="X1024" s="176"/>
      <c r="Y1024" s="176"/>
      <c r="Z1024" s="176"/>
      <c r="AA1024" s="176"/>
      <c r="AB1024" s="176"/>
      <c r="AC1024" s="176"/>
      <c r="AD1024" s="176"/>
      <c r="AE1024" s="176"/>
      <c r="AF1024" s="176"/>
      <c r="AG1024" s="176"/>
      <c r="AH1024" s="176"/>
      <c r="AI1024" s="176"/>
      <c r="AJ1024" s="176"/>
      <c r="AK1024" s="176"/>
      <c r="AL1024" s="176"/>
      <c r="AM1024" s="176"/>
      <c r="AN1024" s="176"/>
      <c r="AO1024" s="176"/>
      <c r="AP1024" s="176"/>
      <c r="AQ1024" s="176"/>
      <c r="AR1024" s="176"/>
      <c r="AS1024" s="176"/>
      <c r="AT1024" s="176"/>
      <c r="AU1024" s="176"/>
      <c r="AV1024" s="176"/>
      <c r="AW1024" s="176"/>
      <c r="AX1024" s="176"/>
      <c r="AY1024" s="176"/>
      <c r="AZ1024" s="176"/>
      <c r="BA1024" s="176"/>
      <c r="BB1024" s="176"/>
      <c r="BC1024" s="176"/>
      <c r="BD1024" s="176"/>
      <c r="BE1024" s="176"/>
      <c r="BF1024" s="176"/>
      <c r="BG1024" s="176"/>
      <c r="BH1024" s="176"/>
      <c r="BI1024" s="176"/>
      <c r="BJ1024" s="176"/>
      <c r="BK1024" s="176"/>
      <c r="BL1024" s="176"/>
      <c r="BM1024" s="176"/>
      <c r="BN1024" s="176"/>
      <c r="BO1024" s="176"/>
      <c r="BP1024" s="176"/>
      <c r="BQ1024" s="176"/>
      <c r="BR1024" s="176"/>
      <c r="BS1024" s="176"/>
      <c r="BT1024" s="176"/>
      <c r="BU1024" s="176"/>
      <c r="BV1024" s="176"/>
      <c r="BW1024" s="176"/>
      <c r="BX1024" s="176"/>
      <c r="CA1024" s="181"/>
    </row>
    <row r="1025" spans="1:79" s="178" customFormat="1">
      <c r="A1025" s="235"/>
      <c r="B1025" s="227"/>
      <c r="C1025" s="231"/>
      <c r="D1025" s="238"/>
      <c r="E1025" s="238"/>
      <c r="F1025" s="238"/>
      <c r="G1025" s="231"/>
      <c r="H1025" s="231"/>
      <c r="I1025" s="175" t="s">
        <v>368</v>
      </c>
      <c r="J1025" s="175"/>
      <c r="K1025" s="175"/>
      <c r="L1025" s="175"/>
      <c r="M1025" s="176"/>
      <c r="N1025" s="176"/>
      <c r="O1025" s="176"/>
      <c r="P1025" s="176"/>
      <c r="Q1025" s="176"/>
      <c r="R1025" s="176"/>
      <c r="S1025" s="176"/>
      <c r="T1025" s="176"/>
      <c r="U1025" s="176"/>
      <c r="V1025" s="176"/>
      <c r="W1025" s="176"/>
      <c r="X1025" s="176"/>
      <c r="Y1025" s="176"/>
      <c r="Z1025" s="176"/>
      <c r="AA1025" s="176"/>
      <c r="AB1025" s="176"/>
      <c r="AC1025" s="176"/>
      <c r="AD1025" s="176"/>
      <c r="AE1025" s="176"/>
      <c r="AF1025" s="176"/>
      <c r="AG1025" s="176"/>
      <c r="AH1025" s="176"/>
      <c r="AI1025" s="176"/>
      <c r="AJ1025" s="176"/>
      <c r="AK1025" s="176"/>
      <c r="AL1025" s="176"/>
      <c r="AM1025" s="176"/>
      <c r="AN1025" s="176"/>
      <c r="AO1025" s="176"/>
      <c r="AP1025" s="176"/>
      <c r="AQ1025" s="176"/>
      <c r="AR1025" s="176"/>
      <c r="AS1025" s="176"/>
      <c r="AT1025" s="176"/>
      <c r="AU1025" s="176"/>
      <c r="AV1025" s="176"/>
      <c r="AW1025" s="176"/>
      <c r="AX1025" s="176"/>
      <c r="AY1025" s="176"/>
      <c r="AZ1025" s="176"/>
      <c r="BA1025" s="176"/>
      <c r="BB1025" s="176"/>
      <c r="BC1025" s="176"/>
      <c r="BD1025" s="176"/>
      <c r="BE1025" s="176"/>
      <c r="BF1025" s="176"/>
      <c r="BG1025" s="176"/>
      <c r="BH1025" s="176"/>
      <c r="BI1025" s="176"/>
      <c r="BJ1025" s="176"/>
      <c r="BK1025" s="176"/>
      <c r="BL1025" s="176"/>
      <c r="BM1025" s="176"/>
      <c r="BN1025" s="176"/>
      <c r="BO1025" s="176"/>
      <c r="BP1025" s="176"/>
      <c r="BQ1025" s="176"/>
      <c r="BR1025" s="176"/>
      <c r="BS1025" s="176"/>
      <c r="BT1025" s="176"/>
      <c r="BU1025" s="176"/>
      <c r="BV1025" s="176"/>
      <c r="BW1025" s="176"/>
      <c r="BX1025" s="176"/>
      <c r="CA1025" s="181"/>
    </row>
    <row r="1026" spans="1:79" s="189" customFormat="1">
      <c r="A1026" s="235"/>
      <c r="B1026" s="227"/>
      <c r="C1026" s="231"/>
      <c r="D1026" s="238"/>
      <c r="E1026" s="238"/>
      <c r="F1026" s="238"/>
      <c r="G1026" s="231"/>
      <c r="H1026" s="231"/>
      <c r="I1026" s="184" t="s">
        <v>362</v>
      </c>
      <c r="J1026" s="184"/>
      <c r="K1026" s="184"/>
      <c r="L1026" s="184"/>
      <c r="M1026" s="185"/>
      <c r="N1026" s="185"/>
      <c r="O1026" s="185"/>
      <c r="P1026" s="185"/>
      <c r="Q1026" s="185"/>
      <c r="R1026" s="185"/>
      <c r="S1026" s="185"/>
      <c r="T1026" s="185"/>
      <c r="U1026" s="185"/>
      <c r="V1026" s="185"/>
      <c r="W1026" s="185"/>
      <c r="X1026" s="186"/>
      <c r="Y1026" s="185"/>
      <c r="Z1026" s="185"/>
      <c r="AA1026" s="185"/>
      <c r="AB1026" s="185"/>
      <c r="AC1026" s="185"/>
      <c r="AD1026" s="185"/>
      <c r="AE1026" s="185"/>
      <c r="AF1026" s="185"/>
      <c r="AG1026" s="185"/>
      <c r="AH1026" s="185"/>
      <c r="AI1026" s="185"/>
      <c r="AJ1026" s="185"/>
      <c r="AK1026" s="185"/>
      <c r="AL1026" s="185"/>
      <c r="AM1026" s="185"/>
      <c r="AN1026" s="185"/>
      <c r="AO1026" s="185"/>
      <c r="AP1026" s="185"/>
      <c r="AQ1026" s="185"/>
      <c r="AR1026" s="185"/>
      <c r="AS1026" s="185"/>
      <c r="AT1026" s="185"/>
      <c r="AU1026" s="185"/>
      <c r="AW1026" s="185"/>
      <c r="AX1026" s="185"/>
      <c r="AY1026" s="185"/>
      <c r="AZ1026" s="185"/>
      <c r="BA1026" s="185"/>
      <c r="BB1026" s="185"/>
      <c r="BC1026" s="185"/>
      <c r="BD1026" s="185"/>
      <c r="BE1026" s="185"/>
      <c r="BF1026" s="185"/>
      <c r="BG1026" s="185"/>
      <c r="BH1026" s="185"/>
      <c r="BI1026" s="185"/>
      <c r="BJ1026" s="185"/>
      <c r="BK1026" s="185"/>
      <c r="BL1026" s="185"/>
      <c r="BM1026" s="185"/>
      <c r="BN1026" s="185"/>
      <c r="BO1026" s="185"/>
      <c r="BP1026" s="185"/>
      <c r="BQ1026" s="185"/>
      <c r="BR1026" s="185"/>
      <c r="BS1026" s="185"/>
      <c r="BT1026" s="185"/>
      <c r="BU1026" s="185"/>
      <c r="BV1026" s="185"/>
      <c r="BW1026" s="185"/>
      <c r="BX1026" s="185"/>
      <c r="BY1026" s="187"/>
      <c r="BZ1026" s="187"/>
      <c r="CA1026" s="188"/>
    </row>
    <row r="1027" spans="1:79" s="178" customFormat="1">
      <c r="A1027" s="235"/>
      <c r="B1027" s="227"/>
      <c r="C1027" s="231"/>
      <c r="D1027" s="238"/>
      <c r="E1027" s="238"/>
      <c r="F1027" s="238"/>
      <c r="G1027" s="231"/>
      <c r="H1027" s="231"/>
      <c r="I1027" s="190" t="s">
        <v>363</v>
      </c>
      <c r="J1027" s="190"/>
      <c r="K1027" s="190"/>
      <c r="L1027" s="190"/>
      <c r="M1027" s="176"/>
      <c r="N1027" s="176"/>
      <c r="O1027" s="176"/>
      <c r="P1027" s="176"/>
      <c r="Q1027" s="176"/>
      <c r="R1027" s="176"/>
      <c r="S1027" s="176"/>
      <c r="T1027" s="176"/>
      <c r="U1027" s="176"/>
      <c r="V1027" s="176"/>
      <c r="W1027" s="176"/>
      <c r="X1027" s="176"/>
      <c r="Y1027" s="176"/>
      <c r="Z1027" s="176"/>
      <c r="AA1027" s="176"/>
      <c r="AB1027" s="176"/>
      <c r="AC1027" s="176"/>
      <c r="AD1027" s="176"/>
      <c r="AE1027" s="176"/>
      <c r="AF1027" s="176"/>
      <c r="AG1027" s="176"/>
      <c r="AH1027" s="176"/>
      <c r="AI1027" s="176"/>
      <c r="AJ1027" s="176"/>
      <c r="AK1027" s="176"/>
      <c r="AL1027" s="176"/>
      <c r="AM1027" s="176"/>
      <c r="AN1027" s="176"/>
      <c r="AO1027" s="176"/>
      <c r="AP1027" s="176"/>
      <c r="AQ1027" s="176"/>
      <c r="AR1027" s="176"/>
      <c r="AS1027" s="176"/>
      <c r="AT1027" s="176"/>
      <c r="AU1027" s="176"/>
      <c r="AV1027" s="186"/>
      <c r="AW1027" s="176"/>
      <c r="AX1027" s="176"/>
      <c r="AY1027" s="176"/>
      <c r="AZ1027" s="176"/>
      <c r="BA1027" s="176"/>
      <c r="BB1027" s="176"/>
      <c r="BC1027" s="176"/>
      <c r="BD1027" s="176"/>
      <c r="BE1027" s="176"/>
      <c r="BF1027" s="176"/>
      <c r="BG1027" s="176"/>
      <c r="BH1027" s="176"/>
      <c r="BI1027" s="176"/>
      <c r="BJ1027" s="176"/>
      <c r="BK1027" s="176"/>
      <c r="BL1027" s="176"/>
      <c r="BM1027" s="176"/>
      <c r="BN1027" s="176"/>
      <c r="BO1027" s="176"/>
      <c r="BP1027" s="176"/>
      <c r="BQ1027" s="176"/>
      <c r="BR1027" s="176"/>
      <c r="BS1027" s="176"/>
      <c r="BT1027" s="176"/>
      <c r="BU1027" s="176"/>
      <c r="BV1027" s="176"/>
      <c r="BW1027" s="176"/>
      <c r="BX1027" s="176"/>
      <c r="BY1027" s="191"/>
      <c r="BZ1027" s="191"/>
      <c r="CA1027" s="181"/>
    </row>
    <row r="1028" spans="1:79" s="178" customFormat="1">
      <c r="A1028" s="235"/>
      <c r="B1028" s="227"/>
      <c r="C1028" s="231"/>
      <c r="D1028" s="238"/>
      <c r="E1028" s="238"/>
      <c r="F1028" s="238"/>
      <c r="G1028" s="231"/>
      <c r="H1028" s="231"/>
      <c r="I1028" s="175" t="s">
        <v>364</v>
      </c>
      <c r="J1028" s="175"/>
      <c r="K1028" s="175"/>
      <c r="L1028" s="175"/>
      <c r="M1028" s="176"/>
      <c r="N1028" s="176"/>
      <c r="O1028" s="176"/>
      <c r="P1028" s="176"/>
      <c r="Q1028" s="176"/>
      <c r="R1028" s="176"/>
      <c r="S1028" s="176"/>
      <c r="T1028" s="176"/>
      <c r="U1028" s="176"/>
      <c r="V1028" s="176"/>
      <c r="W1028" s="176"/>
      <c r="X1028" s="176"/>
      <c r="Y1028" s="176"/>
      <c r="Z1028" s="176"/>
      <c r="AA1028" s="176"/>
      <c r="AB1028" s="176"/>
      <c r="AC1028" s="176"/>
      <c r="AD1028" s="176"/>
      <c r="AE1028" s="176"/>
      <c r="AF1028" s="176"/>
      <c r="AG1028" s="176"/>
      <c r="AH1028" s="176"/>
      <c r="AI1028" s="176"/>
      <c r="AJ1028" s="176"/>
      <c r="AK1028" s="176"/>
      <c r="AL1028" s="176"/>
      <c r="AM1028" s="176"/>
      <c r="AN1028" s="176"/>
      <c r="AO1028" s="176"/>
      <c r="AP1028" s="176"/>
      <c r="AQ1028" s="176"/>
      <c r="AR1028" s="176"/>
      <c r="AS1028" s="176"/>
      <c r="AT1028" s="176"/>
      <c r="AU1028" s="176"/>
      <c r="AV1028" s="176"/>
      <c r="AW1028" s="176"/>
      <c r="AX1028" s="176"/>
      <c r="AY1028" s="176"/>
      <c r="AZ1028" s="176"/>
      <c r="BA1028" s="176"/>
      <c r="BC1028" s="176"/>
      <c r="BD1028" s="176"/>
      <c r="BE1028" s="176"/>
      <c r="BF1028" s="176"/>
      <c r="BG1028" s="176"/>
      <c r="BH1028" s="176"/>
      <c r="BI1028" s="176"/>
      <c r="BJ1028" s="176"/>
      <c r="BK1028" s="176"/>
      <c r="BL1028" s="176"/>
      <c r="BM1028" s="176"/>
      <c r="BN1028" s="176"/>
      <c r="BO1028" s="176"/>
      <c r="BP1028" s="176"/>
      <c r="BQ1028" s="176"/>
      <c r="BR1028" s="176"/>
      <c r="BS1028" s="176"/>
      <c r="BT1028" s="176"/>
      <c r="BU1028" s="176"/>
      <c r="BV1028" s="176"/>
      <c r="BW1028" s="176"/>
      <c r="BX1028" s="176"/>
      <c r="BY1028" s="191"/>
      <c r="BZ1028" s="191"/>
      <c r="CA1028" s="181"/>
    </row>
    <row r="1029" spans="1:79" s="191" customFormat="1">
      <c r="A1029" s="236"/>
      <c r="B1029" s="227"/>
      <c r="C1029" s="232"/>
      <c r="D1029" s="239"/>
      <c r="E1029" s="239"/>
      <c r="F1029" s="239"/>
      <c r="G1029" s="232"/>
      <c r="H1029" s="232"/>
      <c r="I1029" s="192"/>
      <c r="J1029" s="176">
        <f>SUM(J1015:J1027)-J1028</f>
        <v>0</v>
      </c>
      <c r="K1029" s="176">
        <f t="shared" ref="K1029:V1029" si="511">SUM(K1015:K1027)-K1028</f>
        <v>0</v>
      </c>
      <c r="L1029" s="176">
        <f t="shared" si="511"/>
        <v>0</v>
      </c>
      <c r="M1029" s="176">
        <f t="shared" si="511"/>
        <v>0</v>
      </c>
      <c r="N1029" s="176">
        <f t="shared" si="511"/>
        <v>0</v>
      </c>
      <c r="O1029" s="176">
        <f t="shared" si="511"/>
        <v>0</v>
      </c>
      <c r="P1029" s="176">
        <f t="shared" si="511"/>
        <v>0</v>
      </c>
      <c r="Q1029" s="176">
        <f t="shared" si="511"/>
        <v>0</v>
      </c>
      <c r="R1029" s="176">
        <f t="shared" si="511"/>
        <v>0</v>
      </c>
      <c r="S1029" s="176">
        <f t="shared" si="511"/>
        <v>0</v>
      </c>
      <c r="T1029" s="176">
        <f t="shared" si="511"/>
        <v>0</v>
      </c>
      <c r="U1029" s="176">
        <f t="shared" si="511"/>
        <v>0</v>
      </c>
      <c r="V1029" s="176">
        <f t="shared" si="511"/>
        <v>0</v>
      </c>
      <c r="W1029" s="176">
        <f>SUM(W1015:W1027)-W1028</f>
        <v>0</v>
      </c>
      <c r="X1029" s="176">
        <f>SUM(X1015:X1027)-X1028</f>
        <v>0</v>
      </c>
      <c r="Y1029" s="176">
        <f t="shared" ref="Y1029" si="512">SUM(Y1015:Y1027)-Y1028</f>
        <v>0</v>
      </c>
      <c r="Z1029" s="176">
        <f>SUM(Z1015:Z1027)-Z1028</f>
        <v>0</v>
      </c>
      <c r="AA1029" s="176">
        <f t="shared" ref="AA1029:AC1029" si="513">SUM(AA1015:AA1027)-AA1028</f>
        <v>0</v>
      </c>
      <c r="AB1029" s="176">
        <f t="shared" si="513"/>
        <v>0</v>
      </c>
      <c r="AC1029" s="176">
        <f t="shared" si="513"/>
        <v>0</v>
      </c>
      <c r="AD1029" s="176"/>
      <c r="AE1029" s="176">
        <f>SUM(AE1015:AE1027)-AE1028</f>
        <v>0</v>
      </c>
      <c r="AF1029" s="176">
        <f>SUM(AF1015:AF1027)-AF1028</f>
        <v>0</v>
      </c>
      <c r="AG1029" s="176">
        <f>SUM(AG1015:AG1027)-AG1028</f>
        <v>0</v>
      </c>
      <c r="AH1029" s="176">
        <f t="shared" ref="AH1029" si="514">SUM(AH1015:AH1027)-AH1028</f>
        <v>0</v>
      </c>
      <c r="AI1029" s="176">
        <f>SUM(AI1015:AI1027)-AI1028</f>
        <v>0</v>
      </c>
      <c r="AJ1029" s="176">
        <f t="shared" ref="AJ1029" si="515">SUM(AJ1015:AJ1027)-AJ1028</f>
        <v>0</v>
      </c>
      <c r="AK1029" s="176">
        <f>SUM(AK1015:AK1027)-AK1028</f>
        <v>0</v>
      </c>
      <c r="AL1029" s="176">
        <f t="shared" ref="AL1029:AM1029" si="516">SUM(AL1015:AL1027)-AL1028</f>
        <v>0</v>
      </c>
      <c r="AM1029" s="176">
        <f t="shared" si="516"/>
        <v>0</v>
      </c>
      <c r="AN1029" s="176"/>
      <c r="AO1029" s="176"/>
      <c r="AP1029" s="176"/>
      <c r="AQ1029" s="176"/>
      <c r="AR1029" s="176"/>
      <c r="AS1029" s="176"/>
      <c r="AT1029" s="176"/>
      <c r="AU1029" s="176"/>
      <c r="AV1029" s="176"/>
      <c r="AW1029" s="176"/>
      <c r="AX1029" s="176"/>
      <c r="AY1029" s="176"/>
      <c r="AZ1029" s="176"/>
      <c r="BA1029" s="176"/>
      <c r="BB1029" s="176"/>
      <c r="BC1029" s="176"/>
      <c r="BD1029" s="176"/>
      <c r="BE1029" s="176"/>
      <c r="BF1029" s="176"/>
      <c r="BG1029" s="176"/>
      <c r="BH1029" s="176"/>
      <c r="BI1029" s="176"/>
      <c r="BJ1029" s="176"/>
      <c r="BK1029" s="176"/>
      <c r="BL1029" s="176"/>
      <c r="BM1029" s="176"/>
      <c r="BN1029" s="176"/>
      <c r="BO1029" s="176"/>
      <c r="BP1029" s="176"/>
      <c r="BQ1029" s="176"/>
      <c r="BR1029" s="176"/>
      <c r="BS1029" s="176"/>
      <c r="BT1029" s="176"/>
      <c r="BU1029" s="176">
        <f>BU1016+BU1022</f>
        <v>1220.5</v>
      </c>
      <c r="BV1029" s="176">
        <f t="shared" ref="BV1029:BW1029" si="517">BV1016+BV1022</f>
        <v>1210</v>
      </c>
      <c r="BW1029" s="176">
        <f t="shared" si="517"/>
        <v>1231</v>
      </c>
      <c r="BX1029" s="176">
        <f>SUM(L1029:BW1029)</f>
        <v>3661.5</v>
      </c>
    </row>
    <row r="1030" spans="1:79" ht="15.6" customHeight="1">
      <c r="A1030" s="148" t="s">
        <v>346</v>
      </c>
      <c r="B1030" s="148" t="s">
        <v>347</v>
      </c>
      <c r="C1030" s="145" t="s">
        <v>310</v>
      </c>
      <c r="D1030" s="145" t="s">
        <v>311</v>
      </c>
      <c r="E1030" s="148" t="s">
        <v>312</v>
      </c>
      <c r="F1030" s="148" t="s">
        <v>348</v>
      </c>
      <c r="G1030" s="145" t="s">
        <v>314</v>
      </c>
      <c r="H1030" s="145" t="s">
        <v>315</v>
      </c>
      <c r="I1030" s="145" t="s">
        <v>349</v>
      </c>
      <c r="J1030" s="146">
        <v>44105</v>
      </c>
      <c r="K1030" s="146">
        <v>44136</v>
      </c>
      <c r="L1030" s="146">
        <v>44166</v>
      </c>
      <c r="M1030" s="146">
        <v>44197</v>
      </c>
      <c r="N1030" s="146">
        <v>44228</v>
      </c>
      <c r="O1030" s="146">
        <v>44256</v>
      </c>
      <c r="P1030" s="146">
        <v>44287</v>
      </c>
      <c r="Q1030" s="146">
        <v>44317</v>
      </c>
      <c r="R1030" s="146">
        <v>44348</v>
      </c>
      <c r="S1030" s="146">
        <v>44378</v>
      </c>
      <c r="T1030" s="146">
        <v>44409</v>
      </c>
      <c r="U1030" s="146">
        <v>44440</v>
      </c>
      <c r="V1030" s="146">
        <v>44470</v>
      </c>
      <c r="W1030" s="146">
        <v>44501</v>
      </c>
      <c r="X1030" s="146">
        <v>44531</v>
      </c>
      <c r="Y1030" s="146">
        <v>44562</v>
      </c>
      <c r="Z1030" s="146">
        <v>44593</v>
      </c>
      <c r="AA1030" s="146">
        <v>44621</v>
      </c>
      <c r="AB1030" s="146">
        <v>44652</v>
      </c>
      <c r="AC1030" s="146">
        <v>44682</v>
      </c>
      <c r="AD1030" s="146">
        <v>44713</v>
      </c>
      <c r="AE1030" s="146">
        <v>44743</v>
      </c>
      <c r="AF1030" s="146">
        <v>44774</v>
      </c>
      <c r="AG1030" s="146">
        <v>44805</v>
      </c>
      <c r="AH1030" s="146">
        <v>44835</v>
      </c>
      <c r="AI1030" s="146">
        <v>44866</v>
      </c>
      <c r="AJ1030" s="146">
        <v>44896</v>
      </c>
      <c r="AK1030" s="146">
        <v>44927</v>
      </c>
      <c r="AL1030" s="146">
        <v>44958</v>
      </c>
      <c r="AM1030" s="146">
        <v>44986</v>
      </c>
      <c r="AN1030" s="146">
        <v>45017</v>
      </c>
      <c r="AO1030" s="146">
        <v>45047</v>
      </c>
      <c r="AP1030" s="146">
        <v>45078</v>
      </c>
      <c r="AQ1030" s="146">
        <v>45108</v>
      </c>
      <c r="AR1030" s="146">
        <v>45139</v>
      </c>
      <c r="AS1030" s="146">
        <v>45170</v>
      </c>
      <c r="AT1030" s="146">
        <v>45200</v>
      </c>
      <c r="AU1030" s="146">
        <v>45231</v>
      </c>
      <c r="AV1030" s="146">
        <v>45261</v>
      </c>
      <c r="AW1030" s="146">
        <v>45292</v>
      </c>
      <c r="AX1030" s="146">
        <v>45323</v>
      </c>
      <c r="AY1030" s="146">
        <v>45352</v>
      </c>
      <c r="AZ1030" s="146">
        <v>45383</v>
      </c>
      <c r="BA1030" s="146">
        <v>45413</v>
      </c>
      <c r="BB1030" s="146">
        <v>45444</v>
      </c>
      <c r="BC1030" s="146">
        <v>45474</v>
      </c>
      <c r="BD1030" s="146">
        <v>45505</v>
      </c>
      <c r="BE1030" s="146">
        <v>45536</v>
      </c>
      <c r="BF1030" s="146">
        <v>45566</v>
      </c>
      <c r="BG1030" s="146">
        <v>45597</v>
      </c>
      <c r="BH1030" s="146">
        <v>45627</v>
      </c>
      <c r="BI1030" s="146">
        <v>45658</v>
      </c>
      <c r="BJ1030" s="146">
        <v>45689</v>
      </c>
      <c r="BK1030" s="146">
        <v>45717</v>
      </c>
      <c r="BL1030" s="146">
        <v>45748</v>
      </c>
      <c r="BM1030" s="146">
        <v>45778</v>
      </c>
      <c r="BN1030" s="146">
        <v>45809</v>
      </c>
      <c r="BO1030" s="146">
        <v>45839</v>
      </c>
      <c r="BP1030" s="146">
        <v>45870</v>
      </c>
      <c r="BQ1030" s="146">
        <v>45901</v>
      </c>
      <c r="BR1030" s="146">
        <v>45931</v>
      </c>
      <c r="BS1030" s="146">
        <v>45962</v>
      </c>
      <c r="BT1030" s="146">
        <v>45992</v>
      </c>
      <c r="BU1030" s="146">
        <v>46023</v>
      </c>
      <c r="BV1030" s="146">
        <v>46054</v>
      </c>
      <c r="BW1030" s="146">
        <v>46082</v>
      </c>
      <c r="BX1030" s="147" t="s">
        <v>13</v>
      </c>
      <c r="BY1030" s="5"/>
      <c r="BZ1030" s="5"/>
      <c r="CA1030" s="5"/>
    </row>
    <row r="1031" spans="1:79" s="178" customFormat="1">
      <c r="A1031" s="234">
        <v>77</v>
      </c>
      <c r="B1031" s="227" t="s">
        <v>295</v>
      </c>
      <c r="C1031" s="230" t="s">
        <v>369</v>
      </c>
      <c r="D1031" s="237" t="s">
        <v>99</v>
      </c>
      <c r="E1031" s="237" t="s">
        <v>370</v>
      </c>
      <c r="F1031" s="237" t="s">
        <v>370</v>
      </c>
      <c r="G1031" s="230"/>
      <c r="H1031" s="230"/>
      <c r="I1031" s="175" t="s">
        <v>350</v>
      </c>
      <c r="J1031" s="175"/>
      <c r="K1031" s="175"/>
      <c r="L1031" s="175"/>
      <c r="M1031" s="180"/>
      <c r="N1031" s="180"/>
      <c r="O1031" s="180"/>
      <c r="P1031" s="180"/>
      <c r="Q1031" s="180"/>
      <c r="R1031" s="180"/>
      <c r="S1031" s="180"/>
      <c r="T1031" s="180"/>
      <c r="U1031" s="180"/>
      <c r="V1031" s="176"/>
      <c r="W1031" s="176"/>
      <c r="X1031" s="180"/>
      <c r="Y1031" s="180"/>
      <c r="Z1031" s="180"/>
      <c r="AA1031" s="180"/>
      <c r="AB1031" s="180"/>
      <c r="AC1031" s="180"/>
      <c r="AD1031" s="176"/>
      <c r="AE1031" s="180"/>
      <c r="AF1031" s="180"/>
      <c r="AG1031" s="180"/>
      <c r="AH1031" s="180"/>
      <c r="AI1031" s="180"/>
      <c r="AJ1031" s="180"/>
      <c r="AK1031" s="180"/>
      <c r="AL1031" s="180"/>
      <c r="AM1031" s="180"/>
      <c r="AN1031" s="180"/>
      <c r="AO1031" s="180"/>
      <c r="AP1031" s="180"/>
      <c r="AQ1031" s="180"/>
      <c r="AR1031" s="180"/>
      <c r="AS1031" s="180"/>
      <c r="AT1031" s="180"/>
      <c r="AU1031" s="180"/>
      <c r="AV1031" s="180"/>
      <c r="AW1031" s="180"/>
      <c r="AX1031" s="180"/>
      <c r="AY1031" s="180"/>
      <c r="AZ1031" s="180"/>
      <c r="BA1031" s="180"/>
      <c r="BB1031" s="180"/>
      <c r="BC1031" s="180"/>
      <c r="BD1031" s="180"/>
      <c r="BE1031" s="180"/>
      <c r="BF1031" s="180"/>
      <c r="BG1031" s="180"/>
      <c r="BH1031" s="180"/>
      <c r="BI1031" s="180"/>
      <c r="BJ1031" s="180"/>
      <c r="BK1031" s="180"/>
      <c r="BL1031" s="180"/>
      <c r="BM1031" s="180"/>
      <c r="BN1031" s="180"/>
      <c r="BO1031" s="180"/>
      <c r="BP1031" s="180"/>
      <c r="BQ1031" s="180"/>
      <c r="BR1031" s="180"/>
      <c r="BS1031" s="180"/>
      <c r="BT1031" s="180"/>
      <c r="BU1031" s="180"/>
      <c r="BV1031" s="180"/>
      <c r="BW1031" s="180"/>
      <c r="BX1031" s="176"/>
      <c r="BY1031" s="181"/>
      <c r="BZ1031" s="181"/>
      <c r="CA1031" s="181"/>
    </row>
    <row r="1032" spans="1:79" s="178" customFormat="1">
      <c r="A1032" s="235"/>
      <c r="B1032" s="227"/>
      <c r="C1032" s="231"/>
      <c r="D1032" s="238"/>
      <c r="E1032" s="238"/>
      <c r="F1032" s="238"/>
      <c r="G1032" s="231"/>
      <c r="H1032" s="231"/>
      <c r="I1032" s="175" t="s">
        <v>351</v>
      </c>
      <c r="J1032" s="175"/>
      <c r="K1032" s="175"/>
      <c r="L1032" s="175"/>
      <c r="M1032" s="176"/>
      <c r="N1032" s="176"/>
      <c r="O1032" s="176"/>
      <c r="P1032" s="176"/>
      <c r="Q1032" s="176"/>
      <c r="R1032" s="176"/>
      <c r="S1032" s="176"/>
      <c r="T1032" s="176"/>
      <c r="U1032" s="176"/>
      <c r="V1032" s="176"/>
      <c r="W1032" s="176"/>
      <c r="X1032" s="176"/>
      <c r="Y1032" s="176"/>
      <c r="Z1032" s="176"/>
      <c r="AA1032" s="176"/>
      <c r="AB1032" s="176"/>
      <c r="AC1032" s="176"/>
      <c r="AD1032" s="176"/>
      <c r="AE1032" s="176"/>
      <c r="AF1032" s="176"/>
      <c r="AG1032" s="176"/>
      <c r="AH1032" s="176"/>
      <c r="AI1032" s="176"/>
      <c r="AJ1032" s="176"/>
      <c r="AK1032" s="176"/>
      <c r="AL1032" s="176"/>
      <c r="AM1032" s="176"/>
      <c r="AN1032" s="176"/>
      <c r="AO1032" s="176"/>
      <c r="AP1032" s="176"/>
      <c r="AQ1032" s="176"/>
      <c r="AR1032" s="176"/>
      <c r="AS1032" s="176"/>
      <c r="AT1032" s="176"/>
      <c r="AU1032" s="176"/>
      <c r="AV1032" s="176"/>
      <c r="AW1032" s="176"/>
      <c r="AX1032" s="176"/>
      <c r="AY1032" s="176"/>
      <c r="AZ1032" s="176"/>
      <c r="BA1032" s="176"/>
      <c r="BB1032" s="176"/>
      <c r="BC1032" s="176"/>
      <c r="BD1032" s="176"/>
      <c r="BE1032" s="176"/>
      <c r="BF1032" s="176"/>
      <c r="BG1032" s="176"/>
      <c r="BH1032" s="176"/>
      <c r="BI1032" s="176"/>
      <c r="BJ1032" s="176"/>
      <c r="BK1032" s="176"/>
      <c r="BL1032" s="176"/>
      <c r="BM1032" s="176"/>
      <c r="BN1032" s="176"/>
      <c r="BO1032" s="176"/>
      <c r="BP1032" s="176"/>
      <c r="BQ1032" s="176"/>
      <c r="BR1032" s="176"/>
      <c r="BS1032" s="176"/>
      <c r="BT1032" s="176"/>
      <c r="BU1032" s="176"/>
      <c r="BV1032" s="176">
        <v>1000</v>
      </c>
      <c r="BW1032" s="176">
        <v>1000</v>
      </c>
      <c r="BX1032" s="176"/>
      <c r="CA1032" s="181"/>
    </row>
    <row r="1033" spans="1:79" s="178" customFormat="1">
      <c r="A1033" s="235"/>
      <c r="B1033" s="227"/>
      <c r="C1033" s="231"/>
      <c r="D1033" s="238"/>
      <c r="E1033" s="238"/>
      <c r="F1033" s="238"/>
      <c r="G1033" s="231"/>
      <c r="H1033" s="231"/>
      <c r="I1033" s="175" t="s">
        <v>352</v>
      </c>
      <c r="J1033" s="175"/>
      <c r="K1033" s="175"/>
      <c r="L1033" s="175"/>
      <c r="M1033" s="176"/>
      <c r="N1033" s="176"/>
      <c r="O1033" s="176"/>
      <c r="P1033" s="176"/>
      <c r="Q1033" s="176"/>
      <c r="R1033" s="176"/>
      <c r="S1033" s="176"/>
      <c r="T1033" s="176"/>
      <c r="U1033" s="176"/>
      <c r="V1033" s="176"/>
      <c r="W1033" s="176"/>
      <c r="X1033" s="176"/>
      <c r="Y1033" s="176"/>
      <c r="Z1033" s="176"/>
      <c r="AA1033" s="176"/>
      <c r="AB1033" s="176"/>
      <c r="AC1033" s="176"/>
      <c r="AD1033" s="176"/>
      <c r="AE1033" s="176"/>
      <c r="AF1033" s="176"/>
      <c r="AG1033" s="176"/>
      <c r="AH1033" s="176"/>
      <c r="AI1033" s="176"/>
      <c r="AJ1033" s="176"/>
      <c r="AK1033" s="176"/>
      <c r="AL1033" s="176"/>
      <c r="AM1033" s="176"/>
      <c r="AN1033" s="176"/>
      <c r="AO1033" s="176"/>
      <c r="AP1033" s="176"/>
      <c r="AQ1033" s="176"/>
      <c r="AR1033" s="176"/>
      <c r="AS1033" s="176"/>
      <c r="AT1033" s="176"/>
      <c r="AU1033" s="176"/>
      <c r="AV1033" s="176"/>
      <c r="AW1033" s="176"/>
      <c r="AX1033" s="176"/>
      <c r="AY1033" s="176"/>
      <c r="AZ1033" s="176"/>
      <c r="BA1033" s="176"/>
      <c r="BB1033" s="176"/>
      <c r="BC1033" s="176"/>
      <c r="BD1033" s="176"/>
      <c r="BE1033" s="176"/>
      <c r="BF1033" s="176"/>
      <c r="BG1033" s="176"/>
      <c r="BH1033" s="176"/>
      <c r="BI1033" s="176"/>
      <c r="BJ1033" s="176"/>
      <c r="BK1033" s="176"/>
      <c r="BL1033" s="176"/>
      <c r="BM1033" s="176"/>
      <c r="BN1033" s="176"/>
      <c r="BO1033" s="176"/>
      <c r="BP1033" s="176"/>
      <c r="BQ1033" s="176"/>
      <c r="BR1033" s="176"/>
      <c r="BS1033" s="176"/>
      <c r="BT1033" s="176"/>
      <c r="BU1033" s="176"/>
      <c r="BV1033" s="176"/>
      <c r="BW1033" s="176"/>
      <c r="BX1033" s="176"/>
      <c r="CA1033" s="181"/>
    </row>
    <row r="1034" spans="1:79" s="178" customFormat="1">
      <c r="A1034" s="235"/>
      <c r="B1034" s="227"/>
      <c r="C1034" s="231"/>
      <c r="D1034" s="238"/>
      <c r="E1034" s="238"/>
      <c r="F1034" s="238"/>
      <c r="G1034" s="231"/>
      <c r="H1034" s="231"/>
      <c r="I1034" s="175" t="s">
        <v>353</v>
      </c>
      <c r="J1034" s="175"/>
      <c r="K1034" s="175"/>
      <c r="L1034" s="175"/>
      <c r="M1034" s="176"/>
      <c r="N1034" s="176"/>
      <c r="O1034" s="176"/>
      <c r="P1034" s="176"/>
      <c r="Q1034" s="176"/>
      <c r="R1034" s="176"/>
      <c r="S1034" s="176"/>
      <c r="T1034" s="176"/>
      <c r="U1034" s="176"/>
      <c r="V1034" s="176"/>
      <c r="W1034" s="176"/>
      <c r="X1034" s="176"/>
      <c r="Y1034" s="176"/>
      <c r="Z1034" s="176"/>
      <c r="AA1034" s="176"/>
      <c r="AB1034" s="176"/>
      <c r="AC1034" s="176"/>
      <c r="AD1034" s="176"/>
      <c r="AE1034" s="176"/>
      <c r="AF1034" s="176"/>
      <c r="AG1034" s="176"/>
      <c r="AH1034" s="176"/>
      <c r="AI1034" s="176"/>
      <c r="AJ1034" s="176"/>
      <c r="AK1034" s="176"/>
      <c r="AL1034" s="176"/>
      <c r="AM1034" s="176"/>
      <c r="AN1034" s="176"/>
      <c r="AO1034" s="176"/>
      <c r="AP1034" s="176"/>
      <c r="AQ1034" s="176"/>
      <c r="AR1034" s="176"/>
      <c r="AS1034" s="176"/>
      <c r="AT1034" s="176"/>
      <c r="AU1034" s="176"/>
      <c r="AV1034" s="176"/>
      <c r="AW1034" s="176"/>
      <c r="AX1034" s="176"/>
      <c r="AY1034" s="176"/>
      <c r="AZ1034" s="176"/>
      <c r="BA1034" s="176"/>
      <c r="BB1034" s="176"/>
      <c r="BC1034" s="176"/>
      <c r="BD1034" s="176"/>
      <c r="BE1034" s="176"/>
      <c r="BF1034" s="176"/>
      <c r="BG1034" s="176"/>
      <c r="BH1034" s="176"/>
      <c r="BI1034" s="176"/>
      <c r="BJ1034" s="176"/>
      <c r="BK1034" s="176"/>
      <c r="BL1034" s="176"/>
      <c r="BM1034" s="176"/>
      <c r="BN1034" s="176"/>
      <c r="BO1034" s="176"/>
      <c r="BP1034" s="176"/>
      <c r="BQ1034" s="176"/>
      <c r="BR1034" s="176"/>
      <c r="BS1034" s="176"/>
      <c r="BT1034" s="176"/>
      <c r="BU1034" s="176"/>
      <c r="BV1034" s="176"/>
      <c r="BW1034" s="176"/>
      <c r="BX1034" s="176"/>
      <c r="CA1034" s="181"/>
    </row>
    <row r="1035" spans="1:79" s="178" customFormat="1">
      <c r="A1035" s="235"/>
      <c r="B1035" s="227"/>
      <c r="C1035" s="231"/>
      <c r="D1035" s="238"/>
      <c r="E1035" s="238"/>
      <c r="F1035" s="238"/>
      <c r="G1035" s="231"/>
      <c r="H1035" s="231"/>
      <c r="I1035" s="175" t="s">
        <v>354</v>
      </c>
      <c r="J1035" s="175"/>
      <c r="K1035" s="175"/>
      <c r="L1035" s="175"/>
      <c r="M1035" s="176"/>
      <c r="N1035" s="176"/>
      <c r="O1035" s="176"/>
      <c r="P1035" s="176"/>
      <c r="Q1035" s="176"/>
      <c r="R1035" s="176"/>
      <c r="S1035" s="176"/>
      <c r="T1035" s="176"/>
      <c r="U1035" s="176"/>
      <c r="V1035" s="176"/>
      <c r="W1035" s="176"/>
      <c r="X1035" s="176"/>
      <c r="Y1035" s="176"/>
      <c r="Z1035" s="176"/>
      <c r="AA1035" s="176"/>
      <c r="AB1035" s="176"/>
      <c r="AC1035" s="176"/>
      <c r="AD1035" s="176"/>
      <c r="AE1035" s="176"/>
      <c r="AF1035" s="176"/>
      <c r="AG1035" s="176"/>
      <c r="AH1035" s="176"/>
      <c r="AI1035" s="176"/>
      <c r="AJ1035" s="176"/>
      <c r="AK1035" s="176"/>
      <c r="AL1035" s="176"/>
      <c r="AM1035" s="176"/>
      <c r="AN1035" s="176"/>
      <c r="AO1035" s="176"/>
      <c r="AP1035" s="176"/>
      <c r="AQ1035" s="176"/>
      <c r="AR1035" s="176"/>
      <c r="AS1035" s="176"/>
      <c r="AT1035" s="176"/>
      <c r="AU1035" s="176"/>
      <c r="AV1035" s="176"/>
      <c r="AW1035" s="176"/>
      <c r="AX1035" s="176"/>
      <c r="AY1035" s="176"/>
      <c r="AZ1035" s="176"/>
      <c r="BA1035" s="176"/>
      <c r="BB1035" s="176"/>
      <c r="BC1035" s="176"/>
      <c r="BD1035" s="176"/>
      <c r="BE1035" s="176"/>
      <c r="BF1035" s="176"/>
      <c r="BG1035" s="176"/>
      <c r="BH1035" s="176"/>
      <c r="BI1035" s="176"/>
      <c r="BJ1035" s="176"/>
      <c r="BK1035" s="176"/>
      <c r="BL1035" s="176"/>
      <c r="BM1035" s="176"/>
      <c r="BN1035" s="176"/>
      <c r="BO1035" s="176"/>
      <c r="BP1035" s="176"/>
      <c r="BQ1035" s="176"/>
      <c r="BR1035" s="176"/>
      <c r="BS1035" s="176"/>
      <c r="BT1035" s="176"/>
      <c r="BU1035" s="176"/>
      <c r="BV1035" s="176"/>
      <c r="BW1035" s="176"/>
      <c r="BX1035" s="176"/>
      <c r="CA1035" s="181"/>
    </row>
    <row r="1036" spans="1:79" s="178" customFormat="1">
      <c r="A1036" s="235"/>
      <c r="B1036" s="227"/>
      <c r="C1036" s="231"/>
      <c r="D1036" s="238"/>
      <c r="E1036" s="238"/>
      <c r="F1036" s="238"/>
      <c r="G1036" s="231"/>
      <c r="H1036" s="231"/>
      <c r="I1036" s="175" t="s">
        <v>355</v>
      </c>
      <c r="J1036" s="175"/>
      <c r="K1036" s="175"/>
      <c r="L1036" s="175"/>
      <c r="M1036" s="176"/>
      <c r="N1036" s="176"/>
      <c r="O1036" s="176"/>
      <c r="P1036" s="176"/>
      <c r="Q1036" s="176"/>
      <c r="R1036" s="176"/>
      <c r="S1036" s="176"/>
      <c r="T1036" s="176"/>
      <c r="U1036" s="176"/>
      <c r="V1036" s="176"/>
      <c r="W1036" s="176"/>
      <c r="X1036" s="176"/>
      <c r="Y1036" s="176"/>
      <c r="Z1036" s="176"/>
      <c r="AA1036" s="176"/>
      <c r="AB1036" s="176"/>
      <c r="AC1036" s="176"/>
      <c r="AD1036" s="176"/>
      <c r="AE1036" s="176"/>
      <c r="AF1036" s="176"/>
      <c r="AG1036" s="176"/>
      <c r="AH1036" s="176"/>
      <c r="AI1036" s="176"/>
      <c r="AJ1036" s="176"/>
      <c r="AK1036" s="176"/>
      <c r="AL1036" s="176"/>
      <c r="AM1036" s="176"/>
      <c r="AN1036" s="176"/>
      <c r="AO1036" s="176"/>
      <c r="AP1036" s="176"/>
      <c r="AQ1036" s="176"/>
      <c r="AR1036" s="176"/>
      <c r="AS1036" s="176"/>
      <c r="AT1036" s="176"/>
      <c r="AU1036" s="176"/>
      <c r="AV1036" s="176"/>
      <c r="AW1036" s="176"/>
      <c r="AX1036" s="176"/>
      <c r="AY1036" s="176"/>
      <c r="AZ1036" s="176"/>
      <c r="BA1036" s="176"/>
      <c r="BB1036" s="176"/>
      <c r="BC1036" s="176"/>
      <c r="BD1036" s="176"/>
      <c r="BE1036" s="176"/>
      <c r="BF1036" s="176"/>
      <c r="BG1036" s="176"/>
      <c r="BH1036" s="176"/>
      <c r="BI1036" s="176"/>
      <c r="BJ1036" s="176"/>
      <c r="BK1036" s="176"/>
      <c r="BL1036" s="176"/>
      <c r="BM1036" s="176"/>
      <c r="BN1036" s="176"/>
      <c r="BO1036" s="176"/>
      <c r="BP1036" s="176"/>
      <c r="BQ1036" s="176"/>
      <c r="BR1036" s="176"/>
      <c r="BS1036" s="176"/>
      <c r="BT1036" s="176"/>
      <c r="BU1036" s="176"/>
      <c r="BV1036" s="176"/>
      <c r="BW1036" s="176"/>
      <c r="BX1036" s="176"/>
      <c r="CA1036" s="181"/>
    </row>
    <row r="1037" spans="1:79" s="178" customFormat="1">
      <c r="A1037" s="235"/>
      <c r="B1037" s="227"/>
      <c r="C1037" s="231"/>
      <c r="D1037" s="238"/>
      <c r="E1037" s="238"/>
      <c r="F1037" s="238"/>
      <c r="G1037" s="231"/>
      <c r="H1037" s="231"/>
      <c r="I1037" s="175" t="s">
        <v>356</v>
      </c>
      <c r="J1037" s="175"/>
      <c r="K1037" s="175"/>
      <c r="L1037" s="175"/>
      <c r="M1037" s="176"/>
      <c r="N1037" s="176"/>
      <c r="O1037" s="176"/>
      <c r="P1037" s="176"/>
      <c r="Q1037" s="176"/>
      <c r="R1037" s="176"/>
      <c r="S1037" s="176"/>
      <c r="T1037" s="176"/>
      <c r="U1037" s="176"/>
      <c r="V1037" s="176"/>
      <c r="W1037" s="176"/>
      <c r="X1037" s="176"/>
      <c r="Y1037" s="176"/>
      <c r="Z1037" s="176"/>
      <c r="AA1037" s="176"/>
      <c r="AB1037" s="176"/>
      <c r="AC1037" s="176"/>
      <c r="AD1037" s="176"/>
      <c r="AE1037" s="176"/>
      <c r="AF1037" s="176"/>
      <c r="AG1037" s="176"/>
      <c r="AH1037" s="176"/>
      <c r="AI1037" s="176"/>
      <c r="AJ1037" s="176"/>
      <c r="AK1037" s="176"/>
      <c r="AL1037" s="176"/>
      <c r="AM1037" s="176"/>
      <c r="AN1037" s="176"/>
      <c r="AO1037" s="176"/>
      <c r="AP1037" s="176"/>
      <c r="AQ1037" s="176"/>
      <c r="AR1037" s="176"/>
      <c r="AS1037" s="176"/>
      <c r="AT1037" s="176"/>
      <c r="AU1037" s="176"/>
      <c r="AV1037" s="176"/>
      <c r="AW1037" s="176"/>
      <c r="AX1037" s="176"/>
      <c r="AY1037" s="176"/>
      <c r="AZ1037" s="176"/>
      <c r="BA1037" s="176"/>
      <c r="BB1037" s="176"/>
      <c r="BC1037" s="176"/>
      <c r="BD1037" s="176"/>
      <c r="BE1037" s="176"/>
      <c r="BF1037" s="176"/>
      <c r="BG1037" s="176"/>
      <c r="BH1037" s="176"/>
      <c r="BI1037" s="176"/>
      <c r="BJ1037" s="176"/>
      <c r="BK1037" s="176"/>
      <c r="BL1037" s="176"/>
      <c r="BM1037" s="176"/>
      <c r="BN1037" s="176"/>
      <c r="BO1037" s="176"/>
      <c r="BP1037" s="176"/>
      <c r="BQ1037" s="176"/>
      <c r="BR1037" s="176"/>
      <c r="BS1037" s="176"/>
      <c r="BT1037" s="176"/>
      <c r="BU1037" s="176"/>
      <c r="BV1037" s="176"/>
      <c r="BW1037" s="176"/>
      <c r="BX1037" s="176"/>
      <c r="CA1037" s="181"/>
    </row>
    <row r="1038" spans="1:79" s="178" customFormat="1">
      <c r="A1038" s="235"/>
      <c r="B1038" s="227"/>
      <c r="C1038" s="231"/>
      <c r="D1038" s="238"/>
      <c r="E1038" s="238"/>
      <c r="F1038" s="238"/>
      <c r="G1038" s="231"/>
      <c r="H1038" s="231"/>
      <c r="I1038" s="175" t="s">
        <v>357</v>
      </c>
      <c r="J1038" s="175"/>
      <c r="K1038" s="175"/>
      <c r="L1038" s="175"/>
      <c r="M1038" s="176"/>
      <c r="N1038" s="176"/>
      <c r="O1038" s="176"/>
      <c r="P1038" s="176"/>
      <c r="Q1038" s="176"/>
      <c r="R1038" s="176"/>
      <c r="S1038" s="176"/>
      <c r="T1038" s="176"/>
      <c r="U1038" s="176"/>
      <c r="V1038" s="176"/>
      <c r="W1038" s="176"/>
      <c r="X1038" s="176"/>
      <c r="Y1038" s="176"/>
      <c r="Z1038" s="176"/>
      <c r="AA1038" s="176"/>
      <c r="AB1038" s="176"/>
      <c r="AC1038" s="176"/>
      <c r="AD1038" s="176"/>
      <c r="AE1038" s="176"/>
      <c r="AF1038" s="176"/>
      <c r="AG1038" s="176"/>
      <c r="AH1038" s="176"/>
      <c r="AI1038" s="176"/>
      <c r="AJ1038" s="176"/>
      <c r="AK1038" s="176"/>
      <c r="AL1038" s="176"/>
      <c r="AM1038" s="176"/>
      <c r="AN1038" s="176"/>
      <c r="AO1038" s="176"/>
      <c r="AP1038" s="176"/>
      <c r="AQ1038" s="176"/>
      <c r="AR1038" s="176"/>
      <c r="AS1038" s="176"/>
      <c r="AT1038" s="176"/>
      <c r="AU1038" s="176"/>
      <c r="AV1038" s="176"/>
      <c r="AW1038" s="176"/>
      <c r="AX1038" s="176"/>
      <c r="AY1038" s="176"/>
      <c r="AZ1038" s="176"/>
      <c r="BA1038" s="176"/>
      <c r="BB1038" s="176"/>
      <c r="BC1038" s="176"/>
      <c r="BD1038" s="176"/>
      <c r="BE1038" s="176"/>
      <c r="BF1038" s="176"/>
      <c r="BG1038" s="176"/>
      <c r="BH1038" s="176"/>
      <c r="BI1038" s="176"/>
      <c r="BJ1038" s="176"/>
      <c r="BK1038" s="176"/>
      <c r="BL1038" s="176"/>
      <c r="BM1038" s="176"/>
      <c r="BN1038" s="176"/>
      <c r="BO1038" s="176"/>
      <c r="BP1038" s="176"/>
      <c r="BQ1038" s="176"/>
      <c r="BR1038" s="176"/>
      <c r="BS1038" s="176"/>
      <c r="BT1038" s="176"/>
      <c r="BU1038" s="176"/>
      <c r="BV1038" s="176">
        <v>210</v>
      </c>
      <c r="BW1038" s="176">
        <v>231</v>
      </c>
      <c r="BX1038" s="176"/>
      <c r="CA1038" s="181"/>
    </row>
    <row r="1039" spans="1:79" s="178" customFormat="1">
      <c r="A1039" s="235"/>
      <c r="B1039" s="227"/>
      <c r="C1039" s="231"/>
      <c r="D1039" s="238"/>
      <c r="E1039" s="238"/>
      <c r="F1039" s="238"/>
      <c r="G1039" s="231"/>
      <c r="H1039" s="231"/>
      <c r="I1039" s="175" t="s">
        <v>358</v>
      </c>
      <c r="J1039" s="175"/>
      <c r="K1039" s="175"/>
      <c r="L1039" s="175"/>
      <c r="M1039" s="176"/>
      <c r="N1039" s="176"/>
      <c r="O1039" s="176"/>
      <c r="P1039" s="176"/>
      <c r="Q1039" s="176"/>
      <c r="R1039" s="176"/>
      <c r="S1039" s="176"/>
      <c r="T1039" s="176"/>
      <c r="U1039" s="176"/>
      <c r="V1039" s="176"/>
      <c r="W1039" s="176"/>
      <c r="X1039" s="176"/>
      <c r="Y1039" s="176"/>
      <c r="Z1039" s="176"/>
      <c r="AA1039" s="176"/>
      <c r="AB1039" s="176"/>
      <c r="AC1039" s="176"/>
      <c r="AD1039" s="176"/>
      <c r="AE1039" s="176"/>
      <c r="AF1039" s="176"/>
      <c r="AG1039" s="176"/>
      <c r="AH1039" s="176"/>
      <c r="AI1039" s="176"/>
      <c r="AJ1039" s="176"/>
      <c r="AK1039" s="176"/>
      <c r="AL1039" s="176"/>
      <c r="AM1039" s="176"/>
      <c r="AN1039" s="176"/>
      <c r="AO1039" s="176"/>
      <c r="AP1039" s="176"/>
      <c r="AQ1039" s="176"/>
      <c r="AR1039" s="176"/>
      <c r="AS1039" s="176"/>
      <c r="AT1039" s="176"/>
      <c r="AU1039" s="176"/>
      <c r="AV1039" s="176"/>
      <c r="AW1039" s="176"/>
      <c r="AX1039" s="176"/>
      <c r="AY1039" s="176"/>
      <c r="AZ1039" s="176"/>
      <c r="BA1039" s="176"/>
      <c r="BB1039" s="176"/>
      <c r="BC1039" s="176"/>
      <c r="BD1039" s="176"/>
      <c r="BE1039" s="176"/>
      <c r="BF1039" s="176"/>
      <c r="BG1039" s="176"/>
      <c r="BH1039" s="176"/>
      <c r="BI1039" s="176"/>
      <c r="BJ1039" s="176"/>
      <c r="BK1039" s="176"/>
      <c r="BL1039" s="176"/>
      <c r="BM1039" s="176"/>
      <c r="BN1039" s="176"/>
      <c r="BO1039" s="176"/>
      <c r="BP1039" s="176"/>
      <c r="BQ1039" s="176"/>
      <c r="BR1039" s="176"/>
      <c r="BS1039" s="176"/>
      <c r="BT1039" s="176"/>
      <c r="BU1039" s="176"/>
      <c r="BV1039" s="176"/>
      <c r="BW1039" s="176"/>
      <c r="BX1039" s="176"/>
      <c r="CA1039" s="181"/>
    </row>
    <row r="1040" spans="1:79" s="178" customFormat="1">
      <c r="A1040" s="235"/>
      <c r="B1040" s="227"/>
      <c r="C1040" s="231"/>
      <c r="D1040" s="238"/>
      <c r="E1040" s="238"/>
      <c r="F1040" s="238"/>
      <c r="G1040" s="231"/>
      <c r="H1040" s="231"/>
      <c r="I1040" s="175" t="s">
        <v>360</v>
      </c>
      <c r="J1040" s="175"/>
      <c r="K1040" s="175"/>
      <c r="L1040" s="175"/>
      <c r="M1040" s="176"/>
      <c r="N1040" s="176"/>
      <c r="O1040" s="176"/>
      <c r="P1040" s="176"/>
      <c r="Q1040" s="176"/>
      <c r="R1040" s="176"/>
      <c r="S1040" s="176"/>
      <c r="T1040" s="176"/>
      <c r="U1040" s="176"/>
      <c r="V1040" s="176"/>
      <c r="W1040" s="176"/>
      <c r="X1040" s="176"/>
      <c r="Y1040" s="176"/>
      <c r="Z1040" s="176"/>
      <c r="AA1040" s="176"/>
      <c r="AB1040" s="176"/>
      <c r="AC1040" s="176"/>
      <c r="AD1040" s="176"/>
      <c r="AE1040" s="176"/>
      <c r="AF1040" s="176"/>
      <c r="AG1040" s="176"/>
      <c r="AH1040" s="176"/>
      <c r="AI1040" s="176"/>
      <c r="AJ1040" s="176"/>
      <c r="AK1040" s="176"/>
      <c r="AL1040" s="176"/>
      <c r="AM1040" s="176"/>
      <c r="AN1040" s="176"/>
      <c r="AO1040" s="176"/>
      <c r="AP1040" s="176"/>
      <c r="AQ1040" s="176"/>
      <c r="AR1040" s="176"/>
      <c r="AS1040" s="176"/>
      <c r="AT1040" s="176"/>
      <c r="AU1040" s="176"/>
      <c r="AV1040" s="176"/>
      <c r="AW1040" s="176"/>
      <c r="AX1040" s="176"/>
      <c r="AY1040" s="176"/>
      <c r="AZ1040" s="176"/>
      <c r="BA1040" s="176"/>
      <c r="BB1040" s="176"/>
      <c r="BC1040" s="176"/>
      <c r="BD1040" s="176"/>
      <c r="BE1040" s="176"/>
      <c r="BF1040" s="176"/>
      <c r="BG1040" s="176"/>
      <c r="BH1040" s="176"/>
      <c r="BI1040" s="176"/>
      <c r="BJ1040" s="176"/>
      <c r="BK1040" s="176"/>
      <c r="BL1040" s="176"/>
      <c r="BM1040" s="176"/>
      <c r="BN1040" s="176"/>
      <c r="BO1040" s="176"/>
      <c r="BP1040" s="176"/>
      <c r="BQ1040" s="176"/>
      <c r="BR1040" s="176"/>
      <c r="BS1040" s="176"/>
      <c r="BT1040" s="176"/>
      <c r="BU1040" s="176"/>
      <c r="BV1040" s="176"/>
      <c r="BW1040" s="176"/>
      <c r="BX1040" s="176"/>
      <c r="CA1040" s="181"/>
    </row>
    <row r="1041" spans="1:79" s="178" customFormat="1">
      <c r="A1041" s="235"/>
      <c r="B1041" s="227"/>
      <c r="C1041" s="231"/>
      <c r="D1041" s="238"/>
      <c r="E1041" s="238"/>
      <c r="F1041" s="238"/>
      <c r="G1041" s="231"/>
      <c r="H1041" s="231"/>
      <c r="I1041" s="175" t="s">
        <v>368</v>
      </c>
      <c r="J1041" s="175"/>
      <c r="K1041" s="175"/>
      <c r="L1041" s="175"/>
      <c r="M1041" s="176"/>
      <c r="N1041" s="176"/>
      <c r="O1041" s="176"/>
      <c r="P1041" s="176"/>
      <c r="Q1041" s="176"/>
      <c r="R1041" s="176"/>
      <c r="S1041" s="176"/>
      <c r="T1041" s="176"/>
      <c r="U1041" s="176"/>
      <c r="V1041" s="176"/>
      <c r="W1041" s="176"/>
      <c r="X1041" s="176"/>
      <c r="Y1041" s="176"/>
      <c r="Z1041" s="176"/>
      <c r="AA1041" s="176"/>
      <c r="AB1041" s="176"/>
      <c r="AC1041" s="176"/>
      <c r="AD1041" s="176"/>
      <c r="AE1041" s="176"/>
      <c r="AF1041" s="176"/>
      <c r="AG1041" s="176"/>
      <c r="AH1041" s="176"/>
      <c r="AI1041" s="176"/>
      <c r="AJ1041" s="176"/>
      <c r="AK1041" s="176"/>
      <c r="AL1041" s="176"/>
      <c r="AM1041" s="176"/>
      <c r="AN1041" s="176"/>
      <c r="AO1041" s="176"/>
      <c r="AP1041" s="176"/>
      <c r="AQ1041" s="176"/>
      <c r="AR1041" s="176"/>
      <c r="AS1041" s="176"/>
      <c r="AT1041" s="176"/>
      <c r="AU1041" s="176"/>
      <c r="AV1041" s="176"/>
      <c r="AW1041" s="176"/>
      <c r="AX1041" s="176"/>
      <c r="AY1041" s="176"/>
      <c r="AZ1041" s="176"/>
      <c r="BA1041" s="176"/>
      <c r="BB1041" s="176"/>
      <c r="BC1041" s="176"/>
      <c r="BD1041" s="176"/>
      <c r="BE1041" s="176"/>
      <c r="BF1041" s="176"/>
      <c r="BG1041" s="176"/>
      <c r="BH1041" s="176"/>
      <c r="BI1041" s="176"/>
      <c r="BJ1041" s="176"/>
      <c r="BK1041" s="176"/>
      <c r="BL1041" s="176"/>
      <c r="BM1041" s="176"/>
      <c r="BN1041" s="176"/>
      <c r="BO1041" s="176"/>
      <c r="BP1041" s="176"/>
      <c r="BQ1041" s="176"/>
      <c r="BR1041" s="176"/>
      <c r="BS1041" s="176"/>
      <c r="BT1041" s="176"/>
      <c r="BU1041" s="176"/>
      <c r="BV1041" s="176"/>
      <c r="BW1041" s="176"/>
      <c r="BX1041" s="176"/>
      <c r="CA1041" s="181"/>
    </row>
    <row r="1042" spans="1:79" s="189" customFormat="1">
      <c r="A1042" s="235"/>
      <c r="B1042" s="227"/>
      <c r="C1042" s="231"/>
      <c r="D1042" s="238"/>
      <c r="E1042" s="238"/>
      <c r="F1042" s="238"/>
      <c r="G1042" s="231"/>
      <c r="H1042" s="231"/>
      <c r="I1042" s="184" t="s">
        <v>362</v>
      </c>
      <c r="J1042" s="184"/>
      <c r="K1042" s="184"/>
      <c r="L1042" s="184"/>
      <c r="M1042" s="185"/>
      <c r="N1042" s="185"/>
      <c r="O1042" s="185"/>
      <c r="P1042" s="185"/>
      <c r="Q1042" s="185"/>
      <c r="R1042" s="185"/>
      <c r="S1042" s="185"/>
      <c r="T1042" s="185"/>
      <c r="U1042" s="185"/>
      <c r="V1042" s="185"/>
      <c r="W1042" s="185"/>
      <c r="X1042" s="186"/>
      <c r="Y1042" s="185"/>
      <c r="Z1042" s="185"/>
      <c r="AA1042" s="185"/>
      <c r="AB1042" s="185"/>
      <c r="AC1042" s="185"/>
      <c r="AD1042" s="185"/>
      <c r="AE1042" s="185"/>
      <c r="AF1042" s="185"/>
      <c r="AG1042" s="185"/>
      <c r="AH1042" s="185"/>
      <c r="AI1042" s="185"/>
      <c r="AJ1042" s="185"/>
      <c r="AK1042" s="185"/>
      <c r="AL1042" s="185"/>
      <c r="AM1042" s="185"/>
      <c r="AN1042" s="185"/>
      <c r="AO1042" s="185"/>
      <c r="AP1042" s="185"/>
      <c r="AQ1042" s="185"/>
      <c r="AR1042" s="185"/>
      <c r="AS1042" s="185"/>
      <c r="AT1042" s="185"/>
      <c r="AU1042" s="185"/>
      <c r="AW1042" s="185"/>
      <c r="AX1042" s="185"/>
      <c r="AY1042" s="185"/>
      <c r="AZ1042" s="185"/>
      <c r="BA1042" s="185"/>
      <c r="BB1042" s="185"/>
      <c r="BC1042" s="185"/>
      <c r="BD1042" s="185"/>
      <c r="BE1042" s="185"/>
      <c r="BF1042" s="185"/>
      <c r="BG1042" s="185"/>
      <c r="BH1042" s="185"/>
      <c r="BI1042" s="185"/>
      <c r="BJ1042" s="185"/>
      <c r="BK1042" s="185"/>
      <c r="BL1042" s="185"/>
      <c r="BM1042" s="185"/>
      <c r="BN1042" s="185"/>
      <c r="BO1042" s="185"/>
      <c r="BP1042" s="185"/>
      <c r="BQ1042" s="185"/>
      <c r="BR1042" s="185"/>
      <c r="BS1042" s="185"/>
      <c r="BT1042" s="185"/>
      <c r="BU1042" s="185"/>
      <c r="BV1042" s="185"/>
      <c r="BW1042" s="185"/>
      <c r="BX1042" s="185"/>
      <c r="BY1042" s="187"/>
      <c r="BZ1042" s="187"/>
      <c r="CA1042" s="188"/>
    </row>
    <row r="1043" spans="1:79" s="178" customFormat="1">
      <c r="A1043" s="235"/>
      <c r="B1043" s="227"/>
      <c r="C1043" s="231"/>
      <c r="D1043" s="238"/>
      <c r="E1043" s="238"/>
      <c r="F1043" s="238"/>
      <c r="G1043" s="231"/>
      <c r="H1043" s="231"/>
      <c r="I1043" s="190" t="s">
        <v>363</v>
      </c>
      <c r="J1043" s="190"/>
      <c r="K1043" s="190"/>
      <c r="L1043" s="190"/>
      <c r="M1043" s="176"/>
      <c r="N1043" s="176"/>
      <c r="O1043" s="176"/>
      <c r="P1043" s="176"/>
      <c r="Q1043" s="176"/>
      <c r="R1043" s="176"/>
      <c r="S1043" s="176"/>
      <c r="T1043" s="176"/>
      <c r="U1043" s="176"/>
      <c r="V1043" s="176"/>
      <c r="W1043" s="176"/>
      <c r="X1043" s="176"/>
      <c r="Y1043" s="176"/>
      <c r="Z1043" s="176"/>
      <c r="AA1043" s="176"/>
      <c r="AB1043" s="176"/>
      <c r="AC1043" s="176"/>
      <c r="AD1043" s="176"/>
      <c r="AE1043" s="176"/>
      <c r="AF1043" s="176"/>
      <c r="AG1043" s="176"/>
      <c r="AH1043" s="176"/>
      <c r="AI1043" s="176"/>
      <c r="AJ1043" s="176"/>
      <c r="AK1043" s="176"/>
      <c r="AL1043" s="176"/>
      <c r="AM1043" s="176"/>
      <c r="AN1043" s="176"/>
      <c r="AO1043" s="176"/>
      <c r="AP1043" s="176"/>
      <c r="AQ1043" s="176"/>
      <c r="AR1043" s="176"/>
      <c r="AS1043" s="176"/>
      <c r="AT1043" s="176"/>
      <c r="AU1043" s="176"/>
      <c r="AV1043" s="186"/>
      <c r="AW1043" s="176"/>
      <c r="AX1043" s="176"/>
      <c r="AY1043" s="176"/>
      <c r="AZ1043" s="176"/>
      <c r="BA1043" s="176"/>
      <c r="BB1043" s="176"/>
      <c r="BC1043" s="176"/>
      <c r="BD1043" s="176"/>
      <c r="BE1043" s="176"/>
      <c r="BF1043" s="176"/>
      <c r="BG1043" s="176"/>
      <c r="BH1043" s="176"/>
      <c r="BI1043" s="176"/>
      <c r="BJ1043" s="176"/>
      <c r="BK1043" s="176"/>
      <c r="BL1043" s="176"/>
      <c r="BM1043" s="176"/>
      <c r="BN1043" s="176"/>
      <c r="BO1043" s="176"/>
      <c r="BP1043" s="176"/>
      <c r="BQ1043" s="176"/>
      <c r="BR1043" s="176"/>
      <c r="BS1043" s="176"/>
      <c r="BT1043" s="176"/>
      <c r="BU1043" s="176"/>
      <c r="BV1043" s="176"/>
      <c r="BW1043" s="176"/>
      <c r="BX1043" s="176"/>
      <c r="BY1043" s="191"/>
      <c r="BZ1043" s="191"/>
      <c r="CA1043" s="181"/>
    </row>
    <row r="1044" spans="1:79" s="178" customFormat="1">
      <c r="A1044" s="235"/>
      <c r="B1044" s="227"/>
      <c r="C1044" s="231"/>
      <c r="D1044" s="238"/>
      <c r="E1044" s="238"/>
      <c r="F1044" s="238"/>
      <c r="G1044" s="231"/>
      <c r="H1044" s="231"/>
      <c r="I1044" s="175" t="s">
        <v>364</v>
      </c>
      <c r="J1044" s="175"/>
      <c r="K1044" s="175"/>
      <c r="L1044" s="175"/>
      <c r="M1044" s="176"/>
      <c r="N1044" s="176"/>
      <c r="O1044" s="176"/>
      <c r="P1044" s="176"/>
      <c r="Q1044" s="176"/>
      <c r="R1044" s="176"/>
      <c r="S1044" s="176"/>
      <c r="T1044" s="176"/>
      <c r="U1044" s="176"/>
      <c r="V1044" s="176"/>
      <c r="W1044" s="176"/>
      <c r="X1044" s="176"/>
      <c r="Y1044" s="176"/>
      <c r="Z1044" s="176"/>
      <c r="AA1044" s="176"/>
      <c r="AB1044" s="176"/>
      <c r="AC1044" s="176"/>
      <c r="AD1044" s="176"/>
      <c r="AE1044" s="176"/>
      <c r="AF1044" s="176"/>
      <c r="AG1044" s="176"/>
      <c r="AH1044" s="176"/>
      <c r="AI1044" s="176"/>
      <c r="AJ1044" s="176"/>
      <c r="AK1044" s="176"/>
      <c r="AL1044" s="176"/>
      <c r="AM1044" s="176"/>
      <c r="AN1044" s="176"/>
      <c r="AO1044" s="176"/>
      <c r="AP1044" s="176"/>
      <c r="AQ1044" s="176"/>
      <c r="AR1044" s="176"/>
      <c r="AS1044" s="176"/>
      <c r="AT1044" s="176"/>
      <c r="AU1044" s="176"/>
      <c r="AV1044" s="176"/>
      <c r="AW1044" s="176"/>
      <c r="AX1044" s="176"/>
      <c r="AY1044" s="176"/>
      <c r="AZ1044" s="176"/>
      <c r="BA1044" s="176"/>
      <c r="BC1044" s="176"/>
      <c r="BD1044" s="176"/>
      <c r="BE1044" s="176"/>
      <c r="BF1044" s="176"/>
      <c r="BG1044" s="176"/>
      <c r="BH1044" s="176"/>
      <c r="BI1044" s="176"/>
      <c r="BJ1044" s="176"/>
      <c r="BK1044" s="176"/>
      <c r="BL1044" s="176"/>
      <c r="BM1044" s="176"/>
      <c r="BN1044" s="176"/>
      <c r="BO1044" s="176"/>
      <c r="BP1044" s="176"/>
      <c r="BQ1044" s="176"/>
      <c r="BR1044" s="176"/>
      <c r="BS1044" s="176"/>
      <c r="BT1044" s="176"/>
      <c r="BU1044" s="176"/>
      <c r="BV1044" s="176"/>
      <c r="BW1044" s="176"/>
      <c r="BX1044" s="176"/>
      <c r="BY1044" s="191"/>
      <c r="BZ1044" s="191"/>
      <c r="CA1044" s="181"/>
    </row>
    <row r="1045" spans="1:79" s="191" customFormat="1">
      <c r="A1045" s="236"/>
      <c r="B1045" s="227"/>
      <c r="C1045" s="232"/>
      <c r="D1045" s="239"/>
      <c r="E1045" s="239"/>
      <c r="F1045" s="239"/>
      <c r="G1045" s="232"/>
      <c r="H1045" s="232"/>
      <c r="I1045" s="192"/>
      <c r="J1045" s="176">
        <f>SUM(J1031:J1043)-J1044</f>
        <v>0</v>
      </c>
      <c r="K1045" s="176">
        <f t="shared" ref="K1045:V1045" si="518">SUM(K1031:K1043)-K1044</f>
        <v>0</v>
      </c>
      <c r="L1045" s="176">
        <f t="shared" si="518"/>
        <v>0</v>
      </c>
      <c r="M1045" s="176">
        <f t="shared" si="518"/>
        <v>0</v>
      </c>
      <c r="N1045" s="176">
        <f t="shared" si="518"/>
        <v>0</v>
      </c>
      <c r="O1045" s="176">
        <f t="shared" si="518"/>
        <v>0</v>
      </c>
      <c r="P1045" s="176">
        <f t="shared" si="518"/>
        <v>0</v>
      </c>
      <c r="Q1045" s="176">
        <f t="shared" si="518"/>
        <v>0</v>
      </c>
      <c r="R1045" s="176">
        <f t="shared" si="518"/>
        <v>0</v>
      </c>
      <c r="S1045" s="176">
        <f t="shared" si="518"/>
        <v>0</v>
      </c>
      <c r="T1045" s="176">
        <f t="shared" si="518"/>
        <v>0</v>
      </c>
      <c r="U1045" s="176">
        <f t="shared" si="518"/>
        <v>0</v>
      </c>
      <c r="V1045" s="176">
        <f t="shared" si="518"/>
        <v>0</v>
      </c>
      <c r="W1045" s="176">
        <f>SUM(W1031:W1043)-W1044</f>
        <v>0</v>
      </c>
      <c r="X1045" s="176">
        <f>SUM(X1031:X1043)-X1044</f>
        <v>0</v>
      </c>
      <c r="Y1045" s="176">
        <f t="shared" ref="Y1045" si="519">SUM(Y1031:Y1043)-Y1044</f>
        <v>0</v>
      </c>
      <c r="Z1045" s="176">
        <f>SUM(Z1031:Z1043)-Z1044</f>
        <v>0</v>
      </c>
      <c r="AA1045" s="176">
        <f t="shared" ref="AA1045:AC1045" si="520">SUM(AA1031:AA1043)-AA1044</f>
        <v>0</v>
      </c>
      <c r="AB1045" s="176">
        <f t="shared" si="520"/>
        <v>0</v>
      </c>
      <c r="AC1045" s="176">
        <f t="shared" si="520"/>
        <v>0</v>
      </c>
      <c r="AD1045" s="176"/>
      <c r="AE1045" s="176">
        <f>SUM(AE1031:AE1043)-AE1044</f>
        <v>0</v>
      </c>
      <c r="AF1045" s="176">
        <f>SUM(AF1031:AF1043)-AF1044</f>
        <v>0</v>
      </c>
      <c r="AG1045" s="176">
        <f>SUM(AG1031:AG1043)-AG1044</f>
        <v>0</v>
      </c>
      <c r="AH1045" s="176">
        <f t="shared" ref="AH1045" si="521">SUM(AH1031:AH1043)-AH1044</f>
        <v>0</v>
      </c>
      <c r="AI1045" s="176">
        <f>SUM(AI1031:AI1043)-AI1044</f>
        <v>0</v>
      </c>
      <c r="AJ1045" s="176">
        <f t="shared" ref="AJ1045" si="522">SUM(AJ1031:AJ1043)-AJ1044</f>
        <v>0</v>
      </c>
      <c r="AK1045" s="176">
        <f>SUM(AK1031:AK1043)-AK1044</f>
        <v>0</v>
      </c>
      <c r="AL1045" s="176">
        <f t="shared" ref="AL1045:AM1045" si="523">SUM(AL1031:AL1043)-AL1044</f>
        <v>0</v>
      </c>
      <c r="AM1045" s="176">
        <f t="shared" si="523"/>
        <v>0</v>
      </c>
      <c r="AN1045" s="176"/>
      <c r="AO1045" s="176"/>
      <c r="AP1045" s="176"/>
      <c r="AQ1045" s="176"/>
      <c r="AR1045" s="176"/>
      <c r="AS1045" s="176"/>
      <c r="AT1045" s="176"/>
      <c r="AU1045" s="176"/>
      <c r="AV1045" s="176"/>
      <c r="AW1045" s="176"/>
      <c r="AX1045" s="176"/>
      <c r="AY1045" s="176"/>
      <c r="AZ1045" s="176"/>
      <c r="BA1045" s="176"/>
      <c r="BB1045" s="176"/>
      <c r="BC1045" s="176"/>
      <c r="BD1045" s="176"/>
      <c r="BE1045" s="176"/>
      <c r="BF1045" s="176"/>
      <c r="BG1045" s="176"/>
      <c r="BH1045" s="176"/>
      <c r="BI1045" s="176"/>
      <c r="BJ1045" s="176"/>
      <c r="BK1045" s="176"/>
      <c r="BL1045" s="176"/>
      <c r="BM1045" s="176"/>
      <c r="BN1045" s="176"/>
      <c r="BO1045" s="176"/>
      <c r="BP1045" s="176"/>
      <c r="BQ1045" s="176"/>
      <c r="BR1045" s="176"/>
      <c r="BS1045" s="176"/>
      <c r="BT1045" s="176"/>
      <c r="BU1045" s="176"/>
      <c r="BV1045" s="176">
        <f>BV1032+BV1038</f>
        <v>1210</v>
      </c>
      <c r="BW1045" s="176">
        <f>BW1032+BW1038</f>
        <v>1231</v>
      </c>
      <c r="BX1045" s="176">
        <f>SUM(L1045:BW1045)</f>
        <v>2441</v>
      </c>
    </row>
    <row r="1046" spans="1:79" ht="15.6" customHeight="1">
      <c r="A1046" s="148" t="s">
        <v>346</v>
      </c>
      <c r="B1046" s="148" t="s">
        <v>347</v>
      </c>
      <c r="C1046" s="145" t="s">
        <v>310</v>
      </c>
      <c r="D1046" s="145" t="s">
        <v>311</v>
      </c>
      <c r="E1046" s="148" t="s">
        <v>312</v>
      </c>
      <c r="F1046" s="148" t="s">
        <v>348</v>
      </c>
      <c r="G1046" s="145" t="s">
        <v>314</v>
      </c>
      <c r="H1046" s="145" t="s">
        <v>315</v>
      </c>
      <c r="I1046" s="145" t="s">
        <v>349</v>
      </c>
      <c r="J1046" s="146">
        <v>44105</v>
      </c>
      <c r="K1046" s="146">
        <v>44136</v>
      </c>
      <c r="L1046" s="146">
        <v>44166</v>
      </c>
      <c r="M1046" s="146">
        <v>44197</v>
      </c>
      <c r="N1046" s="146">
        <v>44228</v>
      </c>
      <c r="O1046" s="146">
        <v>44256</v>
      </c>
      <c r="P1046" s="146">
        <v>44287</v>
      </c>
      <c r="Q1046" s="146">
        <v>44317</v>
      </c>
      <c r="R1046" s="146">
        <v>44348</v>
      </c>
      <c r="S1046" s="146">
        <v>44378</v>
      </c>
      <c r="T1046" s="146">
        <v>44409</v>
      </c>
      <c r="U1046" s="146">
        <v>44440</v>
      </c>
      <c r="V1046" s="146">
        <v>44470</v>
      </c>
      <c r="W1046" s="146">
        <v>44501</v>
      </c>
      <c r="X1046" s="146">
        <v>44531</v>
      </c>
      <c r="Y1046" s="146">
        <v>44562</v>
      </c>
      <c r="Z1046" s="146">
        <v>44593</v>
      </c>
      <c r="AA1046" s="146">
        <v>44621</v>
      </c>
      <c r="AB1046" s="146">
        <v>44652</v>
      </c>
      <c r="AC1046" s="146">
        <v>44682</v>
      </c>
      <c r="AD1046" s="146">
        <v>44713</v>
      </c>
      <c r="AE1046" s="146">
        <v>44743</v>
      </c>
      <c r="AF1046" s="146">
        <v>44774</v>
      </c>
      <c r="AG1046" s="146">
        <v>44805</v>
      </c>
      <c r="AH1046" s="146">
        <v>44835</v>
      </c>
      <c r="AI1046" s="146">
        <v>44866</v>
      </c>
      <c r="AJ1046" s="146">
        <v>44896</v>
      </c>
      <c r="AK1046" s="146">
        <v>44927</v>
      </c>
      <c r="AL1046" s="146">
        <v>44958</v>
      </c>
      <c r="AM1046" s="146">
        <v>44986</v>
      </c>
      <c r="AN1046" s="146">
        <v>45017</v>
      </c>
      <c r="AO1046" s="146">
        <v>45047</v>
      </c>
      <c r="AP1046" s="146">
        <v>45078</v>
      </c>
      <c r="AQ1046" s="146">
        <v>45108</v>
      </c>
      <c r="AR1046" s="146">
        <v>45139</v>
      </c>
      <c r="AS1046" s="146">
        <v>45170</v>
      </c>
      <c r="AT1046" s="146">
        <v>45200</v>
      </c>
      <c r="AU1046" s="146">
        <v>45231</v>
      </c>
      <c r="AV1046" s="146">
        <v>45261</v>
      </c>
      <c r="AW1046" s="146">
        <v>45292</v>
      </c>
      <c r="AX1046" s="146">
        <v>45323</v>
      </c>
      <c r="AY1046" s="146">
        <v>45352</v>
      </c>
      <c r="AZ1046" s="146">
        <v>45383</v>
      </c>
      <c r="BA1046" s="146">
        <v>45413</v>
      </c>
      <c r="BB1046" s="146">
        <v>45444</v>
      </c>
      <c r="BC1046" s="146">
        <v>45474</v>
      </c>
      <c r="BD1046" s="146">
        <v>45505</v>
      </c>
      <c r="BE1046" s="146">
        <v>45536</v>
      </c>
      <c r="BF1046" s="146">
        <v>45566</v>
      </c>
      <c r="BG1046" s="146">
        <v>45597</v>
      </c>
      <c r="BH1046" s="146">
        <v>45627</v>
      </c>
      <c r="BI1046" s="146">
        <v>45658</v>
      </c>
      <c r="BJ1046" s="146">
        <v>45689</v>
      </c>
      <c r="BK1046" s="146">
        <v>45717</v>
      </c>
      <c r="BL1046" s="146">
        <v>45748</v>
      </c>
      <c r="BM1046" s="146">
        <v>45778</v>
      </c>
      <c r="BN1046" s="146">
        <v>45809</v>
      </c>
      <c r="BO1046" s="146">
        <v>45839</v>
      </c>
      <c r="BP1046" s="146">
        <v>45870</v>
      </c>
      <c r="BQ1046" s="146">
        <v>45901</v>
      </c>
      <c r="BR1046" s="146">
        <v>45931</v>
      </c>
      <c r="BS1046" s="146">
        <v>45962</v>
      </c>
      <c r="BT1046" s="146">
        <v>45992</v>
      </c>
      <c r="BU1046" s="146">
        <v>46023</v>
      </c>
      <c r="BV1046" s="146">
        <v>46054</v>
      </c>
      <c r="BW1046" s="146">
        <v>46082</v>
      </c>
      <c r="BX1046" s="147" t="s">
        <v>13</v>
      </c>
      <c r="BY1046" s="5"/>
      <c r="BZ1046" s="5"/>
      <c r="CA1046" s="5"/>
    </row>
    <row r="1047" spans="1:79" s="178" customFormat="1">
      <c r="A1047" s="234">
        <v>78</v>
      </c>
      <c r="B1047" s="227" t="s">
        <v>296</v>
      </c>
      <c r="C1047" s="230" t="s">
        <v>369</v>
      </c>
      <c r="D1047" s="237" t="s">
        <v>99</v>
      </c>
      <c r="E1047" s="237" t="s">
        <v>370</v>
      </c>
      <c r="F1047" s="237" t="s">
        <v>370</v>
      </c>
      <c r="G1047" s="230"/>
      <c r="H1047" s="230"/>
      <c r="I1047" s="175" t="s">
        <v>350</v>
      </c>
      <c r="J1047" s="175"/>
      <c r="K1047" s="175"/>
      <c r="L1047" s="175"/>
      <c r="M1047" s="180"/>
      <c r="N1047" s="180"/>
      <c r="O1047" s="180"/>
      <c r="P1047" s="180"/>
      <c r="Q1047" s="180"/>
      <c r="R1047" s="180"/>
      <c r="S1047" s="180"/>
      <c r="T1047" s="180"/>
      <c r="U1047" s="180"/>
      <c r="V1047" s="176"/>
      <c r="W1047" s="176"/>
      <c r="X1047" s="180"/>
      <c r="Y1047" s="180"/>
      <c r="Z1047" s="180"/>
      <c r="AA1047" s="180"/>
      <c r="AB1047" s="180"/>
      <c r="AC1047" s="180"/>
      <c r="AD1047" s="176"/>
      <c r="AE1047" s="180"/>
      <c r="AF1047" s="180"/>
      <c r="AG1047" s="180"/>
      <c r="AH1047" s="180"/>
      <c r="AI1047" s="180"/>
      <c r="AJ1047" s="180"/>
      <c r="AK1047" s="180"/>
      <c r="AL1047" s="180"/>
      <c r="AM1047" s="180"/>
      <c r="AN1047" s="180"/>
      <c r="AO1047" s="180"/>
      <c r="AP1047" s="180"/>
      <c r="AQ1047" s="180"/>
      <c r="AR1047" s="180"/>
      <c r="AS1047" s="180"/>
      <c r="AT1047" s="180"/>
      <c r="AU1047" s="180"/>
      <c r="AV1047" s="180"/>
      <c r="AW1047" s="180"/>
      <c r="AX1047" s="180"/>
      <c r="AY1047" s="180"/>
      <c r="AZ1047" s="180"/>
      <c r="BA1047" s="180"/>
      <c r="BB1047" s="180"/>
      <c r="BC1047" s="180"/>
      <c r="BD1047" s="180"/>
      <c r="BE1047" s="180"/>
      <c r="BF1047" s="180"/>
      <c r="BG1047" s="180"/>
      <c r="BH1047" s="180"/>
      <c r="BI1047" s="180"/>
      <c r="BJ1047" s="180"/>
      <c r="BK1047" s="180"/>
      <c r="BL1047" s="180"/>
      <c r="BM1047" s="180"/>
      <c r="BN1047" s="180"/>
      <c r="BO1047" s="180"/>
      <c r="BP1047" s="180"/>
      <c r="BQ1047" s="180"/>
      <c r="BR1047" s="180"/>
      <c r="BS1047" s="180"/>
      <c r="BT1047" s="180"/>
      <c r="BU1047" s="180"/>
      <c r="BV1047" s="180"/>
      <c r="BW1047" s="180"/>
      <c r="BX1047" s="176"/>
      <c r="BY1047" s="181"/>
      <c r="BZ1047" s="181"/>
      <c r="CA1047" s="181"/>
    </row>
    <row r="1048" spans="1:79" s="178" customFormat="1">
      <c r="A1048" s="235"/>
      <c r="B1048" s="227"/>
      <c r="C1048" s="231"/>
      <c r="D1048" s="238"/>
      <c r="E1048" s="238"/>
      <c r="F1048" s="238"/>
      <c r="G1048" s="231"/>
      <c r="H1048" s="231"/>
      <c r="I1048" s="175" t="s">
        <v>351</v>
      </c>
      <c r="J1048" s="175"/>
      <c r="K1048" s="175"/>
      <c r="L1048" s="175"/>
      <c r="M1048" s="176"/>
      <c r="N1048" s="176"/>
      <c r="O1048" s="176"/>
      <c r="P1048" s="176"/>
      <c r="Q1048" s="176"/>
      <c r="R1048" s="176"/>
      <c r="S1048" s="176"/>
      <c r="T1048" s="176"/>
      <c r="U1048" s="176"/>
      <c r="V1048" s="176"/>
      <c r="W1048" s="176"/>
      <c r="X1048" s="176"/>
      <c r="Y1048" s="176"/>
      <c r="Z1048" s="176"/>
      <c r="AA1048" s="176"/>
      <c r="AB1048" s="176"/>
      <c r="AC1048" s="176"/>
      <c r="AD1048" s="176"/>
      <c r="AE1048" s="176"/>
      <c r="AF1048" s="176"/>
      <c r="AG1048" s="176"/>
      <c r="AH1048" s="176"/>
      <c r="AI1048" s="176"/>
      <c r="AJ1048" s="176"/>
      <c r="AK1048" s="176"/>
      <c r="AL1048" s="176"/>
      <c r="AM1048" s="176"/>
      <c r="AN1048" s="176"/>
      <c r="AO1048" s="176"/>
      <c r="AP1048" s="176"/>
      <c r="AQ1048" s="176"/>
      <c r="AR1048" s="176"/>
      <c r="AS1048" s="176"/>
      <c r="AT1048" s="176"/>
      <c r="AU1048" s="176"/>
      <c r="AV1048" s="176"/>
      <c r="AW1048" s="176"/>
      <c r="AX1048" s="176"/>
      <c r="AY1048" s="176"/>
      <c r="AZ1048" s="176"/>
      <c r="BA1048" s="176"/>
      <c r="BB1048" s="176"/>
      <c r="BC1048" s="176"/>
      <c r="BD1048" s="176"/>
      <c r="BE1048" s="176"/>
      <c r="BF1048" s="176"/>
      <c r="BG1048" s="176"/>
      <c r="BH1048" s="176"/>
      <c r="BI1048" s="176"/>
      <c r="BJ1048" s="176"/>
      <c r="BK1048" s="176"/>
      <c r="BL1048" s="176"/>
      <c r="BM1048" s="176"/>
      <c r="BN1048" s="176"/>
      <c r="BO1048" s="176"/>
      <c r="BP1048" s="176"/>
      <c r="BQ1048" s="176"/>
      <c r="BR1048" s="176"/>
      <c r="BS1048" s="176"/>
      <c r="BT1048" s="176"/>
      <c r="BU1048" s="176"/>
      <c r="BV1048" s="176">
        <v>1000</v>
      </c>
      <c r="BW1048" s="176">
        <v>1000</v>
      </c>
      <c r="BX1048" s="176"/>
      <c r="CA1048" s="181"/>
    </row>
    <row r="1049" spans="1:79" s="178" customFormat="1">
      <c r="A1049" s="235"/>
      <c r="B1049" s="227"/>
      <c r="C1049" s="231"/>
      <c r="D1049" s="238"/>
      <c r="E1049" s="238"/>
      <c r="F1049" s="238"/>
      <c r="G1049" s="231"/>
      <c r="H1049" s="231"/>
      <c r="I1049" s="175" t="s">
        <v>352</v>
      </c>
      <c r="J1049" s="175"/>
      <c r="K1049" s="175"/>
      <c r="L1049" s="175"/>
      <c r="M1049" s="176"/>
      <c r="N1049" s="176"/>
      <c r="O1049" s="176"/>
      <c r="P1049" s="176"/>
      <c r="Q1049" s="176"/>
      <c r="R1049" s="176"/>
      <c r="S1049" s="176"/>
      <c r="T1049" s="176"/>
      <c r="U1049" s="176"/>
      <c r="V1049" s="176"/>
      <c r="W1049" s="176"/>
      <c r="X1049" s="176"/>
      <c r="Y1049" s="176"/>
      <c r="Z1049" s="176"/>
      <c r="AA1049" s="176"/>
      <c r="AB1049" s="176"/>
      <c r="AC1049" s="176"/>
      <c r="AD1049" s="176"/>
      <c r="AE1049" s="176"/>
      <c r="AF1049" s="176"/>
      <c r="AG1049" s="176"/>
      <c r="AH1049" s="176"/>
      <c r="AI1049" s="176"/>
      <c r="AJ1049" s="176"/>
      <c r="AK1049" s="176"/>
      <c r="AL1049" s="176"/>
      <c r="AM1049" s="176"/>
      <c r="AN1049" s="176"/>
      <c r="AO1049" s="176"/>
      <c r="AP1049" s="176"/>
      <c r="AQ1049" s="176"/>
      <c r="AR1049" s="176"/>
      <c r="AS1049" s="176"/>
      <c r="AT1049" s="176"/>
      <c r="AU1049" s="176"/>
      <c r="AV1049" s="176"/>
      <c r="AW1049" s="176"/>
      <c r="AX1049" s="176"/>
      <c r="AY1049" s="176"/>
      <c r="AZ1049" s="176"/>
      <c r="BA1049" s="176"/>
      <c r="BB1049" s="176"/>
      <c r="BC1049" s="176"/>
      <c r="BD1049" s="176"/>
      <c r="BE1049" s="176"/>
      <c r="BF1049" s="176"/>
      <c r="BG1049" s="176"/>
      <c r="BH1049" s="176"/>
      <c r="BI1049" s="176"/>
      <c r="BJ1049" s="176"/>
      <c r="BK1049" s="176"/>
      <c r="BL1049" s="176"/>
      <c r="BM1049" s="176"/>
      <c r="BN1049" s="176"/>
      <c r="BO1049" s="176"/>
      <c r="BP1049" s="176"/>
      <c r="BQ1049" s="176"/>
      <c r="BR1049" s="176"/>
      <c r="BS1049" s="176"/>
      <c r="BT1049" s="176"/>
      <c r="BU1049" s="176"/>
      <c r="BV1049" s="176"/>
      <c r="BW1049" s="176"/>
      <c r="BX1049" s="176"/>
      <c r="CA1049" s="181"/>
    </row>
    <row r="1050" spans="1:79" s="178" customFormat="1">
      <c r="A1050" s="235"/>
      <c r="B1050" s="227"/>
      <c r="C1050" s="231"/>
      <c r="D1050" s="238"/>
      <c r="E1050" s="238"/>
      <c r="F1050" s="238"/>
      <c r="G1050" s="231"/>
      <c r="H1050" s="231"/>
      <c r="I1050" s="175" t="s">
        <v>353</v>
      </c>
      <c r="J1050" s="175"/>
      <c r="K1050" s="175"/>
      <c r="L1050" s="175"/>
      <c r="M1050" s="176"/>
      <c r="N1050" s="176"/>
      <c r="O1050" s="176"/>
      <c r="P1050" s="176"/>
      <c r="Q1050" s="176"/>
      <c r="R1050" s="176"/>
      <c r="S1050" s="176"/>
      <c r="T1050" s="176"/>
      <c r="U1050" s="176"/>
      <c r="V1050" s="176"/>
      <c r="W1050" s="176"/>
      <c r="X1050" s="176"/>
      <c r="Y1050" s="176"/>
      <c r="Z1050" s="176"/>
      <c r="AA1050" s="176"/>
      <c r="AB1050" s="176"/>
      <c r="AC1050" s="176"/>
      <c r="AD1050" s="176"/>
      <c r="AE1050" s="176"/>
      <c r="AF1050" s="176"/>
      <c r="AG1050" s="176"/>
      <c r="AH1050" s="176"/>
      <c r="AI1050" s="176"/>
      <c r="AJ1050" s="176"/>
      <c r="AK1050" s="176"/>
      <c r="AL1050" s="176"/>
      <c r="AM1050" s="176"/>
      <c r="AN1050" s="176"/>
      <c r="AO1050" s="176"/>
      <c r="AP1050" s="176"/>
      <c r="AQ1050" s="176"/>
      <c r="AR1050" s="176"/>
      <c r="AS1050" s="176"/>
      <c r="AT1050" s="176"/>
      <c r="AU1050" s="176"/>
      <c r="AV1050" s="176"/>
      <c r="AW1050" s="176"/>
      <c r="AX1050" s="176"/>
      <c r="AY1050" s="176"/>
      <c r="AZ1050" s="176"/>
      <c r="BA1050" s="176"/>
      <c r="BB1050" s="176"/>
      <c r="BC1050" s="176"/>
      <c r="BD1050" s="176"/>
      <c r="BE1050" s="176"/>
      <c r="BF1050" s="176"/>
      <c r="BG1050" s="176"/>
      <c r="BH1050" s="176"/>
      <c r="BI1050" s="176"/>
      <c r="BJ1050" s="176"/>
      <c r="BK1050" s="176"/>
      <c r="BL1050" s="176"/>
      <c r="BM1050" s="176"/>
      <c r="BN1050" s="176"/>
      <c r="BO1050" s="176"/>
      <c r="BP1050" s="176"/>
      <c r="BQ1050" s="176"/>
      <c r="BR1050" s="176"/>
      <c r="BS1050" s="176"/>
      <c r="BT1050" s="176"/>
      <c r="BU1050" s="176"/>
      <c r="BV1050" s="176"/>
      <c r="BW1050" s="176"/>
      <c r="BX1050" s="176"/>
      <c r="CA1050" s="181"/>
    </row>
    <row r="1051" spans="1:79" s="178" customFormat="1">
      <c r="A1051" s="235"/>
      <c r="B1051" s="227"/>
      <c r="C1051" s="231"/>
      <c r="D1051" s="238"/>
      <c r="E1051" s="238"/>
      <c r="F1051" s="238"/>
      <c r="G1051" s="231"/>
      <c r="H1051" s="231"/>
      <c r="I1051" s="175" t="s">
        <v>354</v>
      </c>
      <c r="J1051" s="175"/>
      <c r="K1051" s="175"/>
      <c r="L1051" s="175"/>
      <c r="M1051" s="176"/>
      <c r="N1051" s="176"/>
      <c r="O1051" s="176"/>
      <c r="P1051" s="176"/>
      <c r="Q1051" s="176"/>
      <c r="R1051" s="176"/>
      <c r="S1051" s="176"/>
      <c r="T1051" s="176"/>
      <c r="U1051" s="176"/>
      <c r="V1051" s="176"/>
      <c r="W1051" s="176"/>
      <c r="X1051" s="176"/>
      <c r="Y1051" s="176"/>
      <c r="Z1051" s="176"/>
      <c r="AA1051" s="176"/>
      <c r="AB1051" s="176"/>
      <c r="AC1051" s="176"/>
      <c r="AD1051" s="176"/>
      <c r="AE1051" s="176"/>
      <c r="AF1051" s="176"/>
      <c r="AG1051" s="176"/>
      <c r="AH1051" s="176"/>
      <c r="AI1051" s="176"/>
      <c r="AJ1051" s="176"/>
      <c r="AK1051" s="176"/>
      <c r="AL1051" s="176"/>
      <c r="AM1051" s="176"/>
      <c r="AN1051" s="176"/>
      <c r="AO1051" s="176"/>
      <c r="AP1051" s="176"/>
      <c r="AQ1051" s="176"/>
      <c r="AR1051" s="176"/>
      <c r="AS1051" s="176"/>
      <c r="AT1051" s="176"/>
      <c r="AU1051" s="176"/>
      <c r="AV1051" s="176"/>
      <c r="AW1051" s="176"/>
      <c r="AX1051" s="176"/>
      <c r="AY1051" s="176"/>
      <c r="AZ1051" s="176"/>
      <c r="BA1051" s="176"/>
      <c r="BB1051" s="176"/>
      <c r="BC1051" s="176"/>
      <c r="BD1051" s="176"/>
      <c r="BE1051" s="176"/>
      <c r="BF1051" s="176"/>
      <c r="BG1051" s="176"/>
      <c r="BH1051" s="176"/>
      <c r="BI1051" s="176"/>
      <c r="BJ1051" s="176"/>
      <c r="BK1051" s="176"/>
      <c r="BL1051" s="176"/>
      <c r="BM1051" s="176"/>
      <c r="BN1051" s="176"/>
      <c r="BO1051" s="176"/>
      <c r="BP1051" s="176"/>
      <c r="BQ1051" s="176"/>
      <c r="BR1051" s="176"/>
      <c r="BS1051" s="176"/>
      <c r="BT1051" s="176"/>
      <c r="BU1051" s="176"/>
      <c r="BV1051" s="176"/>
      <c r="BW1051" s="176"/>
      <c r="BX1051" s="176"/>
      <c r="CA1051" s="181"/>
    </row>
    <row r="1052" spans="1:79" s="178" customFormat="1">
      <c r="A1052" s="235"/>
      <c r="B1052" s="227"/>
      <c r="C1052" s="231"/>
      <c r="D1052" s="238"/>
      <c r="E1052" s="238"/>
      <c r="F1052" s="238"/>
      <c r="G1052" s="231"/>
      <c r="H1052" s="231"/>
      <c r="I1052" s="175" t="s">
        <v>355</v>
      </c>
      <c r="J1052" s="175"/>
      <c r="K1052" s="175"/>
      <c r="L1052" s="175"/>
      <c r="M1052" s="176"/>
      <c r="N1052" s="176"/>
      <c r="O1052" s="176"/>
      <c r="P1052" s="176"/>
      <c r="Q1052" s="176"/>
      <c r="R1052" s="176"/>
      <c r="S1052" s="176"/>
      <c r="T1052" s="176"/>
      <c r="U1052" s="176"/>
      <c r="V1052" s="176"/>
      <c r="W1052" s="176"/>
      <c r="X1052" s="176"/>
      <c r="Y1052" s="176"/>
      <c r="Z1052" s="176"/>
      <c r="AA1052" s="176"/>
      <c r="AB1052" s="176"/>
      <c r="AC1052" s="176"/>
      <c r="AD1052" s="176"/>
      <c r="AE1052" s="176"/>
      <c r="AF1052" s="176"/>
      <c r="AG1052" s="176"/>
      <c r="AH1052" s="176"/>
      <c r="AI1052" s="176"/>
      <c r="AJ1052" s="176"/>
      <c r="AK1052" s="176"/>
      <c r="AL1052" s="176"/>
      <c r="AM1052" s="176"/>
      <c r="AN1052" s="176"/>
      <c r="AO1052" s="176"/>
      <c r="AP1052" s="176"/>
      <c r="AQ1052" s="176"/>
      <c r="AR1052" s="176"/>
      <c r="AS1052" s="176"/>
      <c r="AT1052" s="176"/>
      <c r="AU1052" s="176"/>
      <c r="AV1052" s="176"/>
      <c r="AW1052" s="176"/>
      <c r="AX1052" s="176"/>
      <c r="AY1052" s="176"/>
      <c r="AZ1052" s="176"/>
      <c r="BA1052" s="176"/>
      <c r="BB1052" s="176"/>
      <c r="BC1052" s="176"/>
      <c r="BD1052" s="176"/>
      <c r="BE1052" s="176"/>
      <c r="BF1052" s="176"/>
      <c r="BG1052" s="176"/>
      <c r="BH1052" s="176"/>
      <c r="BI1052" s="176"/>
      <c r="BJ1052" s="176"/>
      <c r="BK1052" s="176"/>
      <c r="BL1052" s="176"/>
      <c r="BM1052" s="176"/>
      <c r="BN1052" s="176"/>
      <c r="BO1052" s="176"/>
      <c r="BP1052" s="176"/>
      <c r="BQ1052" s="176"/>
      <c r="BR1052" s="176"/>
      <c r="BS1052" s="176"/>
      <c r="BT1052" s="176"/>
      <c r="BU1052" s="176"/>
      <c r="BV1052" s="176"/>
      <c r="BW1052" s="176"/>
      <c r="BX1052" s="176"/>
      <c r="CA1052" s="181"/>
    </row>
    <row r="1053" spans="1:79" s="178" customFormat="1">
      <c r="A1053" s="235"/>
      <c r="B1053" s="227"/>
      <c r="C1053" s="231"/>
      <c r="D1053" s="238"/>
      <c r="E1053" s="238"/>
      <c r="F1053" s="238"/>
      <c r="G1053" s="231"/>
      <c r="H1053" s="231"/>
      <c r="I1053" s="175" t="s">
        <v>356</v>
      </c>
      <c r="J1053" s="175"/>
      <c r="K1053" s="175"/>
      <c r="L1053" s="175"/>
      <c r="M1053" s="176"/>
      <c r="N1053" s="176"/>
      <c r="O1053" s="176"/>
      <c r="P1053" s="176"/>
      <c r="Q1053" s="176"/>
      <c r="R1053" s="176"/>
      <c r="S1053" s="176"/>
      <c r="T1053" s="176"/>
      <c r="U1053" s="176"/>
      <c r="V1053" s="176"/>
      <c r="W1053" s="176"/>
      <c r="X1053" s="176"/>
      <c r="Y1053" s="176"/>
      <c r="Z1053" s="176"/>
      <c r="AA1053" s="176"/>
      <c r="AB1053" s="176"/>
      <c r="AC1053" s="176"/>
      <c r="AD1053" s="176"/>
      <c r="AE1053" s="176"/>
      <c r="AF1053" s="176"/>
      <c r="AG1053" s="176"/>
      <c r="AH1053" s="176"/>
      <c r="AI1053" s="176"/>
      <c r="AJ1053" s="176"/>
      <c r="AK1053" s="176"/>
      <c r="AL1053" s="176"/>
      <c r="AM1053" s="176"/>
      <c r="AN1053" s="176"/>
      <c r="AO1053" s="176"/>
      <c r="AP1053" s="176"/>
      <c r="AQ1053" s="176"/>
      <c r="AR1053" s="176"/>
      <c r="AS1053" s="176"/>
      <c r="AT1053" s="176"/>
      <c r="AU1053" s="176"/>
      <c r="AV1053" s="176"/>
      <c r="AW1053" s="176"/>
      <c r="AX1053" s="176"/>
      <c r="AY1053" s="176"/>
      <c r="AZ1053" s="176"/>
      <c r="BA1053" s="176"/>
      <c r="BB1053" s="176"/>
      <c r="BC1053" s="176"/>
      <c r="BD1053" s="176"/>
      <c r="BE1053" s="176"/>
      <c r="BF1053" s="176"/>
      <c r="BG1053" s="176"/>
      <c r="BH1053" s="176"/>
      <c r="BI1053" s="176"/>
      <c r="BJ1053" s="176"/>
      <c r="BK1053" s="176"/>
      <c r="BL1053" s="176"/>
      <c r="BM1053" s="176"/>
      <c r="BN1053" s="176"/>
      <c r="BO1053" s="176"/>
      <c r="BP1053" s="176"/>
      <c r="BQ1053" s="176"/>
      <c r="BR1053" s="176"/>
      <c r="BS1053" s="176"/>
      <c r="BT1053" s="176"/>
      <c r="BU1053" s="176"/>
      <c r="BV1053" s="176"/>
      <c r="BW1053" s="176"/>
      <c r="BX1053" s="176"/>
      <c r="CA1053" s="181"/>
    </row>
    <row r="1054" spans="1:79" s="178" customFormat="1">
      <c r="A1054" s="235"/>
      <c r="B1054" s="227"/>
      <c r="C1054" s="231"/>
      <c r="D1054" s="238"/>
      <c r="E1054" s="238"/>
      <c r="F1054" s="238"/>
      <c r="G1054" s="231"/>
      <c r="H1054" s="231"/>
      <c r="I1054" s="175" t="s">
        <v>357</v>
      </c>
      <c r="J1054" s="175"/>
      <c r="K1054" s="175"/>
      <c r="L1054" s="175"/>
      <c r="M1054" s="176"/>
      <c r="N1054" s="176"/>
      <c r="O1054" s="176"/>
      <c r="P1054" s="176"/>
      <c r="Q1054" s="176"/>
      <c r="R1054" s="176"/>
      <c r="S1054" s="176"/>
      <c r="T1054" s="176"/>
      <c r="U1054" s="176"/>
      <c r="V1054" s="176"/>
      <c r="W1054" s="176"/>
      <c r="X1054" s="176"/>
      <c r="Y1054" s="176"/>
      <c r="Z1054" s="176"/>
      <c r="AA1054" s="176"/>
      <c r="AB1054" s="176"/>
      <c r="AC1054" s="176"/>
      <c r="AD1054" s="176"/>
      <c r="AE1054" s="176"/>
      <c r="AF1054" s="176"/>
      <c r="AG1054" s="176"/>
      <c r="AH1054" s="176"/>
      <c r="AI1054" s="176"/>
      <c r="AJ1054" s="176"/>
      <c r="AK1054" s="176"/>
      <c r="AL1054" s="176"/>
      <c r="AM1054" s="176"/>
      <c r="AN1054" s="176"/>
      <c r="AO1054" s="176"/>
      <c r="AP1054" s="176"/>
      <c r="AQ1054" s="176"/>
      <c r="AR1054" s="176"/>
      <c r="AS1054" s="176"/>
      <c r="AT1054" s="176"/>
      <c r="AU1054" s="176"/>
      <c r="AV1054" s="176"/>
      <c r="AW1054" s="176"/>
      <c r="AX1054" s="176"/>
      <c r="AY1054" s="176"/>
      <c r="AZ1054" s="176"/>
      <c r="BA1054" s="176"/>
      <c r="BB1054" s="176"/>
      <c r="BC1054" s="176"/>
      <c r="BD1054" s="176"/>
      <c r="BE1054" s="176"/>
      <c r="BF1054" s="176"/>
      <c r="BG1054" s="176"/>
      <c r="BH1054" s="176"/>
      <c r="BI1054" s="176"/>
      <c r="BJ1054" s="176"/>
      <c r="BK1054" s="176"/>
      <c r="BL1054" s="176"/>
      <c r="BM1054" s="176"/>
      <c r="BN1054" s="176"/>
      <c r="BO1054" s="176"/>
      <c r="BP1054" s="176"/>
      <c r="BQ1054" s="176"/>
      <c r="BR1054" s="176"/>
      <c r="BS1054" s="176"/>
      <c r="BT1054" s="176"/>
      <c r="BU1054" s="176"/>
      <c r="BV1054" s="176">
        <v>210</v>
      </c>
      <c r="BW1054" s="176">
        <v>231</v>
      </c>
      <c r="BX1054" s="176"/>
      <c r="CA1054" s="181"/>
    </row>
    <row r="1055" spans="1:79" s="178" customFormat="1">
      <c r="A1055" s="235"/>
      <c r="B1055" s="227"/>
      <c r="C1055" s="231"/>
      <c r="D1055" s="238"/>
      <c r="E1055" s="238"/>
      <c r="F1055" s="238"/>
      <c r="G1055" s="231"/>
      <c r="H1055" s="231"/>
      <c r="I1055" s="175" t="s">
        <v>358</v>
      </c>
      <c r="J1055" s="175"/>
      <c r="K1055" s="175"/>
      <c r="L1055" s="175"/>
      <c r="M1055" s="176"/>
      <c r="N1055" s="176"/>
      <c r="O1055" s="176"/>
      <c r="P1055" s="176"/>
      <c r="Q1055" s="176"/>
      <c r="R1055" s="176"/>
      <c r="S1055" s="176"/>
      <c r="T1055" s="176"/>
      <c r="U1055" s="176"/>
      <c r="V1055" s="176"/>
      <c r="W1055" s="176"/>
      <c r="X1055" s="176"/>
      <c r="Y1055" s="176"/>
      <c r="Z1055" s="176"/>
      <c r="AA1055" s="176"/>
      <c r="AB1055" s="176"/>
      <c r="AC1055" s="176"/>
      <c r="AD1055" s="176"/>
      <c r="AE1055" s="176"/>
      <c r="AF1055" s="176"/>
      <c r="AG1055" s="176"/>
      <c r="AH1055" s="176"/>
      <c r="AI1055" s="176"/>
      <c r="AJ1055" s="176"/>
      <c r="AK1055" s="176"/>
      <c r="AL1055" s="176"/>
      <c r="AM1055" s="176"/>
      <c r="AN1055" s="176"/>
      <c r="AO1055" s="176"/>
      <c r="AP1055" s="176"/>
      <c r="AQ1055" s="176"/>
      <c r="AR1055" s="176"/>
      <c r="AS1055" s="176"/>
      <c r="AT1055" s="176"/>
      <c r="AU1055" s="176"/>
      <c r="AV1055" s="176"/>
      <c r="AW1055" s="176"/>
      <c r="AX1055" s="176"/>
      <c r="AY1055" s="176"/>
      <c r="AZ1055" s="176"/>
      <c r="BA1055" s="176"/>
      <c r="BB1055" s="176"/>
      <c r="BC1055" s="176"/>
      <c r="BD1055" s="176"/>
      <c r="BE1055" s="176"/>
      <c r="BF1055" s="176"/>
      <c r="BG1055" s="176"/>
      <c r="BH1055" s="176"/>
      <c r="BI1055" s="176"/>
      <c r="BJ1055" s="176"/>
      <c r="BK1055" s="176"/>
      <c r="BL1055" s="176"/>
      <c r="BM1055" s="176"/>
      <c r="BN1055" s="176"/>
      <c r="BO1055" s="176"/>
      <c r="BP1055" s="176"/>
      <c r="BQ1055" s="176"/>
      <c r="BR1055" s="176"/>
      <c r="BS1055" s="176"/>
      <c r="BT1055" s="176"/>
      <c r="BU1055" s="176"/>
      <c r="BV1055" s="176"/>
      <c r="BW1055" s="176"/>
      <c r="BX1055" s="176"/>
      <c r="CA1055" s="181"/>
    </row>
    <row r="1056" spans="1:79" s="178" customFormat="1">
      <c r="A1056" s="235"/>
      <c r="B1056" s="227"/>
      <c r="C1056" s="231"/>
      <c r="D1056" s="238"/>
      <c r="E1056" s="238"/>
      <c r="F1056" s="238"/>
      <c r="G1056" s="231"/>
      <c r="H1056" s="231"/>
      <c r="I1056" s="175" t="s">
        <v>360</v>
      </c>
      <c r="J1056" s="175"/>
      <c r="K1056" s="175"/>
      <c r="L1056" s="175"/>
      <c r="M1056" s="176"/>
      <c r="N1056" s="176"/>
      <c r="O1056" s="176"/>
      <c r="P1056" s="176"/>
      <c r="Q1056" s="176"/>
      <c r="R1056" s="176"/>
      <c r="S1056" s="176"/>
      <c r="T1056" s="176"/>
      <c r="U1056" s="176"/>
      <c r="V1056" s="176"/>
      <c r="W1056" s="176"/>
      <c r="X1056" s="176"/>
      <c r="Y1056" s="176"/>
      <c r="Z1056" s="176"/>
      <c r="AA1056" s="176"/>
      <c r="AB1056" s="176"/>
      <c r="AC1056" s="176"/>
      <c r="AD1056" s="176"/>
      <c r="AE1056" s="176"/>
      <c r="AF1056" s="176"/>
      <c r="AG1056" s="176"/>
      <c r="AH1056" s="176"/>
      <c r="AI1056" s="176"/>
      <c r="AJ1056" s="176"/>
      <c r="AK1056" s="176"/>
      <c r="AL1056" s="176"/>
      <c r="AM1056" s="176"/>
      <c r="AN1056" s="176"/>
      <c r="AO1056" s="176"/>
      <c r="AP1056" s="176"/>
      <c r="AQ1056" s="176"/>
      <c r="AR1056" s="176"/>
      <c r="AS1056" s="176"/>
      <c r="AT1056" s="176"/>
      <c r="AU1056" s="176"/>
      <c r="AV1056" s="176"/>
      <c r="AW1056" s="176"/>
      <c r="AX1056" s="176"/>
      <c r="AY1056" s="176"/>
      <c r="AZ1056" s="176"/>
      <c r="BA1056" s="176"/>
      <c r="BB1056" s="176"/>
      <c r="BC1056" s="176"/>
      <c r="BD1056" s="176"/>
      <c r="BE1056" s="176"/>
      <c r="BF1056" s="176"/>
      <c r="BG1056" s="176"/>
      <c r="BH1056" s="176"/>
      <c r="BI1056" s="176"/>
      <c r="BJ1056" s="176"/>
      <c r="BK1056" s="176"/>
      <c r="BL1056" s="176"/>
      <c r="BM1056" s="176"/>
      <c r="BN1056" s="176"/>
      <c r="BO1056" s="176"/>
      <c r="BP1056" s="176"/>
      <c r="BQ1056" s="176"/>
      <c r="BR1056" s="176"/>
      <c r="BS1056" s="176"/>
      <c r="BT1056" s="176"/>
      <c r="BU1056" s="176"/>
      <c r="BV1056" s="176"/>
      <c r="BW1056" s="176"/>
      <c r="BX1056" s="176"/>
      <c r="CA1056" s="181"/>
    </row>
    <row r="1057" spans="1:81" s="178" customFormat="1">
      <c r="A1057" s="235"/>
      <c r="B1057" s="227"/>
      <c r="C1057" s="231"/>
      <c r="D1057" s="238"/>
      <c r="E1057" s="238"/>
      <c r="F1057" s="238"/>
      <c r="G1057" s="231"/>
      <c r="H1057" s="231"/>
      <c r="I1057" s="175" t="s">
        <v>368</v>
      </c>
      <c r="J1057" s="175"/>
      <c r="K1057" s="175"/>
      <c r="L1057" s="175"/>
      <c r="M1057" s="176"/>
      <c r="N1057" s="176"/>
      <c r="O1057" s="176"/>
      <c r="P1057" s="176"/>
      <c r="Q1057" s="176"/>
      <c r="R1057" s="176"/>
      <c r="S1057" s="176"/>
      <c r="T1057" s="176"/>
      <c r="U1057" s="176"/>
      <c r="V1057" s="176"/>
      <c r="W1057" s="176"/>
      <c r="X1057" s="176"/>
      <c r="Y1057" s="176"/>
      <c r="Z1057" s="176"/>
      <c r="AA1057" s="176"/>
      <c r="AB1057" s="176"/>
      <c r="AC1057" s="176"/>
      <c r="AD1057" s="176"/>
      <c r="AE1057" s="176"/>
      <c r="AF1057" s="176"/>
      <c r="AG1057" s="176"/>
      <c r="AH1057" s="176"/>
      <c r="AI1057" s="176"/>
      <c r="AJ1057" s="176"/>
      <c r="AK1057" s="176"/>
      <c r="AL1057" s="176"/>
      <c r="AM1057" s="176"/>
      <c r="AN1057" s="176"/>
      <c r="AO1057" s="176"/>
      <c r="AP1057" s="176"/>
      <c r="AQ1057" s="176"/>
      <c r="AR1057" s="176"/>
      <c r="AS1057" s="176"/>
      <c r="AT1057" s="176"/>
      <c r="AU1057" s="176"/>
      <c r="AV1057" s="176"/>
      <c r="AW1057" s="176"/>
      <c r="AX1057" s="176"/>
      <c r="AY1057" s="176"/>
      <c r="AZ1057" s="176"/>
      <c r="BA1057" s="176"/>
      <c r="BB1057" s="176"/>
      <c r="BC1057" s="176"/>
      <c r="BD1057" s="176"/>
      <c r="BE1057" s="176"/>
      <c r="BF1057" s="176"/>
      <c r="BG1057" s="176"/>
      <c r="BH1057" s="176"/>
      <c r="BI1057" s="176"/>
      <c r="BJ1057" s="176"/>
      <c r="BK1057" s="176"/>
      <c r="BL1057" s="176"/>
      <c r="BM1057" s="176"/>
      <c r="BN1057" s="176"/>
      <c r="BO1057" s="176"/>
      <c r="BP1057" s="176"/>
      <c r="BQ1057" s="176"/>
      <c r="BR1057" s="176"/>
      <c r="BS1057" s="176"/>
      <c r="BT1057" s="176"/>
      <c r="BU1057" s="176"/>
      <c r="BV1057" s="176"/>
      <c r="BW1057" s="176"/>
      <c r="BX1057" s="176"/>
      <c r="CA1057" s="181"/>
    </row>
    <row r="1058" spans="1:81" s="189" customFormat="1">
      <c r="A1058" s="235"/>
      <c r="B1058" s="227"/>
      <c r="C1058" s="231"/>
      <c r="D1058" s="238"/>
      <c r="E1058" s="238"/>
      <c r="F1058" s="238"/>
      <c r="G1058" s="231"/>
      <c r="H1058" s="231"/>
      <c r="I1058" s="184" t="s">
        <v>362</v>
      </c>
      <c r="J1058" s="184"/>
      <c r="K1058" s="184"/>
      <c r="L1058" s="184"/>
      <c r="M1058" s="185"/>
      <c r="N1058" s="185"/>
      <c r="O1058" s="185"/>
      <c r="P1058" s="185"/>
      <c r="Q1058" s="185"/>
      <c r="R1058" s="185"/>
      <c r="S1058" s="185"/>
      <c r="T1058" s="185"/>
      <c r="U1058" s="185"/>
      <c r="V1058" s="185"/>
      <c r="W1058" s="185"/>
      <c r="X1058" s="186"/>
      <c r="Y1058" s="185"/>
      <c r="Z1058" s="185"/>
      <c r="AA1058" s="185"/>
      <c r="AB1058" s="185"/>
      <c r="AC1058" s="185"/>
      <c r="AD1058" s="185"/>
      <c r="AE1058" s="185"/>
      <c r="AF1058" s="185"/>
      <c r="AG1058" s="185"/>
      <c r="AH1058" s="185"/>
      <c r="AI1058" s="185"/>
      <c r="AJ1058" s="185"/>
      <c r="AK1058" s="185"/>
      <c r="AL1058" s="185"/>
      <c r="AM1058" s="185"/>
      <c r="AN1058" s="185"/>
      <c r="AO1058" s="185"/>
      <c r="AP1058" s="185"/>
      <c r="AQ1058" s="185"/>
      <c r="AR1058" s="185"/>
      <c r="AS1058" s="185"/>
      <c r="AT1058" s="185"/>
      <c r="AU1058" s="185"/>
      <c r="AW1058" s="185"/>
      <c r="AX1058" s="185"/>
      <c r="AY1058" s="185"/>
      <c r="AZ1058" s="185"/>
      <c r="BA1058" s="185"/>
      <c r="BB1058" s="185"/>
      <c r="BC1058" s="185"/>
      <c r="BD1058" s="185"/>
      <c r="BE1058" s="185"/>
      <c r="BF1058" s="185"/>
      <c r="BG1058" s="185"/>
      <c r="BH1058" s="185"/>
      <c r="BI1058" s="185"/>
      <c r="BJ1058" s="185"/>
      <c r="BK1058" s="185"/>
      <c r="BL1058" s="185"/>
      <c r="BM1058" s="185"/>
      <c r="BN1058" s="185"/>
      <c r="BO1058" s="185"/>
      <c r="BP1058" s="185"/>
      <c r="BQ1058" s="185"/>
      <c r="BR1058" s="185"/>
      <c r="BS1058" s="185"/>
      <c r="BT1058" s="185"/>
      <c r="BU1058" s="185"/>
      <c r="BV1058" s="185"/>
      <c r="BW1058" s="185"/>
      <c r="BX1058" s="185"/>
      <c r="BY1058" s="187"/>
      <c r="BZ1058" s="187"/>
      <c r="CA1058" s="188"/>
    </row>
    <row r="1059" spans="1:81" s="178" customFormat="1">
      <c r="A1059" s="235"/>
      <c r="B1059" s="227"/>
      <c r="C1059" s="231"/>
      <c r="D1059" s="238"/>
      <c r="E1059" s="238"/>
      <c r="F1059" s="238"/>
      <c r="G1059" s="231"/>
      <c r="H1059" s="231"/>
      <c r="I1059" s="190" t="s">
        <v>363</v>
      </c>
      <c r="J1059" s="190"/>
      <c r="K1059" s="190"/>
      <c r="L1059" s="190"/>
      <c r="M1059" s="176"/>
      <c r="N1059" s="176"/>
      <c r="O1059" s="176"/>
      <c r="P1059" s="176"/>
      <c r="Q1059" s="176"/>
      <c r="R1059" s="176"/>
      <c r="S1059" s="176"/>
      <c r="T1059" s="176"/>
      <c r="U1059" s="176"/>
      <c r="V1059" s="176"/>
      <c r="W1059" s="176"/>
      <c r="X1059" s="176"/>
      <c r="Y1059" s="176"/>
      <c r="Z1059" s="176"/>
      <c r="AA1059" s="176"/>
      <c r="AB1059" s="176"/>
      <c r="AC1059" s="176"/>
      <c r="AD1059" s="176"/>
      <c r="AE1059" s="176"/>
      <c r="AF1059" s="176"/>
      <c r="AG1059" s="176"/>
      <c r="AH1059" s="176"/>
      <c r="AI1059" s="176"/>
      <c r="AJ1059" s="176"/>
      <c r="AK1059" s="176"/>
      <c r="AL1059" s="176"/>
      <c r="AM1059" s="176"/>
      <c r="AN1059" s="176"/>
      <c r="AO1059" s="176"/>
      <c r="AP1059" s="176"/>
      <c r="AQ1059" s="176"/>
      <c r="AR1059" s="176"/>
      <c r="AS1059" s="176"/>
      <c r="AT1059" s="176"/>
      <c r="AU1059" s="176"/>
      <c r="AV1059" s="186"/>
      <c r="AW1059" s="176"/>
      <c r="AX1059" s="176"/>
      <c r="AY1059" s="176"/>
      <c r="AZ1059" s="176"/>
      <c r="BA1059" s="176"/>
      <c r="BB1059" s="176"/>
      <c r="BC1059" s="176"/>
      <c r="BD1059" s="176"/>
      <c r="BE1059" s="176"/>
      <c r="BF1059" s="176"/>
      <c r="BG1059" s="176"/>
      <c r="BH1059" s="176"/>
      <c r="BI1059" s="176"/>
      <c r="BJ1059" s="176"/>
      <c r="BK1059" s="176"/>
      <c r="BL1059" s="176"/>
      <c r="BM1059" s="176"/>
      <c r="BN1059" s="176"/>
      <c r="BO1059" s="176"/>
      <c r="BP1059" s="176"/>
      <c r="BQ1059" s="176"/>
      <c r="BR1059" s="176"/>
      <c r="BS1059" s="176"/>
      <c r="BT1059" s="176"/>
      <c r="BU1059" s="176"/>
      <c r="BV1059" s="176"/>
      <c r="BW1059" s="176"/>
      <c r="BX1059" s="176"/>
      <c r="BY1059" s="191"/>
      <c r="BZ1059" s="191"/>
      <c r="CA1059" s="181"/>
    </row>
    <row r="1060" spans="1:81" s="178" customFormat="1">
      <c r="A1060" s="235"/>
      <c r="B1060" s="227"/>
      <c r="C1060" s="231"/>
      <c r="D1060" s="238"/>
      <c r="E1060" s="238"/>
      <c r="F1060" s="238"/>
      <c r="G1060" s="231"/>
      <c r="H1060" s="231"/>
      <c r="I1060" s="175" t="s">
        <v>364</v>
      </c>
      <c r="J1060" s="175"/>
      <c r="K1060" s="175"/>
      <c r="L1060" s="175"/>
      <c r="M1060" s="176"/>
      <c r="N1060" s="176"/>
      <c r="O1060" s="176"/>
      <c r="P1060" s="176"/>
      <c r="Q1060" s="176"/>
      <c r="R1060" s="176"/>
      <c r="S1060" s="176"/>
      <c r="T1060" s="176"/>
      <c r="U1060" s="176"/>
      <c r="V1060" s="176"/>
      <c r="W1060" s="176"/>
      <c r="X1060" s="176"/>
      <c r="Y1060" s="176"/>
      <c r="Z1060" s="176"/>
      <c r="AA1060" s="176"/>
      <c r="AB1060" s="176"/>
      <c r="AC1060" s="176"/>
      <c r="AD1060" s="176"/>
      <c r="AE1060" s="176"/>
      <c r="AF1060" s="176"/>
      <c r="AG1060" s="176"/>
      <c r="AH1060" s="176"/>
      <c r="AI1060" s="176"/>
      <c r="AJ1060" s="176"/>
      <c r="AK1060" s="176"/>
      <c r="AL1060" s="176"/>
      <c r="AM1060" s="176"/>
      <c r="AN1060" s="176"/>
      <c r="AO1060" s="176"/>
      <c r="AP1060" s="176"/>
      <c r="AQ1060" s="176"/>
      <c r="AR1060" s="176"/>
      <c r="AS1060" s="176"/>
      <c r="AT1060" s="176"/>
      <c r="AU1060" s="176"/>
      <c r="AV1060" s="176"/>
      <c r="AW1060" s="176"/>
      <c r="AX1060" s="176"/>
      <c r="AY1060" s="176"/>
      <c r="AZ1060" s="176"/>
      <c r="BA1060" s="176"/>
      <c r="BC1060" s="176"/>
      <c r="BD1060" s="176"/>
      <c r="BE1060" s="176"/>
      <c r="BF1060" s="176"/>
      <c r="BG1060" s="176"/>
      <c r="BH1060" s="176"/>
      <c r="BI1060" s="176"/>
      <c r="BJ1060" s="176"/>
      <c r="BK1060" s="176"/>
      <c r="BL1060" s="176"/>
      <c r="BM1060" s="176"/>
      <c r="BN1060" s="176"/>
      <c r="BO1060" s="176"/>
      <c r="BP1060" s="176"/>
      <c r="BQ1060" s="176"/>
      <c r="BR1060" s="176"/>
      <c r="BS1060" s="176"/>
      <c r="BT1060" s="176"/>
      <c r="BU1060" s="176"/>
      <c r="BV1060" s="176"/>
      <c r="BW1060" s="176"/>
      <c r="BX1060" s="176"/>
      <c r="BY1060" s="191"/>
      <c r="BZ1060" s="191"/>
      <c r="CA1060" s="181"/>
    </row>
    <row r="1061" spans="1:81" s="191" customFormat="1">
      <c r="A1061" s="236"/>
      <c r="B1061" s="227"/>
      <c r="C1061" s="232"/>
      <c r="D1061" s="239"/>
      <c r="E1061" s="239"/>
      <c r="F1061" s="239"/>
      <c r="G1061" s="232"/>
      <c r="H1061" s="232"/>
      <c r="I1061" s="192"/>
      <c r="J1061" s="176">
        <f>SUM(J1047:J1059)-J1060</f>
        <v>0</v>
      </c>
      <c r="K1061" s="176">
        <f t="shared" ref="K1061:V1061" si="524">SUM(K1047:K1059)-K1060</f>
        <v>0</v>
      </c>
      <c r="L1061" s="176">
        <f t="shared" si="524"/>
        <v>0</v>
      </c>
      <c r="M1061" s="176">
        <f t="shared" si="524"/>
        <v>0</v>
      </c>
      <c r="N1061" s="176">
        <f t="shared" si="524"/>
        <v>0</v>
      </c>
      <c r="O1061" s="176">
        <f t="shared" si="524"/>
        <v>0</v>
      </c>
      <c r="P1061" s="176">
        <f t="shared" si="524"/>
        <v>0</v>
      </c>
      <c r="Q1061" s="176">
        <f t="shared" si="524"/>
        <v>0</v>
      </c>
      <c r="R1061" s="176">
        <f t="shared" si="524"/>
        <v>0</v>
      </c>
      <c r="S1061" s="176">
        <f t="shared" si="524"/>
        <v>0</v>
      </c>
      <c r="T1061" s="176">
        <f t="shared" si="524"/>
        <v>0</v>
      </c>
      <c r="U1061" s="176">
        <f t="shared" si="524"/>
        <v>0</v>
      </c>
      <c r="V1061" s="176">
        <f t="shared" si="524"/>
        <v>0</v>
      </c>
      <c r="W1061" s="176">
        <f>SUM(W1047:W1059)-W1060</f>
        <v>0</v>
      </c>
      <c r="X1061" s="176">
        <f>SUM(X1047:X1059)-X1060</f>
        <v>0</v>
      </c>
      <c r="Y1061" s="176">
        <f t="shared" ref="Y1061" si="525">SUM(Y1047:Y1059)-Y1060</f>
        <v>0</v>
      </c>
      <c r="Z1061" s="176">
        <f>SUM(Z1047:Z1059)-Z1060</f>
        <v>0</v>
      </c>
      <c r="AA1061" s="176">
        <f t="shared" ref="AA1061:AC1061" si="526">SUM(AA1047:AA1059)-AA1060</f>
        <v>0</v>
      </c>
      <c r="AB1061" s="176">
        <f t="shared" si="526"/>
        <v>0</v>
      </c>
      <c r="AC1061" s="176">
        <f t="shared" si="526"/>
        <v>0</v>
      </c>
      <c r="AD1061" s="176"/>
      <c r="AE1061" s="176">
        <f>SUM(AE1047:AE1059)-AE1060</f>
        <v>0</v>
      </c>
      <c r="AF1061" s="176">
        <f>SUM(AF1047:AF1059)-AF1060</f>
        <v>0</v>
      </c>
      <c r="AG1061" s="176">
        <f>SUM(AG1047:AG1059)-AG1060</f>
        <v>0</v>
      </c>
      <c r="AH1061" s="176">
        <f t="shared" ref="AH1061" si="527">SUM(AH1047:AH1059)-AH1060</f>
        <v>0</v>
      </c>
      <c r="AI1061" s="176">
        <f>SUM(AI1047:AI1059)-AI1060</f>
        <v>0</v>
      </c>
      <c r="AJ1061" s="176">
        <f t="shared" ref="AJ1061" si="528">SUM(AJ1047:AJ1059)-AJ1060</f>
        <v>0</v>
      </c>
      <c r="AK1061" s="176">
        <f>SUM(AK1047:AK1059)-AK1060</f>
        <v>0</v>
      </c>
      <c r="AL1061" s="176">
        <f t="shared" ref="AL1061:AM1061" si="529">SUM(AL1047:AL1059)-AL1060</f>
        <v>0</v>
      </c>
      <c r="AM1061" s="176">
        <f t="shared" si="529"/>
        <v>0</v>
      </c>
      <c r="AN1061" s="176"/>
      <c r="AO1061" s="176"/>
      <c r="AP1061" s="176"/>
      <c r="AQ1061" s="176"/>
      <c r="AR1061" s="176"/>
      <c r="AS1061" s="176"/>
      <c r="AT1061" s="176"/>
      <c r="AU1061" s="176"/>
      <c r="AV1061" s="176"/>
      <c r="AW1061" s="176"/>
      <c r="AX1061" s="176"/>
      <c r="AY1061" s="176"/>
      <c r="AZ1061" s="176"/>
      <c r="BA1061" s="176"/>
      <c r="BB1061" s="176"/>
      <c r="BC1061" s="176"/>
      <c r="BD1061" s="176"/>
      <c r="BE1061" s="176"/>
      <c r="BF1061" s="176"/>
      <c r="BG1061" s="176"/>
      <c r="BH1061" s="176"/>
      <c r="BI1061" s="176"/>
      <c r="BJ1061" s="176"/>
      <c r="BK1061" s="176"/>
      <c r="BL1061" s="176"/>
      <c r="BM1061" s="176"/>
      <c r="BN1061" s="176"/>
      <c r="BO1061" s="176"/>
      <c r="BP1061" s="176"/>
      <c r="BQ1061" s="176"/>
      <c r="BR1061" s="176"/>
      <c r="BS1061" s="176"/>
      <c r="BT1061" s="176"/>
      <c r="BU1061" s="176"/>
      <c r="BV1061" s="176">
        <f>BV1048+BV1054</f>
        <v>1210</v>
      </c>
      <c r="BW1061" s="176">
        <f>BW1048+BW1054</f>
        <v>1231</v>
      </c>
      <c r="BX1061" s="176">
        <f>SUM(L1061:BW1061)</f>
        <v>2441</v>
      </c>
    </row>
    <row r="1062" spans="1:81" ht="15.6" customHeight="1">
      <c r="A1062" s="148" t="s">
        <v>346</v>
      </c>
      <c r="B1062" s="148" t="s">
        <v>347</v>
      </c>
      <c r="C1062" s="145" t="s">
        <v>310</v>
      </c>
      <c r="D1062" s="145" t="s">
        <v>311</v>
      </c>
      <c r="E1062" s="148" t="s">
        <v>312</v>
      </c>
      <c r="F1062" s="148" t="s">
        <v>348</v>
      </c>
      <c r="G1062" s="145" t="s">
        <v>314</v>
      </c>
      <c r="H1062" s="145" t="s">
        <v>315</v>
      </c>
      <c r="I1062" s="145" t="s">
        <v>349</v>
      </c>
      <c r="J1062" s="146">
        <v>44105</v>
      </c>
      <c r="K1062" s="146">
        <v>44136</v>
      </c>
      <c r="L1062" s="146">
        <v>44166</v>
      </c>
      <c r="M1062" s="146">
        <v>44197</v>
      </c>
      <c r="N1062" s="146">
        <v>44228</v>
      </c>
      <c r="O1062" s="146">
        <v>44256</v>
      </c>
      <c r="P1062" s="146">
        <v>44287</v>
      </c>
      <c r="Q1062" s="146">
        <v>44317</v>
      </c>
      <c r="R1062" s="146">
        <v>44348</v>
      </c>
      <c r="S1062" s="146">
        <v>44378</v>
      </c>
      <c r="T1062" s="146">
        <v>44409</v>
      </c>
      <c r="U1062" s="146">
        <v>44440</v>
      </c>
      <c r="V1062" s="146">
        <v>44470</v>
      </c>
      <c r="W1062" s="146">
        <v>44501</v>
      </c>
      <c r="X1062" s="146">
        <v>44531</v>
      </c>
      <c r="Y1062" s="146">
        <v>44562</v>
      </c>
      <c r="Z1062" s="146">
        <v>44593</v>
      </c>
      <c r="AA1062" s="146">
        <v>44621</v>
      </c>
      <c r="AB1062" s="146">
        <v>44652</v>
      </c>
      <c r="AC1062" s="146">
        <v>44682</v>
      </c>
      <c r="AD1062" s="146">
        <v>44713</v>
      </c>
      <c r="AE1062" s="146">
        <v>44743</v>
      </c>
      <c r="AF1062" s="146">
        <v>44774</v>
      </c>
      <c r="AG1062" s="146">
        <v>44805</v>
      </c>
      <c r="AH1062" s="146">
        <v>44835</v>
      </c>
      <c r="AI1062" s="146">
        <v>44866</v>
      </c>
      <c r="AJ1062" s="146">
        <v>44896</v>
      </c>
      <c r="AK1062" s="146">
        <v>44927</v>
      </c>
      <c r="AL1062" s="146">
        <v>44958</v>
      </c>
      <c r="AM1062" s="146">
        <v>44986</v>
      </c>
      <c r="AN1062" s="146">
        <v>45017</v>
      </c>
      <c r="AO1062" s="146">
        <v>45047</v>
      </c>
      <c r="AP1062" s="146">
        <v>45078</v>
      </c>
      <c r="AQ1062" s="146">
        <v>45108</v>
      </c>
      <c r="AR1062" s="146">
        <v>45139</v>
      </c>
      <c r="AS1062" s="146">
        <v>45170</v>
      </c>
      <c r="AT1062" s="146">
        <v>45200</v>
      </c>
      <c r="AU1062" s="146">
        <v>45231</v>
      </c>
      <c r="AV1062" s="146">
        <v>45261</v>
      </c>
      <c r="AW1062" s="146">
        <v>45292</v>
      </c>
      <c r="AX1062" s="146">
        <v>45323</v>
      </c>
      <c r="AY1062" s="146">
        <v>45352</v>
      </c>
      <c r="AZ1062" s="146">
        <v>45383</v>
      </c>
      <c r="BA1062" s="146">
        <v>45413</v>
      </c>
      <c r="BB1062" s="146">
        <v>45444</v>
      </c>
      <c r="BC1062" s="146">
        <v>45474</v>
      </c>
      <c r="BD1062" s="146">
        <v>45505</v>
      </c>
      <c r="BE1062" s="146">
        <v>45536</v>
      </c>
      <c r="BF1062" s="146">
        <v>45566</v>
      </c>
      <c r="BG1062" s="146">
        <v>45597</v>
      </c>
      <c r="BH1062" s="146">
        <v>45627</v>
      </c>
      <c r="BI1062" s="146">
        <v>45658</v>
      </c>
      <c r="BJ1062" s="146">
        <v>45689</v>
      </c>
      <c r="BK1062" s="146">
        <v>45717</v>
      </c>
      <c r="BL1062" s="146">
        <v>45748</v>
      </c>
      <c r="BM1062" s="146">
        <v>45778</v>
      </c>
      <c r="BN1062" s="146">
        <v>45809</v>
      </c>
      <c r="BO1062" s="146">
        <v>45839</v>
      </c>
      <c r="BP1062" s="146">
        <v>45870</v>
      </c>
      <c r="BQ1062" s="146">
        <v>45901</v>
      </c>
      <c r="BR1062" s="146">
        <v>45931</v>
      </c>
      <c r="BS1062" s="146">
        <v>45962</v>
      </c>
      <c r="BT1062" s="146">
        <v>45992</v>
      </c>
      <c r="BU1062" s="146">
        <v>46023</v>
      </c>
      <c r="BV1062" s="146">
        <v>46054</v>
      </c>
      <c r="BW1062" s="146">
        <v>46082</v>
      </c>
      <c r="BX1062" s="147" t="s">
        <v>13</v>
      </c>
      <c r="BY1062" s="5"/>
      <c r="BZ1062" s="5"/>
      <c r="CA1062" s="5"/>
    </row>
    <row r="1063" spans="1:81" s="178" customFormat="1" ht="15.75" customHeight="1">
      <c r="A1063" s="226">
        <v>73</v>
      </c>
      <c r="B1063" s="227" t="s">
        <v>290</v>
      </c>
      <c r="C1063" s="227" t="s">
        <v>23</v>
      </c>
      <c r="D1063" s="227" t="s">
        <v>89</v>
      </c>
      <c r="E1063" s="227" t="s">
        <v>150</v>
      </c>
      <c r="F1063" s="227" t="s">
        <v>150</v>
      </c>
      <c r="G1063" s="233">
        <v>45953</v>
      </c>
      <c r="H1063" s="227"/>
      <c r="I1063" s="175" t="s">
        <v>390</v>
      </c>
      <c r="J1063" s="175"/>
      <c r="K1063" s="175"/>
      <c r="L1063" s="175"/>
      <c r="M1063" s="176"/>
      <c r="N1063" s="176"/>
      <c r="O1063" s="176"/>
      <c r="P1063" s="176"/>
      <c r="Q1063" s="176"/>
      <c r="R1063" s="176"/>
      <c r="S1063" s="176"/>
      <c r="T1063" s="176"/>
      <c r="U1063" s="176"/>
      <c r="V1063" s="176"/>
      <c r="W1063" s="176"/>
      <c r="X1063" s="176"/>
      <c r="Y1063" s="176"/>
      <c r="Z1063" s="176"/>
      <c r="AA1063" s="176"/>
      <c r="AB1063" s="176"/>
      <c r="AC1063" s="176"/>
      <c r="AD1063" s="176"/>
      <c r="AE1063" s="176"/>
      <c r="AF1063" s="176"/>
      <c r="AG1063" s="176"/>
      <c r="AH1063" s="176"/>
      <c r="AI1063" s="176"/>
      <c r="AJ1063" s="176"/>
      <c r="AK1063" s="176"/>
      <c r="AL1063" s="176"/>
      <c r="AM1063" s="176"/>
      <c r="AN1063" s="176"/>
      <c r="AO1063" s="176"/>
      <c r="AP1063" s="176"/>
      <c r="AQ1063" s="176"/>
      <c r="AR1063" s="176"/>
      <c r="AS1063" s="176"/>
      <c r="AT1063" s="176"/>
      <c r="AU1063" s="176"/>
      <c r="AV1063" s="176"/>
      <c r="AW1063" s="176"/>
      <c r="AX1063" s="176"/>
      <c r="AY1063" s="176"/>
      <c r="AZ1063" s="176"/>
      <c r="BA1063" s="176"/>
      <c r="BB1063" s="176"/>
      <c r="BC1063" s="176"/>
      <c r="BD1063" s="176"/>
      <c r="BE1063" s="176"/>
      <c r="BF1063" s="176"/>
      <c r="BG1063" s="176"/>
      <c r="BH1063" s="176"/>
      <c r="BI1063" s="176"/>
      <c r="BJ1063" s="176"/>
      <c r="BK1063" s="176"/>
      <c r="BL1063" s="176"/>
      <c r="BM1063" s="176"/>
      <c r="BN1063" s="176"/>
      <c r="BO1063" s="176"/>
      <c r="BP1063" s="176"/>
      <c r="BQ1063" s="176"/>
      <c r="BR1063" s="176"/>
      <c r="BS1063" s="176"/>
      <c r="BT1063" s="176"/>
      <c r="BU1063" s="176"/>
      <c r="BV1063" s="176"/>
      <c r="BW1063" s="176"/>
      <c r="BX1063" s="176"/>
      <c r="BY1063" s="191"/>
      <c r="BZ1063" s="191"/>
      <c r="CA1063" s="191"/>
      <c r="CC1063" s="182"/>
    </row>
    <row r="1064" spans="1:81" s="178" customFormat="1" ht="15.75" customHeight="1">
      <c r="A1064" s="226"/>
      <c r="B1064" s="227"/>
      <c r="C1064" s="227"/>
      <c r="D1064" s="227"/>
      <c r="E1064" s="227"/>
      <c r="F1064" s="227"/>
      <c r="G1064" s="227"/>
      <c r="H1064" s="227"/>
      <c r="I1064" s="175" t="s">
        <v>351</v>
      </c>
      <c r="J1064" s="175"/>
      <c r="K1064" s="175"/>
      <c r="L1064" s="175"/>
      <c r="M1064" s="176"/>
      <c r="N1064" s="176"/>
      <c r="O1064" s="176"/>
      <c r="P1064" s="176"/>
      <c r="Q1064" s="176"/>
      <c r="R1064" s="176"/>
      <c r="S1064" s="176"/>
      <c r="T1064" s="176"/>
      <c r="U1064" s="176"/>
      <c r="V1064" s="176"/>
      <c r="W1064" s="176"/>
      <c r="X1064" s="176"/>
      <c r="Y1064" s="176"/>
      <c r="Z1064" s="176"/>
      <c r="AA1064" s="176"/>
      <c r="AB1064" s="176"/>
      <c r="AC1064" s="176"/>
      <c r="AD1064" s="176"/>
      <c r="AE1064" s="176"/>
      <c r="AF1064" s="176"/>
      <c r="AG1064" s="176"/>
      <c r="AH1064" s="176"/>
      <c r="AI1064" s="176"/>
      <c r="AJ1064" s="176"/>
      <c r="AK1064" s="176"/>
      <c r="AL1064" s="176"/>
      <c r="AM1064" s="176"/>
      <c r="AN1064" s="176"/>
      <c r="AO1064" s="176"/>
      <c r="AP1064" s="176"/>
      <c r="AQ1064" s="176"/>
      <c r="AR1064" s="176"/>
      <c r="AS1064" s="176"/>
      <c r="AT1064" s="176"/>
      <c r="AU1064" s="176"/>
      <c r="AV1064" s="176"/>
      <c r="AW1064" s="176"/>
      <c r="AX1064" s="176"/>
      <c r="AY1064" s="176"/>
      <c r="AZ1064" s="176"/>
      <c r="BA1064" s="176"/>
      <c r="BB1064" s="176"/>
      <c r="BC1064" s="176"/>
      <c r="BD1064" s="176"/>
      <c r="BE1064" s="176"/>
      <c r="BF1064" s="176"/>
      <c r="BG1064" s="176"/>
      <c r="BH1064" s="176"/>
      <c r="BI1064" s="176"/>
      <c r="BJ1064" s="176"/>
      <c r="BK1064" s="176"/>
      <c r="BL1064" s="176"/>
      <c r="BM1064" s="176"/>
      <c r="BN1064" s="176"/>
      <c r="BO1064" s="176"/>
      <c r="BP1064" s="176"/>
      <c r="BQ1064" s="176"/>
      <c r="BR1064" s="176"/>
      <c r="BS1064" s="176"/>
      <c r="BT1064" s="176">
        <v>1849.81</v>
      </c>
      <c r="BU1064" s="176">
        <v>1849.81</v>
      </c>
      <c r="BV1064" s="176">
        <v>1849.81</v>
      </c>
      <c r="BW1064" s="176">
        <v>1849.81</v>
      </c>
      <c r="BX1064" s="176"/>
      <c r="BY1064" s="191"/>
      <c r="BZ1064" s="191"/>
      <c r="CA1064" s="191"/>
      <c r="CC1064" s="182"/>
    </row>
    <row r="1065" spans="1:81" s="178" customFormat="1" ht="15.75" customHeight="1">
      <c r="A1065" s="226"/>
      <c r="B1065" s="227"/>
      <c r="C1065" s="227"/>
      <c r="D1065" s="227"/>
      <c r="E1065" s="227"/>
      <c r="F1065" s="227"/>
      <c r="G1065" s="227"/>
      <c r="H1065" s="227"/>
      <c r="I1065" s="175" t="s">
        <v>391</v>
      </c>
      <c r="J1065" s="175"/>
      <c r="K1065" s="175"/>
      <c r="L1065" s="175"/>
      <c r="M1065" s="176"/>
      <c r="N1065" s="176"/>
      <c r="O1065" s="176"/>
      <c r="P1065" s="176"/>
      <c r="Q1065" s="176"/>
      <c r="R1065" s="176"/>
      <c r="S1065" s="176"/>
      <c r="T1065" s="176"/>
      <c r="U1065" s="176"/>
      <c r="V1065" s="176"/>
      <c r="W1065" s="176"/>
      <c r="X1065" s="176"/>
      <c r="Y1065" s="177"/>
      <c r="Z1065" s="176"/>
      <c r="AA1065" s="176"/>
      <c r="AB1065" s="176"/>
      <c r="AC1065" s="176"/>
      <c r="AD1065" s="176"/>
      <c r="AE1065" s="176"/>
      <c r="AF1065" s="176"/>
      <c r="AG1065" s="176"/>
      <c r="AH1065" s="176"/>
      <c r="AI1065" s="176"/>
      <c r="AJ1065" s="176"/>
      <c r="AK1065" s="176"/>
      <c r="AL1065" s="176"/>
      <c r="AM1065" s="176"/>
      <c r="AN1065" s="176"/>
      <c r="AO1065" s="176"/>
      <c r="AP1065" s="176"/>
      <c r="AQ1065" s="176"/>
      <c r="AR1065" s="176"/>
      <c r="AS1065" s="176"/>
      <c r="AT1065" s="176"/>
      <c r="AU1065" s="176"/>
      <c r="AV1065" s="176"/>
      <c r="AW1065" s="176"/>
      <c r="AX1065" s="176"/>
      <c r="AY1065" s="176"/>
      <c r="AZ1065" s="176"/>
      <c r="BA1065" s="176"/>
      <c r="BB1065" s="176"/>
      <c r="BC1065" s="176"/>
      <c r="BD1065" s="176"/>
      <c r="BE1065" s="176"/>
      <c r="BF1065" s="176"/>
      <c r="BG1065" s="176"/>
      <c r="BH1065" s="176"/>
      <c r="BI1065" s="176"/>
      <c r="BJ1065" s="176"/>
      <c r="BK1065" s="176"/>
      <c r="BL1065" s="176"/>
      <c r="BM1065" s="176"/>
      <c r="BN1065" s="176"/>
      <c r="BO1065" s="176"/>
      <c r="BP1065" s="176"/>
      <c r="BQ1065" s="176"/>
      <c r="BR1065" s="176"/>
      <c r="BS1065" s="176"/>
      <c r="BT1065" s="176">
        <v>739</v>
      </c>
      <c r="BU1065" s="176">
        <v>739</v>
      </c>
      <c r="BV1065" s="176">
        <v>739</v>
      </c>
      <c r="BW1065" s="176"/>
      <c r="BX1065" s="176"/>
      <c r="BY1065" s="191"/>
      <c r="BZ1065" s="191"/>
      <c r="CA1065" s="191"/>
      <c r="CC1065" s="182"/>
    </row>
    <row r="1066" spans="1:81" s="178" customFormat="1" ht="15.75" customHeight="1">
      <c r="A1066" s="226"/>
      <c r="B1066" s="227"/>
      <c r="C1066" s="227"/>
      <c r="D1066" s="227"/>
      <c r="E1066" s="227"/>
      <c r="F1066" s="227"/>
      <c r="G1066" s="227"/>
      <c r="H1066" s="227"/>
      <c r="I1066" s="175" t="s">
        <v>351</v>
      </c>
      <c r="J1066" s="175"/>
      <c r="K1066" s="175"/>
      <c r="L1066" s="175"/>
      <c r="M1066" s="176"/>
      <c r="N1066" s="176"/>
      <c r="O1066" s="176"/>
      <c r="P1066" s="176"/>
      <c r="Q1066" s="176"/>
      <c r="R1066" s="176"/>
      <c r="S1066" s="176"/>
      <c r="T1066" s="176"/>
      <c r="U1066" s="176"/>
      <c r="V1066" s="176"/>
      <c r="W1066" s="176"/>
      <c r="X1066" s="176"/>
      <c r="Y1066" s="177"/>
      <c r="Z1066" s="176"/>
      <c r="AA1066" s="176"/>
      <c r="AB1066" s="176"/>
      <c r="AC1066" s="176"/>
      <c r="AD1066" s="176"/>
      <c r="AE1066" s="176"/>
      <c r="AF1066" s="176"/>
      <c r="AG1066" s="176"/>
      <c r="AH1066" s="176"/>
      <c r="AI1066" s="176"/>
      <c r="AJ1066" s="176"/>
      <c r="AK1066" s="176"/>
      <c r="AL1066" s="176"/>
      <c r="AM1066" s="176"/>
      <c r="AN1066" s="176"/>
      <c r="AO1066" s="176"/>
      <c r="AP1066" s="176"/>
      <c r="AQ1066" s="176"/>
      <c r="AR1066" s="176"/>
      <c r="AS1066" s="176"/>
      <c r="AT1066" s="176"/>
      <c r="AU1066" s="176"/>
      <c r="AV1066" s="176"/>
      <c r="AW1066" s="176"/>
      <c r="AX1066" s="176"/>
      <c r="AY1066" s="176"/>
      <c r="AZ1066" s="176"/>
      <c r="BA1066" s="176"/>
      <c r="BB1066" s="176"/>
      <c r="BC1066" s="176"/>
      <c r="BD1066" s="176"/>
      <c r="BE1066" s="176"/>
      <c r="BF1066" s="176"/>
      <c r="BG1066" s="176"/>
      <c r="BH1066" s="176"/>
      <c r="BI1066" s="176"/>
      <c r="BJ1066" s="176"/>
      <c r="BK1066" s="176"/>
      <c r="BL1066" s="176"/>
      <c r="BM1066" s="176"/>
      <c r="BN1066" s="176"/>
      <c r="BO1066" s="176"/>
      <c r="BP1066" s="176"/>
      <c r="BQ1066" s="176"/>
      <c r="BR1066" s="176"/>
      <c r="BS1066" s="176"/>
      <c r="BT1066" s="176"/>
      <c r="BU1066" s="176"/>
      <c r="BV1066" s="176"/>
      <c r="BW1066" s="176"/>
      <c r="BX1066" s="176"/>
      <c r="BY1066" s="191"/>
      <c r="BZ1066" s="191"/>
      <c r="CA1066" s="191"/>
      <c r="CC1066" s="182"/>
    </row>
    <row r="1067" spans="1:81" s="178" customFormat="1" ht="15.75" customHeight="1">
      <c r="A1067" s="226"/>
      <c r="B1067" s="227"/>
      <c r="C1067" s="227"/>
      <c r="D1067" s="227"/>
      <c r="E1067" s="227"/>
      <c r="F1067" s="227"/>
      <c r="G1067" s="227"/>
      <c r="H1067" s="227"/>
      <c r="I1067" s="175" t="s">
        <v>353</v>
      </c>
      <c r="J1067" s="175"/>
      <c r="K1067" s="175"/>
      <c r="L1067" s="175"/>
      <c r="M1067" s="176"/>
      <c r="N1067" s="176"/>
      <c r="O1067" s="176"/>
      <c r="P1067" s="176"/>
      <c r="Q1067" s="176"/>
      <c r="R1067" s="176"/>
      <c r="S1067" s="176"/>
      <c r="T1067" s="176"/>
      <c r="U1067" s="176"/>
      <c r="V1067" s="176"/>
      <c r="W1067" s="176"/>
      <c r="X1067" s="176"/>
      <c r="Y1067" s="176"/>
      <c r="Z1067" s="176"/>
      <c r="AA1067" s="176"/>
      <c r="AB1067" s="176"/>
      <c r="AC1067" s="176"/>
      <c r="AD1067" s="176"/>
      <c r="AE1067" s="176"/>
      <c r="AF1067" s="176"/>
      <c r="AG1067" s="176"/>
      <c r="AH1067" s="176"/>
      <c r="AI1067" s="176"/>
      <c r="AJ1067" s="176"/>
      <c r="AK1067" s="176"/>
      <c r="AL1067" s="176"/>
      <c r="AM1067" s="176"/>
      <c r="AN1067" s="176"/>
      <c r="AO1067" s="176"/>
      <c r="AP1067" s="176"/>
      <c r="AQ1067" s="176"/>
      <c r="AR1067" s="176"/>
      <c r="AS1067" s="176"/>
      <c r="AT1067" s="176"/>
      <c r="AU1067" s="176"/>
      <c r="AV1067" s="176"/>
      <c r="AW1067" s="176"/>
      <c r="AX1067" s="176"/>
      <c r="AY1067" s="176"/>
      <c r="AZ1067" s="176"/>
      <c r="BA1067" s="176"/>
      <c r="BB1067" s="176"/>
      <c r="BC1067" s="176"/>
      <c r="BD1067" s="176"/>
      <c r="BE1067" s="176"/>
      <c r="BF1067" s="176"/>
      <c r="BG1067" s="176"/>
      <c r="BH1067" s="176"/>
      <c r="BI1067" s="176"/>
      <c r="BJ1067" s="176"/>
      <c r="BK1067" s="176"/>
      <c r="BL1067" s="176"/>
      <c r="BM1067" s="176"/>
      <c r="BN1067" s="176"/>
      <c r="BO1067" s="176"/>
      <c r="BP1067" s="176"/>
      <c r="BQ1067" s="176"/>
      <c r="BR1067" s="176"/>
      <c r="BS1067" s="176"/>
      <c r="BT1067" s="176"/>
      <c r="BU1067" s="176"/>
      <c r="BV1067" s="176"/>
      <c r="BW1067" s="176"/>
      <c r="BX1067" s="176"/>
      <c r="BY1067" s="191"/>
      <c r="BZ1067" s="191"/>
      <c r="CA1067" s="191"/>
      <c r="CC1067" s="182"/>
    </row>
    <row r="1068" spans="1:81" s="178" customFormat="1" ht="15.75" customHeight="1">
      <c r="A1068" s="226"/>
      <c r="B1068" s="227"/>
      <c r="C1068" s="227"/>
      <c r="D1068" s="227"/>
      <c r="E1068" s="227"/>
      <c r="F1068" s="227"/>
      <c r="G1068" s="227"/>
      <c r="H1068" s="227"/>
      <c r="I1068" s="175" t="s">
        <v>354</v>
      </c>
      <c r="J1068" s="175"/>
      <c r="K1068" s="175"/>
      <c r="L1068" s="175"/>
      <c r="M1068" s="176"/>
      <c r="N1068" s="176"/>
      <c r="O1068" s="176"/>
      <c r="P1068" s="176"/>
      <c r="Q1068" s="176"/>
      <c r="R1068" s="176"/>
      <c r="S1068" s="176"/>
      <c r="T1068" s="176"/>
      <c r="U1068" s="176"/>
      <c r="V1068" s="176"/>
      <c r="W1068" s="176"/>
      <c r="X1068" s="176"/>
      <c r="Y1068" s="176"/>
      <c r="Z1068" s="176"/>
      <c r="AA1068" s="176"/>
      <c r="AB1068" s="176"/>
      <c r="AC1068" s="176"/>
      <c r="AD1068" s="176"/>
      <c r="AE1068" s="176"/>
      <c r="AF1068" s="176"/>
      <c r="AG1068" s="176"/>
      <c r="AH1068" s="176"/>
      <c r="AI1068" s="176"/>
      <c r="AJ1068" s="176"/>
      <c r="AK1068" s="176"/>
      <c r="AL1068" s="176"/>
      <c r="AM1068" s="176"/>
      <c r="AN1068" s="176"/>
      <c r="AO1068" s="176"/>
      <c r="AP1068" s="176"/>
      <c r="AQ1068" s="176"/>
      <c r="AR1068" s="176"/>
      <c r="AS1068" s="176"/>
      <c r="AT1068" s="176"/>
      <c r="AU1068" s="176"/>
      <c r="AV1068" s="176"/>
      <c r="AW1068" s="176"/>
      <c r="AX1068" s="176"/>
      <c r="AY1068" s="176"/>
      <c r="AZ1068" s="176"/>
      <c r="BA1068" s="176"/>
      <c r="BB1068" s="176"/>
      <c r="BC1068" s="176"/>
      <c r="BD1068" s="176"/>
      <c r="BE1068" s="176"/>
      <c r="BF1068" s="176"/>
      <c r="BG1068" s="176"/>
      <c r="BH1068" s="176"/>
      <c r="BI1068" s="176"/>
      <c r="BJ1068" s="176"/>
      <c r="BK1068" s="176"/>
      <c r="BL1068" s="176"/>
      <c r="BM1068" s="176"/>
      <c r="BN1068" s="176"/>
      <c r="BO1068" s="176"/>
      <c r="BP1068" s="176"/>
      <c r="BQ1068" s="176"/>
      <c r="BR1068" s="176"/>
      <c r="BS1068" s="176"/>
      <c r="BT1068" s="176">
        <v>535</v>
      </c>
      <c r="BU1068" s="176">
        <f>231+320</f>
        <v>551</v>
      </c>
      <c r="BV1068" s="176">
        <f>220+320</f>
        <v>540</v>
      </c>
      <c r="BW1068" s="176">
        <f>242+320</f>
        <v>562</v>
      </c>
      <c r="BX1068" s="176"/>
      <c r="BY1068" s="191"/>
      <c r="BZ1068" s="191"/>
      <c r="CA1068" s="191"/>
      <c r="CC1068" s="182"/>
    </row>
    <row r="1069" spans="1:81" s="178" customFormat="1" ht="15.75" customHeight="1">
      <c r="A1069" s="226"/>
      <c r="B1069" s="227"/>
      <c r="C1069" s="227"/>
      <c r="D1069" s="227"/>
      <c r="E1069" s="227"/>
      <c r="F1069" s="227"/>
      <c r="G1069" s="227"/>
      <c r="H1069" s="227"/>
      <c r="I1069" s="175" t="s">
        <v>355</v>
      </c>
      <c r="J1069" s="175"/>
      <c r="K1069" s="175"/>
      <c r="L1069" s="175"/>
      <c r="M1069" s="176"/>
      <c r="N1069" s="176"/>
      <c r="O1069" s="176"/>
      <c r="P1069" s="176"/>
      <c r="Q1069" s="176"/>
      <c r="R1069" s="176"/>
      <c r="S1069" s="176"/>
      <c r="T1069" s="176"/>
      <c r="U1069" s="176"/>
      <c r="V1069" s="176"/>
      <c r="W1069" s="176"/>
      <c r="X1069" s="176"/>
      <c r="Y1069" s="176"/>
      <c r="Z1069" s="176"/>
      <c r="AA1069" s="176"/>
      <c r="AB1069" s="176"/>
      <c r="AC1069" s="176"/>
      <c r="AD1069" s="176"/>
      <c r="AE1069" s="176"/>
      <c r="AF1069" s="176"/>
      <c r="AG1069" s="176"/>
      <c r="AH1069" s="176"/>
      <c r="AI1069" s="176"/>
      <c r="AJ1069" s="176"/>
      <c r="AK1069" s="176"/>
      <c r="AL1069" s="176"/>
      <c r="AM1069" s="176"/>
      <c r="AN1069" s="176"/>
      <c r="AO1069" s="176"/>
      <c r="AP1069" s="176"/>
      <c r="AQ1069" s="176"/>
      <c r="AR1069" s="176"/>
      <c r="AS1069" s="176"/>
      <c r="AT1069" s="176"/>
      <c r="AU1069" s="176"/>
      <c r="AV1069" s="176"/>
      <c r="AW1069" s="176"/>
      <c r="AX1069" s="176"/>
      <c r="AY1069" s="176"/>
      <c r="AZ1069" s="176"/>
      <c r="BA1069" s="176"/>
      <c r="BB1069" s="176"/>
      <c r="BC1069" s="176"/>
      <c r="BD1069" s="176"/>
      <c r="BE1069" s="176"/>
      <c r="BF1069" s="176"/>
      <c r="BG1069" s="176"/>
      <c r="BH1069" s="176"/>
      <c r="BI1069" s="176"/>
      <c r="BJ1069" s="176"/>
      <c r="BK1069" s="176"/>
      <c r="BL1069" s="176"/>
      <c r="BM1069" s="176"/>
      <c r="BN1069" s="176"/>
      <c r="BO1069" s="176"/>
      <c r="BP1069" s="176"/>
      <c r="BQ1069" s="176"/>
      <c r="BR1069" s="176"/>
      <c r="BS1069" s="176"/>
      <c r="BT1069" s="176"/>
      <c r="BU1069" s="176"/>
      <c r="BV1069" s="176"/>
      <c r="BW1069" s="176"/>
      <c r="BX1069" s="176"/>
      <c r="BY1069" s="191"/>
      <c r="BZ1069" s="191"/>
      <c r="CA1069" s="191"/>
      <c r="CC1069" s="182"/>
    </row>
    <row r="1070" spans="1:81" s="178" customFormat="1" ht="15.75" customHeight="1">
      <c r="A1070" s="226"/>
      <c r="B1070" s="227"/>
      <c r="C1070" s="227"/>
      <c r="D1070" s="227"/>
      <c r="E1070" s="227"/>
      <c r="F1070" s="227"/>
      <c r="G1070" s="227"/>
      <c r="H1070" s="227"/>
      <c r="I1070" s="175" t="s">
        <v>357</v>
      </c>
      <c r="J1070" s="175"/>
      <c r="K1070" s="175"/>
      <c r="L1070" s="175"/>
      <c r="M1070" s="176"/>
      <c r="N1070" s="176"/>
      <c r="O1070" s="176"/>
      <c r="P1070" s="176"/>
      <c r="Q1070" s="176"/>
      <c r="R1070" s="176"/>
      <c r="S1070" s="176"/>
      <c r="T1070" s="176"/>
      <c r="U1070" s="176"/>
      <c r="V1070" s="176"/>
      <c r="W1070" s="176"/>
      <c r="X1070" s="176"/>
      <c r="Y1070" s="176"/>
      <c r="Z1070" s="176"/>
      <c r="AA1070" s="176"/>
      <c r="AB1070" s="176"/>
      <c r="AC1070" s="176"/>
      <c r="AD1070" s="176"/>
      <c r="AE1070" s="176"/>
      <c r="AF1070" s="176"/>
      <c r="AG1070" s="176"/>
      <c r="AH1070" s="176"/>
      <c r="AI1070" s="176"/>
      <c r="AJ1070" s="176"/>
      <c r="AK1070" s="176"/>
      <c r="AL1070" s="176"/>
      <c r="AM1070" s="176"/>
      <c r="AN1070" s="176"/>
      <c r="AO1070" s="176"/>
      <c r="AP1070" s="176"/>
      <c r="AQ1070" s="176"/>
      <c r="AR1070" s="176"/>
      <c r="AS1070" s="176"/>
      <c r="AT1070" s="176"/>
      <c r="AU1070" s="176"/>
      <c r="AV1070" s="176"/>
      <c r="AW1070" s="176"/>
      <c r="AX1070" s="176"/>
      <c r="AY1070" s="176"/>
      <c r="AZ1070" s="176"/>
      <c r="BA1070" s="176"/>
      <c r="BB1070" s="176"/>
      <c r="BC1070" s="176"/>
      <c r="BD1070" s="176"/>
      <c r="BE1070" s="176"/>
      <c r="BF1070" s="176"/>
      <c r="BG1070" s="176"/>
      <c r="BH1070" s="176"/>
      <c r="BI1070" s="176"/>
      <c r="BJ1070" s="176"/>
      <c r="BK1070" s="176"/>
      <c r="BL1070" s="176"/>
      <c r="BM1070" s="176"/>
      <c r="BN1070" s="176"/>
      <c r="BO1070" s="176"/>
      <c r="BP1070" s="176"/>
      <c r="BQ1070" s="176"/>
      <c r="BR1070" s="176"/>
      <c r="BS1070" s="176"/>
      <c r="BT1070" s="176"/>
      <c r="BU1070" s="176"/>
      <c r="BV1070" s="176"/>
      <c r="BW1070" s="176"/>
      <c r="BX1070" s="176"/>
      <c r="BY1070" s="191"/>
      <c r="BZ1070" s="191"/>
      <c r="CA1070" s="191"/>
      <c r="CC1070" s="182"/>
    </row>
    <row r="1071" spans="1:81" s="178" customFormat="1" ht="15.75" customHeight="1">
      <c r="A1071" s="226"/>
      <c r="B1071" s="227"/>
      <c r="C1071" s="227"/>
      <c r="D1071" s="227"/>
      <c r="E1071" s="227"/>
      <c r="F1071" s="227"/>
      <c r="G1071" s="227"/>
      <c r="H1071" s="227"/>
      <c r="I1071" s="184" t="s">
        <v>362</v>
      </c>
      <c r="J1071" s="175"/>
      <c r="K1071" s="175"/>
      <c r="L1071" s="175"/>
      <c r="M1071" s="176"/>
      <c r="N1071" s="176"/>
      <c r="O1071" s="176"/>
      <c r="P1071" s="176"/>
      <c r="Q1071" s="176"/>
      <c r="R1071" s="176"/>
      <c r="S1071" s="176"/>
      <c r="T1071" s="176"/>
      <c r="U1071" s="176"/>
      <c r="V1071" s="176"/>
      <c r="W1071" s="176"/>
      <c r="X1071" s="176"/>
      <c r="Y1071" s="176"/>
      <c r="Z1071" s="176"/>
      <c r="AA1071" s="176"/>
      <c r="AB1071" s="176"/>
      <c r="AC1071" s="176"/>
      <c r="AD1071" s="176"/>
      <c r="AE1071" s="176"/>
      <c r="AF1071" s="176"/>
      <c r="AG1071" s="176"/>
      <c r="AH1071" s="176"/>
      <c r="AI1071" s="176"/>
      <c r="AJ1071" s="176"/>
      <c r="AK1071" s="176"/>
      <c r="AL1071" s="176"/>
      <c r="AM1071" s="176"/>
      <c r="AN1071" s="176"/>
      <c r="AO1071" s="176"/>
      <c r="AP1071" s="176"/>
      <c r="AQ1071" s="176"/>
      <c r="AR1071" s="176"/>
      <c r="AS1071" s="176"/>
      <c r="AT1071" s="176"/>
      <c r="AU1071" s="176"/>
      <c r="AV1071" s="176"/>
      <c r="AW1071" s="176"/>
      <c r="AX1071" s="176"/>
      <c r="AY1071" s="176"/>
      <c r="AZ1071" s="176"/>
      <c r="BA1071" s="176"/>
      <c r="BB1071" s="176"/>
      <c r="BC1071" s="176"/>
      <c r="BD1071" s="176"/>
      <c r="BE1071" s="176"/>
      <c r="BF1071" s="176"/>
      <c r="BG1071" s="176"/>
      <c r="BH1071" s="176"/>
      <c r="BI1071" s="176"/>
      <c r="BJ1071" s="176"/>
      <c r="BK1071" s="176"/>
      <c r="BL1071" s="176"/>
      <c r="BM1071" s="176"/>
      <c r="BN1071" s="176"/>
      <c r="BO1071" s="176"/>
      <c r="BP1071" s="176"/>
      <c r="BQ1071" s="176"/>
      <c r="BR1071" s="176"/>
      <c r="BS1071" s="176"/>
      <c r="BT1071" s="176"/>
      <c r="BU1071" s="176"/>
      <c r="BV1071" s="176"/>
      <c r="BW1071" s="176"/>
      <c r="BX1071" s="176"/>
      <c r="BY1071" s="191"/>
      <c r="BZ1071" s="191"/>
      <c r="CA1071" s="191"/>
      <c r="CC1071" s="182"/>
    </row>
    <row r="1072" spans="1:81" s="178" customFormat="1">
      <c r="A1072" s="226"/>
      <c r="B1072" s="227"/>
      <c r="C1072" s="227"/>
      <c r="D1072" s="227"/>
      <c r="E1072" s="227"/>
      <c r="F1072" s="227"/>
      <c r="G1072" s="227"/>
      <c r="H1072" s="227"/>
      <c r="I1072" s="190" t="s">
        <v>363</v>
      </c>
      <c r="J1072" s="190"/>
      <c r="K1072" s="190"/>
      <c r="L1072" s="190"/>
      <c r="M1072" s="176"/>
      <c r="N1072" s="176"/>
      <c r="O1072" s="176"/>
      <c r="P1072" s="176"/>
      <c r="Q1072" s="176"/>
      <c r="R1072" s="176"/>
      <c r="S1072" s="176"/>
      <c r="T1072" s="176"/>
      <c r="U1072" s="176"/>
      <c r="V1072" s="176"/>
      <c r="W1072" s="176"/>
      <c r="X1072" s="176"/>
      <c r="Y1072" s="176"/>
      <c r="Z1072" s="176"/>
      <c r="AA1072" s="176"/>
      <c r="AB1072" s="176"/>
      <c r="AC1072" s="176"/>
      <c r="AD1072" s="176"/>
      <c r="AE1072" s="176"/>
      <c r="AF1072" s="176"/>
      <c r="AG1072" s="176"/>
      <c r="AH1072" s="176"/>
      <c r="AI1072" s="176"/>
      <c r="AJ1072" s="176"/>
      <c r="AK1072" s="176"/>
      <c r="AL1072" s="176"/>
      <c r="AM1072" s="176"/>
      <c r="AN1072" s="176"/>
      <c r="AO1072" s="176"/>
      <c r="AP1072" s="176"/>
      <c r="AQ1072" s="176"/>
      <c r="AR1072" s="176"/>
      <c r="AS1072" s="176"/>
      <c r="AT1072" s="176"/>
      <c r="AU1072" s="176"/>
      <c r="AV1072" s="176"/>
      <c r="AW1072" s="176"/>
      <c r="AX1072" s="176"/>
      <c r="AY1072" s="176"/>
      <c r="AZ1072" s="176"/>
      <c r="BA1072" s="176"/>
      <c r="BB1072" s="176"/>
      <c r="BC1072" s="176"/>
      <c r="BD1072" s="176"/>
      <c r="BE1072" s="176"/>
      <c r="BF1072" s="176"/>
      <c r="BG1072" s="176"/>
      <c r="BH1072" s="176"/>
      <c r="BI1072" s="176"/>
      <c r="BJ1072" s="176"/>
      <c r="BK1072" s="176"/>
      <c r="BL1072" s="176"/>
      <c r="BM1072" s="176"/>
      <c r="BN1072" s="176"/>
      <c r="BO1072" s="176"/>
      <c r="BP1072" s="176"/>
      <c r="BQ1072" s="176"/>
      <c r="BR1072" s="176"/>
      <c r="BS1072" s="176"/>
      <c r="BT1072" s="176"/>
      <c r="BU1072" s="176"/>
      <c r="BV1072" s="176"/>
      <c r="BW1072" s="176"/>
      <c r="BX1072" s="176"/>
      <c r="BY1072" s="191"/>
      <c r="BZ1072" s="191"/>
    </row>
    <row r="1073" spans="1:81" s="178" customFormat="1">
      <c r="A1073" s="226"/>
      <c r="B1073" s="227"/>
      <c r="C1073" s="227"/>
      <c r="D1073" s="227"/>
      <c r="E1073" s="227"/>
      <c r="F1073" s="227"/>
      <c r="G1073" s="227"/>
      <c r="H1073" s="227"/>
      <c r="I1073" s="193" t="s">
        <v>373</v>
      </c>
      <c r="J1073" s="193"/>
      <c r="K1073" s="193"/>
      <c r="L1073" s="193"/>
      <c r="M1073" s="176"/>
      <c r="N1073" s="176"/>
      <c r="O1073" s="176"/>
      <c r="P1073" s="176"/>
      <c r="Q1073" s="176"/>
      <c r="R1073" s="176"/>
      <c r="S1073" s="176"/>
      <c r="T1073" s="176"/>
      <c r="U1073" s="176"/>
      <c r="V1073" s="176"/>
      <c r="W1073" s="176"/>
      <c r="X1073" s="176"/>
      <c r="Y1073" s="176"/>
      <c r="Z1073" s="176"/>
      <c r="AA1073" s="176"/>
      <c r="AB1073" s="176"/>
      <c r="AC1073" s="176"/>
      <c r="AD1073" s="176"/>
      <c r="AE1073" s="176"/>
      <c r="AF1073" s="176"/>
      <c r="AG1073" s="176"/>
      <c r="AH1073" s="176"/>
      <c r="AI1073" s="176"/>
      <c r="AJ1073" s="176"/>
      <c r="AK1073" s="176"/>
      <c r="AL1073" s="176"/>
      <c r="AM1073" s="176"/>
      <c r="AN1073" s="176"/>
      <c r="AO1073" s="176"/>
      <c r="AP1073" s="176"/>
      <c r="AQ1073" s="176"/>
      <c r="AR1073" s="176"/>
      <c r="AS1073" s="176"/>
      <c r="AT1073" s="176"/>
      <c r="AU1073" s="176"/>
      <c r="AV1073" s="176"/>
      <c r="AW1073" s="176"/>
      <c r="AX1073" s="176"/>
      <c r="AY1073" s="176"/>
      <c r="AZ1073" s="176"/>
      <c r="BA1073" s="176"/>
      <c r="BB1073" s="176"/>
      <c r="BC1073" s="176"/>
      <c r="BD1073" s="176"/>
      <c r="BE1073" s="176"/>
      <c r="BF1073" s="176"/>
      <c r="BG1073" s="176"/>
      <c r="BH1073" s="176"/>
      <c r="BI1073" s="176"/>
      <c r="BJ1073" s="176"/>
      <c r="BK1073" s="176"/>
      <c r="BL1073" s="176"/>
      <c r="BM1073" s="176"/>
      <c r="BN1073" s="176"/>
      <c r="BO1073" s="176"/>
      <c r="BP1073" s="176"/>
      <c r="BQ1073" s="176"/>
      <c r="BR1073" s="176"/>
      <c r="BS1073" s="176"/>
      <c r="BT1073" s="176">
        <v>1158.33</v>
      </c>
      <c r="BU1073" s="176">
        <v>1158.33</v>
      </c>
      <c r="BV1073" s="176">
        <v>1158.33</v>
      </c>
      <c r="BW1073" s="176">
        <f>1001.08-739.92</f>
        <v>261.16000000000008</v>
      </c>
      <c r="BX1073" s="176"/>
      <c r="BY1073" s="191"/>
      <c r="BZ1073" s="191"/>
    </row>
    <row r="1074" spans="1:81" s="178" customFormat="1">
      <c r="A1074" s="226"/>
      <c r="B1074" s="227"/>
      <c r="C1074" s="227"/>
      <c r="D1074" s="227"/>
      <c r="E1074" s="227"/>
      <c r="F1074" s="227"/>
      <c r="G1074" s="227"/>
      <c r="H1074" s="227"/>
      <c r="I1074" s="190"/>
      <c r="J1074" s="176">
        <f>SUM(J1063:J1072)-J1073</f>
        <v>0</v>
      </c>
      <c r="K1074" s="176">
        <f t="shared" ref="K1074:Y1074" si="530">SUM(K1063:K1072)-K1073</f>
        <v>0</v>
      </c>
      <c r="L1074" s="176">
        <f t="shared" si="530"/>
        <v>0</v>
      </c>
      <c r="M1074" s="176">
        <f t="shared" si="530"/>
        <v>0</v>
      </c>
      <c r="N1074" s="176">
        <f t="shared" si="530"/>
        <v>0</v>
      </c>
      <c r="O1074" s="176">
        <f t="shared" si="530"/>
        <v>0</v>
      </c>
      <c r="P1074" s="176">
        <f t="shared" si="530"/>
        <v>0</v>
      </c>
      <c r="Q1074" s="176">
        <f t="shared" si="530"/>
        <v>0</v>
      </c>
      <c r="R1074" s="176">
        <f t="shared" si="530"/>
        <v>0</v>
      </c>
      <c r="S1074" s="176">
        <f t="shared" si="530"/>
        <v>0</v>
      </c>
      <c r="T1074" s="176">
        <f t="shared" si="530"/>
        <v>0</v>
      </c>
      <c r="U1074" s="176">
        <f t="shared" si="530"/>
        <v>0</v>
      </c>
      <c r="V1074" s="176">
        <f t="shared" si="530"/>
        <v>0</v>
      </c>
      <c r="W1074" s="176">
        <f t="shared" si="530"/>
        <v>0</v>
      </c>
      <c r="X1074" s="176">
        <f t="shared" si="530"/>
        <v>0</v>
      </c>
      <c r="Y1074" s="176">
        <f t="shared" si="530"/>
        <v>0</v>
      </c>
      <c r="Z1074" s="176">
        <f>SUM(Z1063:Z1072)-Z1073</f>
        <v>0</v>
      </c>
      <c r="AA1074" s="176">
        <f t="shared" ref="AA1074:AD1074" si="531">SUM(AA1063:AA1072)-AA1073</f>
        <v>0</v>
      </c>
      <c r="AB1074" s="176">
        <f t="shared" si="531"/>
        <v>0</v>
      </c>
      <c r="AC1074" s="176">
        <f t="shared" si="531"/>
        <v>0</v>
      </c>
      <c r="AD1074" s="176">
        <f t="shared" si="531"/>
        <v>0</v>
      </c>
      <c r="AE1074" s="176">
        <f>SUM(AE1063:AE1072)-AE1073</f>
        <v>0</v>
      </c>
      <c r="AF1074" s="176">
        <f>SUM(AF1063:AF1072)-AF1073</f>
        <v>0</v>
      </c>
      <c r="AG1074" s="176">
        <f t="shared" ref="AG1074:AU1074" si="532">SUM(AG1063:AG1072)-AG1073</f>
        <v>0</v>
      </c>
      <c r="AH1074" s="176">
        <f t="shared" si="532"/>
        <v>0</v>
      </c>
      <c r="AI1074" s="176">
        <f t="shared" si="532"/>
        <v>0</v>
      </c>
      <c r="AJ1074" s="176">
        <f t="shared" si="532"/>
        <v>0</v>
      </c>
      <c r="AK1074" s="176">
        <f t="shared" si="532"/>
        <v>0</v>
      </c>
      <c r="AL1074" s="176">
        <f t="shared" si="532"/>
        <v>0</v>
      </c>
      <c r="AM1074" s="176">
        <f t="shared" si="532"/>
        <v>0</v>
      </c>
      <c r="AN1074" s="176">
        <f t="shared" si="532"/>
        <v>0</v>
      </c>
      <c r="AO1074" s="176">
        <f t="shared" si="532"/>
        <v>0</v>
      </c>
      <c r="AP1074" s="176">
        <f t="shared" si="532"/>
        <v>0</v>
      </c>
      <c r="AQ1074" s="176">
        <f t="shared" si="532"/>
        <v>0</v>
      </c>
      <c r="AR1074" s="176">
        <f t="shared" si="532"/>
        <v>0</v>
      </c>
      <c r="AS1074" s="176">
        <f t="shared" si="532"/>
        <v>0</v>
      </c>
      <c r="AT1074" s="176">
        <f t="shared" si="532"/>
        <v>0</v>
      </c>
      <c r="AU1074" s="176">
        <f t="shared" si="532"/>
        <v>0</v>
      </c>
      <c r="AV1074" s="176">
        <f>SUM(AV1063:AV1072)-AV1073</f>
        <v>0</v>
      </c>
      <c r="AW1074" s="176">
        <f t="shared" ref="AW1074:BA1074" si="533">SUM(AW1063:AW1072)-AW1073</f>
        <v>0</v>
      </c>
      <c r="AX1074" s="176">
        <f t="shared" si="533"/>
        <v>0</v>
      </c>
      <c r="AY1074" s="176">
        <f t="shared" si="533"/>
        <v>0</v>
      </c>
      <c r="AZ1074" s="176">
        <f t="shared" si="533"/>
        <v>0</v>
      </c>
      <c r="BA1074" s="176">
        <f t="shared" si="533"/>
        <v>0</v>
      </c>
      <c r="BB1074" s="176"/>
      <c r="BC1074" s="176"/>
      <c r="BD1074" s="176"/>
      <c r="BE1074" s="176"/>
      <c r="BF1074" s="176"/>
      <c r="BG1074" s="176"/>
      <c r="BH1074" s="176"/>
      <c r="BI1074" s="176"/>
      <c r="BJ1074" s="176"/>
      <c r="BK1074" s="176"/>
      <c r="BL1074" s="176"/>
      <c r="BM1074" s="176">
        <f>BM1064+BM1070-BM1073+BM1068</f>
        <v>0</v>
      </c>
      <c r="BN1074" s="176">
        <f>BN1064+BN1070-BN1073+BN1068</f>
        <v>0</v>
      </c>
      <c r="BO1074" s="176">
        <f>BO1064+BO1070-BO1073+BO1068</f>
        <v>0</v>
      </c>
      <c r="BP1074" s="176">
        <f>BP1064+BP1070-BP1073+BP1068</f>
        <v>0</v>
      </c>
      <c r="BQ1074" s="176"/>
      <c r="BR1074" s="176"/>
      <c r="BS1074" s="176"/>
      <c r="BT1074" s="176">
        <f>BT1064+BT1065+BT1068-BT1073</f>
        <v>1965.48</v>
      </c>
      <c r="BU1074" s="176">
        <f>BU1064+BU1065+BU1068-BU1073</f>
        <v>1981.48</v>
      </c>
      <c r="BV1074" s="176">
        <f>BV1064+BV1065+BV1068-BV1073</f>
        <v>1970.48</v>
      </c>
      <c r="BW1074" s="176">
        <f>BW1064+BW1068-BW1073</f>
        <v>2150.6499999999996</v>
      </c>
      <c r="BX1074" s="176">
        <f>SUM(BD1074:BW1074)</f>
        <v>8068.09</v>
      </c>
      <c r="BY1074" s="191"/>
      <c r="BZ1074" s="191"/>
    </row>
    <row r="1075" spans="1:81" ht="15.6" customHeight="1">
      <c r="A1075" s="148" t="s">
        <v>346</v>
      </c>
      <c r="B1075" s="148" t="s">
        <v>347</v>
      </c>
      <c r="C1075" s="145" t="s">
        <v>310</v>
      </c>
      <c r="D1075" s="145" t="s">
        <v>311</v>
      </c>
      <c r="E1075" s="148" t="s">
        <v>312</v>
      </c>
      <c r="F1075" s="148" t="s">
        <v>348</v>
      </c>
      <c r="G1075" s="145" t="s">
        <v>314</v>
      </c>
      <c r="H1075" s="145" t="s">
        <v>315</v>
      </c>
      <c r="I1075" s="145" t="s">
        <v>349</v>
      </c>
      <c r="J1075" s="146">
        <v>44105</v>
      </c>
      <c r="K1075" s="146">
        <v>44136</v>
      </c>
      <c r="L1075" s="146">
        <v>44166</v>
      </c>
      <c r="M1075" s="146">
        <v>44197</v>
      </c>
      <c r="N1075" s="146">
        <v>44228</v>
      </c>
      <c r="O1075" s="146">
        <v>44256</v>
      </c>
      <c r="P1075" s="146">
        <v>44287</v>
      </c>
      <c r="Q1075" s="146">
        <v>44317</v>
      </c>
      <c r="R1075" s="146">
        <v>44348</v>
      </c>
      <c r="S1075" s="146">
        <v>44378</v>
      </c>
      <c r="T1075" s="146">
        <v>44409</v>
      </c>
      <c r="U1075" s="146">
        <v>44440</v>
      </c>
      <c r="V1075" s="146">
        <v>44470</v>
      </c>
      <c r="W1075" s="146">
        <v>44501</v>
      </c>
      <c r="X1075" s="146">
        <v>44531</v>
      </c>
      <c r="Y1075" s="146">
        <v>44562</v>
      </c>
      <c r="Z1075" s="146">
        <v>44593</v>
      </c>
      <c r="AA1075" s="146">
        <v>44621</v>
      </c>
      <c r="AB1075" s="146">
        <v>44652</v>
      </c>
      <c r="AC1075" s="146">
        <v>44682</v>
      </c>
      <c r="AD1075" s="146">
        <v>44713</v>
      </c>
      <c r="AE1075" s="146">
        <v>44743</v>
      </c>
      <c r="AF1075" s="146">
        <v>44774</v>
      </c>
      <c r="AG1075" s="146">
        <v>44805</v>
      </c>
      <c r="AH1075" s="146">
        <v>44835</v>
      </c>
      <c r="AI1075" s="146">
        <v>44866</v>
      </c>
      <c r="AJ1075" s="146">
        <v>44896</v>
      </c>
      <c r="AK1075" s="146">
        <v>44927</v>
      </c>
      <c r="AL1075" s="146">
        <v>44958</v>
      </c>
      <c r="AM1075" s="146">
        <v>44986</v>
      </c>
      <c r="AN1075" s="146">
        <v>45017</v>
      </c>
      <c r="AO1075" s="146">
        <v>45047</v>
      </c>
      <c r="AP1075" s="146">
        <v>45078</v>
      </c>
      <c r="AQ1075" s="146">
        <v>45108</v>
      </c>
      <c r="AR1075" s="146">
        <v>45139</v>
      </c>
      <c r="AS1075" s="146">
        <v>45170</v>
      </c>
      <c r="AT1075" s="146">
        <v>45200</v>
      </c>
      <c r="AU1075" s="146">
        <v>45231</v>
      </c>
      <c r="AV1075" s="146">
        <v>45261</v>
      </c>
      <c r="AW1075" s="146">
        <v>45292</v>
      </c>
      <c r="AX1075" s="146">
        <v>45323</v>
      </c>
      <c r="AY1075" s="146">
        <v>45352</v>
      </c>
      <c r="AZ1075" s="146">
        <v>45383</v>
      </c>
      <c r="BA1075" s="146">
        <v>45413</v>
      </c>
      <c r="BB1075" s="146">
        <v>45444</v>
      </c>
      <c r="BC1075" s="146">
        <v>45474</v>
      </c>
      <c r="BD1075" s="146">
        <v>45505</v>
      </c>
      <c r="BE1075" s="146">
        <v>45536</v>
      </c>
      <c r="BF1075" s="146">
        <v>45566</v>
      </c>
      <c r="BG1075" s="146">
        <v>45597</v>
      </c>
      <c r="BH1075" s="146">
        <v>45627</v>
      </c>
      <c r="BI1075" s="146">
        <v>45658</v>
      </c>
      <c r="BJ1075" s="146">
        <v>45689</v>
      </c>
      <c r="BK1075" s="146">
        <v>45717</v>
      </c>
      <c r="BL1075" s="146">
        <v>45748</v>
      </c>
      <c r="BM1075" s="146">
        <v>45778</v>
      </c>
      <c r="BN1075" s="146">
        <v>45809</v>
      </c>
      <c r="BO1075" s="146">
        <v>45839</v>
      </c>
      <c r="BP1075" s="146">
        <v>45870</v>
      </c>
      <c r="BQ1075" s="146">
        <v>45901</v>
      </c>
      <c r="BR1075" s="146">
        <v>45931</v>
      </c>
      <c r="BS1075" s="146">
        <v>45962</v>
      </c>
      <c r="BT1075" s="146">
        <v>45992</v>
      </c>
      <c r="BU1075" s="146">
        <v>46023</v>
      </c>
      <c r="BV1075" s="146">
        <v>46054</v>
      </c>
      <c r="BW1075" s="146">
        <v>46082</v>
      </c>
      <c r="BX1075" s="147" t="s">
        <v>13</v>
      </c>
      <c r="BY1075" s="5"/>
      <c r="BZ1075" s="5"/>
      <c r="CA1075" s="5"/>
    </row>
    <row r="1076" spans="1:81" s="178" customFormat="1" ht="15.75" customHeight="1">
      <c r="A1076" s="226">
        <v>73</v>
      </c>
      <c r="B1076" s="227" t="s">
        <v>291</v>
      </c>
      <c r="C1076" s="227" t="s">
        <v>23</v>
      </c>
      <c r="D1076" s="227" t="s">
        <v>89</v>
      </c>
      <c r="E1076" s="227" t="s">
        <v>150</v>
      </c>
      <c r="F1076" s="227" t="s">
        <v>150</v>
      </c>
      <c r="G1076" s="233">
        <v>45953</v>
      </c>
      <c r="H1076" s="227"/>
      <c r="I1076" s="175" t="s">
        <v>390</v>
      </c>
      <c r="J1076" s="175"/>
      <c r="K1076" s="175"/>
      <c r="L1076" s="175"/>
      <c r="M1076" s="176"/>
      <c r="N1076" s="176"/>
      <c r="O1076" s="176"/>
      <c r="P1076" s="176"/>
      <c r="Q1076" s="176"/>
      <c r="R1076" s="176"/>
      <c r="S1076" s="176"/>
      <c r="T1076" s="176"/>
      <c r="U1076" s="176"/>
      <c r="V1076" s="176"/>
      <c r="W1076" s="176"/>
      <c r="X1076" s="176"/>
      <c r="Y1076" s="176"/>
      <c r="Z1076" s="176"/>
      <c r="AA1076" s="176"/>
      <c r="AB1076" s="176"/>
      <c r="AC1076" s="176"/>
      <c r="AD1076" s="176"/>
      <c r="AE1076" s="176"/>
      <c r="AF1076" s="176"/>
      <c r="AG1076" s="176"/>
      <c r="AH1076" s="176"/>
      <c r="AI1076" s="176"/>
      <c r="AJ1076" s="176"/>
      <c r="AK1076" s="176"/>
      <c r="AL1076" s="176"/>
      <c r="AM1076" s="176"/>
      <c r="AN1076" s="176"/>
      <c r="AO1076" s="176"/>
      <c r="AP1076" s="176"/>
      <c r="AQ1076" s="176"/>
      <c r="AR1076" s="176"/>
      <c r="AS1076" s="176"/>
      <c r="AT1076" s="176"/>
      <c r="AU1076" s="176"/>
      <c r="AV1076" s="176"/>
      <c r="AW1076" s="176"/>
      <c r="AX1076" s="176"/>
      <c r="AY1076" s="176"/>
      <c r="AZ1076" s="176"/>
      <c r="BA1076" s="176"/>
      <c r="BB1076" s="176"/>
      <c r="BC1076" s="176"/>
      <c r="BD1076" s="176"/>
      <c r="BE1076" s="176"/>
      <c r="BF1076" s="176"/>
      <c r="BG1076" s="176"/>
      <c r="BH1076" s="176"/>
      <c r="BI1076" s="176"/>
      <c r="BJ1076" s="176"/>
      <c r="BK1076" s="176"/>
      <c r="BL1076" s="176"/>
      <c r="BM1076" s="176"/>
      <c r="BN1076" s="176"/>
      <c r="BO1076" s="176"/>
      <c r="BP1076" s="176"/>
      <c r="BQ1076" s="176"/>
      <c r="BR1076" s="176"/>
      <c r="BS1076" s="176"/>
      <c r="BT1076" s="176"/>
      <c r="BU1076" s="176"/>
      <c r="BV1076" s="176"/>
      <c r="BW1076" s="176"/>
      <c r="BX1076" s="176"/>
      <c r="BY1076" s="191"/>
      <c r="BZ1076" s="191"/>
      <c r="CA1076" s="191"/>
      <c r="CC1076" s="182"/>
    </row>
    <row r="1077" spans="1:81" s="178" customFormat="1" ht="15.75" customHeight="1">
      <c r="A1077" s="226"/>
      <c r="B1077" s="227"/>
      <c r="C1077" s="227"/>
      <c r="D1077" s="227"/>
      <c r="E1077" s="227"/>
      <c r="F1077" s="227"/>
      <c r="G1077" s="227"/>
      <c r="H1077" s="227"/>
      <c r="I1077" s="175" t="s">
        <v>351</v>
      </c>
      <c r="J1077" s="175"/>
      <c r="K1077" s="175"/>
      <c r="L1077" s="175"/>
      <c r="M1077" s="176"/>
      <c r="N1077" s="176"/>
      <c r="O1077" s="176"/>
      <c r="P1077" s="176"/>
      <c r="Q1077" s="176"/>
      <c r="R1077" s="176"/>
      <c r="S1077" s="176"/>
      <c r="T1077" s="176"/>
      <c r="U1077" s="176"/>
      <c r="V1077" s="176"/>
      <c r="W1077" s="176"/>
      <c r="X1077" s="176"/>
      <c r="Y1077" s="176"/>
      <c r="Z1077" s="176"/>
      <c r="AA1077" s="176"/>
      <c r="AB1077" s="176"/>
      <c r="AC1077" s="176"/>
      <c r="AD1077" s="176"/>
      <c r="AE1077" s="176"/>
      <c r="AF1077" s="176"/>
      <c r="AG1077" s="176"/>
      <c r="AH1077" s="176"/>
      <c r="AI1077" s="176"/>
      <c r="AJ1077" s="176"/>
      <c r="AK1077" s="176"/>
      <c r="AL1077" s="176"/>
      <c r="AM1077" s="176"/>
      <c r="AN1077" s="176"/>
      <c r="AO1077" s="176"/>
      <c r="AP1077" s="176"/>
      <c r="AQ1077" s="176"/>
      <c r="AR1077" s="176"/>
      <c r="AS1077" s="176"/>
      <c r="AT1077" s="176"/>
      <c r="AU1077" s="176"/>
      <c r="AV1077" s="176"/>
      <c r="AW1077" s="176"/>
      <c r="AX1077" s="176"/>
      <c r="AY1077" s="176"/>
      <c r="AZ1077" s="176"/>
      <c r="BA1077" s="176"/>
      <c r="BB1077" s="176"/>
      <c r="BC1077" s="176"/>
      <c r="BD1077" s="176"/>
      <c r="BE1077" s="176"/>
      <c r="BF1077" s="176"/>
      <c r="BG1077" s="176"/>
      <c r="BH1077" s="176"/>
      <c r="BI1077" s="176"/>
      <c r="BJ1077" s="176"/>
      <c r="BK1077" s="176"/>
      <c r="BL1077" s="176"/>
      <c r="BM1077" s="176"/>
      <c r="BN1077" s="176"/>
      <c r="BO1077" s="176"/>
      <c r="BP1077" s="176"/>
      <c r="BQ1077" s="176"/>
      <c r="BR1077" s="176"/>
      <c r="BS1077" s="176"/>
      <c r="BT1077" s="176">
        <v>1849.81</v>
      </c>
      <c r="BU1077" s="176">
        <v>1849.81</v>
      </c>
      <c r="BV1077" s="176">
        <v>1849.81</v>
      </c>
      <c r="BW1077" s="176">
        <v>1849.81</v>
      </c>
      <c r="BX1077" s="176"/>
      <c r="BY1077" s="191"/>
      <c r="BZ1077" s="191"/>
      <c r="CA1077" s="191"/>
      <c r="CC1077" s="182"/>
    </row>
    <row r="1078" spans="1:81" s="178" customFormat="1" ht="15.75" customHeight="1">
      <c r="A1078" s="226"/>
      <c r="B1078" s="227"/>
      <c r="C1078" s="227"/>
      <c r="D1078" s="227"/>
      <c r="E1078" s="227"/>
      <c r="F1078" s="227"/>
      <c r="G1078" s="227"/>
      <c r="H1078" s="227"/>
      <c r="I1078" s="175" t="s">
        <v>391</v>
      </c>
      <c r="J1078" s="175"/>
      <c r="K1078" s="175"/>
      <c r="L1078" s="175"/>
      <c r="M1078" s="176"/>
      <c r="N1078" s="176"/>
      <c r="O1078" s="176"/>
      <c r="P1078" s="176"/>
      <c r="Q1078" s="176"/>
      <c r="R1078" s="176"/>
      <c r="S1078" s="176"/>
      <c r="T1078" s="176"/>
      <c r="U1078" s="176"/>
      <c r="V1078" s="176"/>
      <c r="W1078" s="176"/>
      <c r="X1078" s="176"/>
      <c r="Y1078" s="177"/>
      <c r="Z1078" s="176"/>
      <c r="AA1078" s="176"/>
      <c r="AB1078" s="176"/>
      <c r="AC1078" s="176"/>
      <c r="AD1078" s="176"/>
      <c r="AE1078" s="176"/>
      <c r="AF1078" s="176"/>
      <c r="AG1078" s="176"/>
      <c r="AH1078" s="176"/>
      <c r="AI1078" s="176"/>
      <c r="AJ1078" s="176"/>
      <c r="AK1078" s="176"/>
      <c r="AL1078" s="176"/>
      <c r="AM1078" s="176"/>
      <c r="AN1078" s="176"/>
      <c r="AO1078" s="176"/>
      <c r="AP1078" s="176"/>
      <c r="AQ1078" s="176"/>
      <c r="AR1078" s="176"/>
      <c r="AS1078" s="176"/>
      <c r="AT1078" s="176"/>
      <c r="AU1078" s="176"/>
      <c r="AV1078" s="176"/>
      <c r="AW1078" s="176"/>
      <c r="AX1078" s="176"/>
      <c r="AY1078" s="176"/>
      <c r="AZ1078" s="176"/>
      <c r="BA1078" s="176"/>
      <c r="BB1078" s="176"/>
      <c r="BC1078" s="176"/>
      <c r="BD1078" s="176"/>
      <c r="BE1078" s="176"/>
      <c r="BF1078" s="176"/>
      <c r="BG1078" s="176"/>
      <c r="BH1078" s="176"/>
      <c r="BI1078" s="176"/>
      <c r="BJ1078" s="176"/>
      <c r="BK1078" s="176"/>
      <c r="BL1078" s="176"/>
      <c r="BM1078" s="176"/>
      <c r="BN1078" s="176"/>
      <c r="BO1078" s="176"/>
      <c r="BP1078" s="176"/>
      <c r="BQ1078" s="176"/>
      <c r="BR1078" s="176"/>
      <c r="BS1078" s="176"/>
      <c r="BT1078" s="176">
        <v>739</v>
      </c>
      <c r="BU1078" s="176">
        <v>739</v>
      </c>
      <c r="BV1078" s="176">
        <v>739</v>
      </c>
      <c r="BW1078" s="176"/>
      <c r="BX1078" s="176"/>
      <c r="BY1078" s="191"/>
      <c r="BZ1078" s="191"/>
      <c r="CA1078" s="191"/>
      <c r="CC1078" s="182"/>
    </row>
    <row r="1079" spans="1:81" s="178" customFormat="1" ht="15.75" customHeight="1">
      <c r="A1079" s="226"/>
      <c r="B1079" s="227"/>
      <c r="C1079" s="227"/>
      <c r="D1079" s="227"/>
      <c r="E1079" s="227"/>
      <c r="F1079" s="227"/>
      <c r="G1079" s="227"/>
      <c r="H1079" s="227"/>
      <c r="I1079" s="175" t="s">
        <v>351</v>
      </c>
      <c r="J1079" s="175"/>
      <c r="K1079" s="175"/>
      <c r="L1079" s="175"/>
      <c r="M1079" s="176"/>
      <c r="N1079" s="176"/>
      <c r="O1079" s="176"/>
      <c r="P1079" s="176"/>
      <c r="Q1079" s="176"/>
      <c r="R1079" s="176"/>
      <c r="S1079" s="176"/>
      <c r="T1079" s="176"/>
      <c r="U1079" s="176"/>
      <c r="V1079" s="176"/>
      <c r="W1079" s="176"/>
      <c r="X1079" s="176"/>
      <c r="Y1079" s="177"/>
      <c r="Z1079" s="176"/>
      <c r="AA1079" s="176"/>
      <c r="AB1079" s="176"/>
      <c r="AC1079" s="176"/>
      <c r="AD1079" s="176"/>
      <c r="AE1079" s="176"/>
      <c r="AF1079" s="176"/>
      <c r="AG1079" s="176"/>
      <c r="AH1079" s="176"/>
      <c r="AI1079" s="176"/>
      <c r="AJ1079" s="176"/>
      <c r="AK1079" s="176"/>
      <c r="AL1079" s="176"/>
      <c r="AM1079" s="176"/>
      <c r="AN1079" s="176"/>
      <c r="AO1079" s="176"/>
      <c r="AP1079" s="176"/>
      <c r="AQ1079" s="176"/>
      <c r="AR1079" s="176"/>
      <c r="AS1079" s="176"/>
      <c r="AT1079" s="176"/>
      <c r="AU1079" s="176"/>
      <c r="AV1079" s="176"/>
      <c r="AW1079" s="176"/>
      <c r="AX1079" s="176"/>
      <c r="AY1079" s="176"/>
      <c r="AZ1079" s="176"/>
      <c r="BA1079" s="176"/>
      <c r="BB1079" s="176"/>
      <c r="BC1079" s="176"/>
      <c r="BD1079" s="176"/>
      <c r="BE1079" s="176"/>
      <c r="BF1079" s="176"/>
      <c r="BG1079" s="176"/>
      <c r="BH1079" s="176"/>
      <c r="BI1079" s="176"/>
      <c r="BJ1079" s="176"/>
      <c r="BK1079" s="176"/>
      <c r="BL1079" s="176"/>
      <c r="BM1079" s="176"/>
      <c r="BN1079" s="176"/>
      <c r="BO1079" s="176"/>
      <c r="BP1079" s="176"/>
      <c r="BQ1079" s="176"/>
      <c r="BR1079" s="176"/>
      <c r="BS1079" s="176"/>
      <c r="BT1079" s="176"/>
      <c r="BU1079" s="176"/>
      <c r="BV1079" s="176"/>
      <c r="BW1079" s="176"/>
      <c r="BX1079" s="176"/>
      <c r="BY1079" s="191"/>
      <c r="BZ1079" s="191"/>
      <c r="CA1079" s="191"/>
      <c r="CC1079" s="182"/>
    </row>
    <row r="1080" spans="1:81" s="178" customFormat="1" ht="15.75" customHeight="1">
      <c r="A1080" s="226"/>
      <c r="B1080" s="227"/>
      <c r="C1080" s="227"/>
      <c r="D1080" s="227"/>
      <c r="E1080" s="227"/>
      <c r="F1080" s="227"/>
      <c r="G1080" s="227"/>
      <c r="H1080" s="227"/>
      <c r="I1080" s="175" t="s">
        <v>353</v>
      </c>
      <c r="J1080" s="175"/>
      <c r="K1080" s="175"/>
      <c r="L1080" s="175"/>
      <c r="M1080" s="176"/>
      <c r="N1080" s="176"/>
      <c r="O1080" s="176"/>
      <c r="P1080" s="176"/>
      <c r="Q1080" s="176"/>
      <c r="R1080" s="176"/>
      <c r="S1080" s="176"/>
      <c r="T1080" s="176"/>
      <c r="U1080" s="176"/>
      <c r="V1080" s="176"/>
      <c r="W1080" s="176"/>
      <c r="X1080" s="176"/>
      <c r="Y1080" s="176"/>
      <c r="Z1080" s="176"/>
      <c r="AA1080" s="176"/>
      <c r="AB1080" s="176"/>
      <c r="AC1080" s="176"/>
      <c r="AD1080" s="176"/>
      <c r="AE1080" s="176"/>
      <c r="AF1080" s="176"/>
      <c r="AG1080" s="176"/>
      <c r="AH1080" s="176"/>
      <c r="AI1080" s="176"/>
      <c r="AJ1080" s="176"/>
      <c r="AK1080" s="176"/>
      <c r="AL1080" s="176"/>
      <c r="AM1080" s="176"/>
      <c r="AN1080" s="176"/>
      <c r="AO1080" s="176"/>
      <c r="AP1080" s="176"/>
      <c r="AQ1080" s="176"/>
      <c r="AR1080" s="176"/>
      <c r="AS1080" s="176"/>
      <c r="AT1080" s="176"/>
      <c r="AU1080" s="176"/>
      <c r="AV1080" s="176"/>
      <c r="AW1080" s="176"/>
      <c r="AX1080" s="176"/>
      <c r="AY1080" s="176"/>
      <c r="AZ1080" s="176"/>
      <c r="BA1080" s="176"/>
      <c r="BB1080" s="176"/>
      <c r="BC1080" s="176"/>
      <c r="BD1080" s="176"/>
      <c r="BE1080" s="176"/>
      <c r="BF1080" s="176"/>
      <c r="BG1080" s="176"/>
      <c r="BH1080" s="176"/>
      <c r="BI1080" s="176"/>
      <c r="BJ1080" s="176"/>
      <c r="BK1080" s="176"/>
      <c r="BL1080" s="176"/>
      <c r="BM1080" s="176"/>
      <c r="BN1080" s="176"/>
      <c r="BO1080" s="176"/>
      <c r="BP1080" s="176"/>
      <c r="BQ1080" s="176"/>
      <c r="BR1080" s="176"/>
      <c r="BS1080" s="176"/>
      <c r="BT1080" s="176"/>
      <c r="BU1080" s="176"/>
      <c r="BV1080" s="176"/>
      <c r="BW1080" s="176"/>
      <c r="BX1080" s="176"/>
      <c r="BY1080" s="191"/>
      <c r="BZ1080" s="191"/>
      <c r="CA1080" s="191"/>
      <c r="CC1080" s="182"/>
    </row>
    <row r="1081" spans="1:81" s="178" customFormat="1" ht="15.75" customHeight="1">
      <c r="A1081" s="226"/>
      <c r="B1081" s="227"/>
      <c r="C1081" s="227"/>
      <c r="D1081" s="227"/>
      <c r="E1081" s="227"/>
      <c r="F1081" s="227"/>
      <c r="G1081" s="227"/>
      <c r="H1081" s="227"/>
      <c r="I1081" s="175" t="s">
        <v>354</v>
      </c>
      <c r="J1081" s="175"/>
      <c r="K1081" s="175"/>
      <c r="L1081" s="175"/>
      <c r="M1081" s="176"/>
      <c r="N1081" s="176"/>
      <c r="O1081" s="176"/>
      <c r="P1081" s="176"/>
      <c r="Q1081" s="176"/>
      <c r="R1081" s="176"/>
      <c r="S1081" s="176"/>
      <c r="T1081" s="176"/>
      <c r="U1081" s="176"/>
      <c r="V1081" s="176"/>
      <c r="W1081" s="176"/>
      <c r="X1081" s="176"/>
      <c r="Y1081" s="176"/>
      <c r="Z1081" s="176"/>
      <c r="AA1081" s="176"/>
      <c r="AB1081" s="176"/>
      <c r="AC1081" s="176"/>
      <c r="AD1081" s="176"/>
      <c r="AE1081" s="176"/>
      <c r="AF1081" s="176"/>
      <c r="AG1081" s="176"/>
      <c r="AH1081" s="176"/>
      <c r="AI1081" s="176"/>
      <c r="AJ1081" s="176"/>
      <c r="AK1081" s="176"/>
      <c r="AL1081" s="176"/>
      <c r="AM1081" s="176"/>
      <c r="AN1081" s="176"/>
      <c r="AO1081" s="176"/>
      <c r="AP1081" s="176"/>
      <c r="AQ1081" s="176"/>
      <c r="AR1081" s="176"/>
      <c r="AS1081" s="176"/>
      <c r="AT1081" s="176"/>
      <c r="AU1081" s="176"/>
      <c r="AV1081" s="176"/>
      <c r="AW1081" s="176"/>
      <c r="AX1081" s="176"/>
      <c r="AY1081" s="176"/>
      <c r="AZ1081" s="176"/>
      <c r="BA1081" s="176"/>
      <c r="BB1081" s="176"/>
      <c r="BC1081" s="176"/>
      <c r="BD1081" s="176"/>
      <c r="BE1081" s="176"/>
      <c r="BF1081" s="176"/>
      <c r="BG1081" s="176"/>
      <c r="BH1081" s="176"/>
      <c r="BI1081" s="176"/>
      <c r="BJ1081" s="176"/>
      <c r="BK1081" s="176"/>
      <c r="BL1081" s="176"/>
      <c r="BM1081" s="176"/>
      <c r="BN1081" s="176"/>
      <c r="BO1081" s="176"/>
      <c r="BP1081" s="176"/>
      <c r="BQ1081" s="176"/>
      <c r="BR1081" s="176"/>
      <c r="BS1081" s="176"/>
      <c r="BT1081" s="176"/>
      <c r="BU1081" s="176">
        <f>'[1]JANEIRO 2026'!$K$49+320</f>
        <v>608.5</v>
      </c>
      <c r="BV1081" s="176">
        <f>'[1]FEVEREIRO 2026 '!$K$47+320</f>
        <v>700.4</v>
      </c>
      <c r="BW1081" s="176">
        <f>408.8+320</f>
        <v>728.8</v>
      </c>
      <c r="BX1081" s="176"/>
      <c r="BY1081" s="191"/>
      <c r="BZ1081" s="191"/>
      <c r="CA1081" s="191"/>
      <c r="CC1081" s="182"/>
    </row>
    <row r="1082" spans="1:81" s="178" customFormat="1" ht="15.75" customHeight="1">
      <c r="A1082" s="226"/>
      <c r="B1082" s="227"/>
      <c r="C1082" s="227"/>
      <c r="D1082" s="227"/>
      <c r="E1082" s="227"/>
      <c r="F1082" s="227"/>
      <c r="G1082" s="227"/>
      <c r="H1082" s="227"/>
      <c r="I1082" s="175" t="s">
        <v>355</v>
      </c>
      <c r="J1082" s="175"/>
      <c r="K1082" s="175"/>
      <c r="L1082" s="175"/>
      <c r="M1082" s="176"/>
      <c r="N1082" s="176"/>
      <c r="O1082" s="176"/>
      <c r="P1082" s="176"/>
      <c r="Q1082" s="176"/>
      <c r="R1082" s="176"/>
      <c r="S1082" s="176"/>
      <c r="T1082" s="176"/>
      <c r="U1082" s="176"/>
      <c r="V1082" s="176"/>
      <c r="W1082" s="176"/>
      <c r="X1082" s="176"/>
      <c r="Y1082" s="176"/>
      <c r="Z1082" s="176"/>
      <c r="AA1082" s="176"/>
      <c r="AB1082" s="176"/>
      <c r="AC1082" s="176"/>
      <c r="AD1082" s="176"/>
      <c r="AE1082" s="176"/>
      <c r="AF1082" s="176"/>
      <c r="AG1082" s="176"/>
      <c r="AH1082" s="176"/>
      <c r="AI1082" s="176"/>
      <c r="AJ1082" s="176"/>
      <c r="AK1082" s="176"/>
      <c r="AL1082" s="176"/>
      <c r="AM1082" s="176"/>
      <c r="AN1082" s="176"/>
      <c r="AO1082" s="176"/>
      <c r="AP1082" s="176"/>
      <c r="AQ1082" s="176"/>
      <c r="AR1082" s="176"/>
      <c r="AS1082" s="176"/>
      <c r="AT1082" s="176"/>
      <c r="AU1082" s="176"/>
      <c r="AV1082" s="176"/>
      <c r="AW1082" s="176"/>
      <c r="AX1082" s="176"/>
      <c r="AY1082" s="176"/>
      <c r="AZ1082" s="176"/>
      <c r="BA1082" s="176"/>
      <c r="BB1082" s="176"/>
      <c r="BC1082" s="176"/>
      <c r="BD1082" s="176"/>
      <c r="BE1082" s="176"/>
      <c r="BF1082" s="176"/>
      <c r="BG1082" s="176"/>
      <c r="BH1082" s="176"/>
      <c r="BI1082" s="176"/>
      <c r="BJ1082" s="176"/>
      <c r="BK1082" s="176"/>
      <c r="BL1082" s="176"/>
      <c r="BM1082" s="176"/>
      <c r="BN1082" s="176"/>
      <c r="BO1082" s="176"/>
      <c r="BP1082" s="176"/>
      <c r="BQ1082" s="176"/>
      <c r="BR1082" s="176"/>
      <c r="BS1082" s="176"/>
      <c r="BT1082" s="176"/>
      <c r="BU1082" s="176"/>
      <c r="BV1082" s="176"/>
      <c r="BW1082" s="176"/>
      <c r="BX1082" s="176"/>
      <c r="BY1082" s="191"/>
      <c r="BZ1082" s="191"/>
      <c r="CA1082" s="191"/>
      <c r="CC1082" s="182"/>
    </row>
    <row r="1083" spans="1:81" s="178" customFormat="1" ht="15.75" customHeight="1">
      <c r="A1083" s="226"/>
      <c r="B1083" s="227"/>
      <c r="C1083" s="227"/>
      <c r="D1083" s="227"/>
      <c r="E1083" s="227"/>
      <c r="F1083" s="227"/>
      <c r="G1083" s="227"/>
      <c r="H1083" s="227"/>
      <c r="I1083" s="175" t="s">
        <v>357</v>
      </c>
      <c r="J1083" s="175"/>
      <c r="K1083" s="175"/>
      <c r="L1083" s="175"/>
      <c r="M1083" s="176"/>
      <c r="N1083" s="176"/>
      <c r="O1083" s="176"/>
      <c r="P1083" s="176"/>
      <c r="Q1083" s="176"/>
      <c r="R1083" s="176"/>
      <c r="S1083" s="176"/>
      <c r="T1083" s="176"/>
      <c r="U1083" s="176"/>
      <c r="V1083" s="176"/>
      <c r="W1083" s="176"/>
      <c r="X1083" s="176"/>
      <c r="Y1083" s="176"/>
      <c r="Z1083" s="176"/>
      <c r="AA1083" s="176"/>
      <c r="AB1083" s="176"/>
      <c r="AC1083" s="176"/>
      <c r="AD1083" s="176"/>
      <c r="AE1083" s="176"/>
      <c r="AF1083" s="176"/>
      <c r="AG1083" s="176"/>
      <c r="AH1083" s="176"/>
      <c r="AI1083" s="176"/>
      <c r="AJ1083" s="176"/>
      <c r="AK1083" s="176"/>
      <c r="AL1083" s="176"/>
      <c r="AM1083" s="176"/>
      <c r="AN1083" s="176"/>
      <c r="AO1083" s="176"/>
      <c r="AP1083" s="176"/>
      <c r="AQ1083" s="176"/>
      <c r="AR1083" s="176"/>
      <c r="AS1083" s="176"/>
      <c r="AT1083" s="176"/>
      <c r="AU1083" s="176"/>
      <c r="AV1083" s="176"/>
      <c r="AW1083" s="176"/>
      <c r="AX1083" s="176"/>
      <c r="AY1083" s="176"/>
      <c r="AZ1083" s="176"/>
      <c r="BA1083" s="176"/>
      <c r="BB1083" s="176"/>
      <c r="BC1083" s="176"/>
      <c r="BD1083" s="176"/>
      <c r="BE1083" s="176"/>
      <c r="BF1083" s="176"/>
      <c r="BG1083" s="176"/>
      <c r="BH1083" s="176"/>
      <c r="BI1083" s="176"/>
      <c r="BJ1083" s="176"/>
      <c r="BK1083" s="176"/>
      <c r="BL1083" s="176"/>
      <c r="BM1083" s="176"/>
      <c r="BN1083" s="176"/>
      <c r="BO1083" s="176"/>
      <c r="BP1083" s="176"/>
      <c r="BQ1083" s="176"/>
      <c r="BR1083" s="176"/>
      <c r="BS1083" s="176"/>
      <c r="BT1083" s="176"/>
      <c r="BU1083" s="176"/>
      <c r="BV1083" s="176"/>
      <c r="BW1083" s="176"/>
      <c r="BX1083" s="176"/>
      <c r="BY1083" s="191"/>
      <c r="BZ1083" s="191"/>
      <c r="CA1083" s="191"/>
      <c r="CC1083" s="182"/>
    </row>
    <row r="1084" spans="1:81" s="178" customFormat="1" ht="15.75" customHeight="1">
      <c r="A1084" s="226"/>
      <c r="B1084" s="227"/>
      <c r="C1084" s="227"/>
      <c r="D1084" s="227"/>
      <c r="E1084" s="227"/>
      <c r="F1084" s="227"/>
      <c r="G1084" s="227"/>
      <c r="H1084" s="227"/>
      <c r="I1084" s="184" t="s">
        <v>362</v>
      </c>
      <c r="J1084" s="175"/>
      <c r="K1084" s="175"/>
      <c r="L1084" s="175"/>
      <c r="M1084" s="176"/>
      <c r="N1084" s="176"/>
      <c r="O1084" s="176"/>
      <c r="P1084" s="176"/>
      <c r="Q1084" s="176"/>
      <c r="R1084" s="176"/>
      <c r="S1084" s="176"/>
      <c r="T1084" s="176"/>
      <c r="U1084" s="176"/>
      <c r="V1084" s="176"/>
      <c r="W1084" s="176"/>
      <c r="X1084" s="176"/>
      <c r="Y1084" s="176"/>
      <c r="Z1084" s="176"/>
      <c r="AA1084" s="176"/>
      <c r="AB1084" s="176"/>
      <c r="AC1084" s="176"/>
      <c r="AD1084" s="176"/>
      <c r="AE1084" s="176"/>
      <c r="AF1084" s="176"/>
      <c r="AG1084" s="176"/>
      <c r="AH1084" s="176"/>
      <c r="AI1084" s="176"/>
      <c r="AJ1084" s="176"/>
      <c r="AK1084" s="176"/>
      <c r="AL1084" s="176"/>
      <c r="AM1084" s="176"/>
      <c r="AN1084" s="176"/>
      <c r="AO1084" s="176"/>
      <c r="AP1084" s="176"/>
      <c r="AQ1084" s="176"/>
      <c r="AR1084" s="176"/>
      <c r="AS1084" s="176"/>
      <c r="AT1084" s="176"/>
      <c r="AU1084" s="176"/>
      <c r="AV1084" s="176"/>
      <c r="AW1084" s="176"/>
      <c r="AX1084" s="176"/>
      <c r="AY1084" s="176"/>
      <c r="AZ1084" s="176"/>
      <c r="BA1084" s="176"/>
      <c r="BB1084" s="176"/>
      <c r="BC1084" s="176"/>
      <c r="BD1084" s="176"/>
      <c r="BE1084" s="176"/>
      <c r="BF1084" s="176"/>
      <c r="BG1084" s="176"/>
      <c r="BH1084" s="176"/>
      <c r="BI1084" s="176"/>
      <c r="BJ1084" s="176"/>
      <c r="BK1084" s="176"/>
      <c r="BL1084" s="176"/>
      <c r="BM1084" s="176"/>
      <c r="BN1084" s="176"/>
      <c r="BO1084" s="176"/>
      <c r="BP1084" s="176"/>
      <c r="BQ1084" s="176"/>
      <c r="BR1084" s="176"/>
      <c r="BS1084" s="176"/>
      <c r="BT1084" s="176"/>
      <c r="BU1084" s="176"/>
      <c r="BV1084" s="176"/>
      <c r="BW1084" s="176"/>
      <c r="BX1084" s="176"/>
      <c r="BY1084" s="191"/>
      <c r="BZ1084" s="191"/>
      <c r="CA1084" s="191"/>
      <c r="CC1084" s="182"/>
    </row>
    <row r="1085" spans="1:81" s="178" customFormat="1">
      <c r="A1085" s="226"/>
      <c r="B1085" s="227"/>
      <c r="C1085" s="227"/>
      <c r="D1085" s="227"/>
      <c r="E1085" s="227"/>
      <c r="F1085" s="227"/>
      <c r="G1085" s="227"/>
      <c r="H1085" s="227"/>
      <c r="I1085" s="190" t="s">
        <v>363</v>
      </c>
      <c r="J1085" s="190"/>
      <c r="K1085" s="190"/>
      <c r="L1085" s="190"/>
      <c r="M1085" s="176"/>
      <c r="N1085" s="176"/>
      <c r="O1085" s="176"/>
      <c r="P1085" s="176"/>
      <c r="Q1085" s="176"/>
      <c r="R1085" s="176"/>
      <c r="S1085" s="176"/>
      <c r="T1085" s="176"/>
      <c r="U1085" s="176"/>
      <c r="V1085" s="176"/>
      <c r="W1085" s="176"/>
      <c r="X1085" s="176"/>
      <c r="Y1085" s="176"/>
      <c r="Z1085" s="176"/>
      <c r="AA1085" s="176"/>
      <c r="AB1085" s="176"/>
      <c r="AC1085" s="176"/>
      <c r="AD1085" s="176"/>
      <c r="AE1085" s="176"/>
      <c r="AF1085" s="176"/>
      <c r="AG1085" s="176"/>
      <c r="AH1085" s="176"/>
      <c r="AI1085" s="176"/>
      <c r="AJ1085" s="176"/>
      <c r="AK1085" s="176"/>
      <c r="AL1085" s="176"/>
      <c r="AM1085" s="176"/>
      <c r="AN1085" s="176"/>
      <c r="AO1085" s="176"/>
      <c r="AP1085" s="176"/>
      <c r="AQ1085" s="176"/>
      <c r="AR1085" s="176"/>
      <c r="AS1085" s="176"/>
      <c r="AT1085" s="176"/>
      <c r="AU1085" s="176"/>
      <c r="AV1085" s="176"/>
      <c r="AW1085" s="176"/>
      <c r="AX1085" s="176"/>
      <c r="AY1085" s="176"/>
      <c r="AZ1085" s="176"/>
      <c r="BA1085" s="176"/>
      <c r="BB1085" s="176"/>
      <c r="BC1085" s="176"/>
      <c r="BD1085" s="176"/>
      <c r="BE1085" s="176"/>
      <c r="BF1085" s="176"/>
      <c r="BG1085" s="176"/>
      <c r="BH1085" s="176"/>
      <c r="BI1085" s="176"/>
      <c r="BJ1085" s="176"/>
      <c r="BK1085" s="176"/>
      <c r="BL1085" s="176"/>
      <c r="BM1085" s="176"/>
      <c r="BN1085" s="176"/>
      <c r="BO1085" s="176"/>
      <c r="BP1085" s="176"/>
      <c r="BQ1085" s="176"/>
      <c r="BR1085" s="176"/>
      <c r="BS1085" s="176"/>
      <c r="BT1085" s="176"/>
      <c r="BU1085" s="176"/>
      <c r="BV1085" s="176"/>
      <c r="BW1085" s="176"/>
      <c r="BX1085" s="176"/>
      <c r="BY1085" s="191"/>
      <c r="BZ1085" s="191"/>
    </row>
    <row r="1086" spans="1:81" s="178" customFormat="1">
      <c r="A1086" s="226"/>
      <c r="B1086" s="227"/>
      <c r="C1086" s="227"/>
      <c r="D1086" s="227"/>
      <c r="E1086" s="227"/>
      <c r="F1086" s="227"/>
      <c r="G1086" s="227"/>
      <c r="H1086" s="227"/>
      <c r="I1086" s="193" t="s">
        <v>373</v>
      </c>
      <c r="J1086" s="193"/>
      <c r="K1086" s="193"/>
      <c r="L1086" s="193"/>
      <c r="M1086" s="176"/>
      <c r="N1086" s="176"/>
      <c r="O1086" s="176"/>
      <c r="P1086" s="176"/>
      <c r="Q1086" s="176"/>
      <c r="R1086" s="176"/>
      <c r="S1086" s="176"/>
      <c r="T1086" s="176"/>
      <c r="U1086" s="176"/>
      <c r="V1086" s="176"/>
      <c r="W1086" s="176"/>
      <c r="X1086" s="176"/>
      <c r="Y1086" s="176"/>
      <c r="Z1086" s="176"/>
      <c r="AA1086" s="176"/>
      <c r="AB1086" s="176"/>
      <c r="AC1086" s="176"/>
      <c r="AD1086" s="176"/>
      <c r="AE1086" s="176"/>
      <c r="AF1086" s="176"/>
      <c r="AG1086" s="176"/>
      <c r="AH1086" s="176"/>
      <c r="AI1086" s="176"/>
      <c r="AJ1086" s="176"/>
      <c r="AK1086" s="176"/>
      <c r="AL1086" s="176"/>
      <c r="AM1086" s="176"/>
      <c r="AN1086" s="176"/>
      <c r="AO1086" s="176"/>
      <c r="AP1086" s="176"/>
      <c r="AQ1086" s="176"/>
      <c r="AR1086" s="176"/>
      <c r="AS1086" s="176"/>
      <c r="AT1086" s="176"/>
      <c r="AU1086" s="176"/>
      <c r="AV1086" s="176"/>
      <c r="AW1086" s="176"/>
      <c r="AX1086" s="176"/>
      <c r="AY1086" s="176"/>
      <c r="AZ1086" s="176"/>
      <c r="BA1086" s="176"/>
      <c r="BB1086" s="176"/>
      <c r="BC1086" s="176"/>
      <c r="BD1086" s="176"/>
      <c r="BE1086" s="176"/>
      <c r="BF1086" s="176"/>
      <c r="BG1086" s="176"/>
      <c r="BH1086" s="176"/>
      <c r="BI1086" s="176"/>
      <c r="BJ1086" s="176"/>
      <c r="BK1086" s="176"/>
      <c r="BL1086" s="176"/>
      <c r="BM1086" s="176"/>
      <c r="BN1086" s="176"/>
      <c r="BO1086" s="176"/>
      <c r="BP1086" s="176"/>
      <c r="BQ1086" s="176"/>
      <c r="BR1086" s="176"/>
      <c r="BS1086" s="176"/>
      <c r="BT1086" s="176">
        <v>1158.33</v>
      </c>
      <c r="BU1086" s="176">
        <v>1158.33</v>
      </c>
      <c r="BV1086" s="176">
        <v>1158.33</v>
      </c>
      <c r="BW1086" s="176">
        <f>1590.75-739.92</f>
        <v>850.83</v>
      </c>
      <c r="BX1086" s="176"/>
      <c r="BY1086" s="191"/>
      <c r="BZ1086" s="191"/>
    </row>
    <row r="1087" spans="1:81" s="178" customFormat="1">
      <c r="A1087" s="226"/>
      <c r="B1087" s="227"/>
      <c r="C1087" s="227"/>
      <c r="D1087" s="227"/>
      <c r="E1087" s="227"/>
      <c r="F1087" s="227"/>
      <c r="G1087" s="227"/>
      <c r="H1087" s="227"/>
      <c r="I1087" s="190"/>
      <c r="J1087" s="176">
        <f>SUM(J1076:J1085)-J1086</f>
        <v>0</v>
      </c>
      <c r="K1087" s="176">
        <f t="shared" ref="K1087:Y1087" si="534">SUM(K1076:K1085)-K1086</f>
        <v>0</v>
      </c>
      <c r="L1087" s="176">
        <f t="shared" si="534"/>
        <v>0</v>
      </c>
      <c r="M1087" s="176">
        <f t="shared" si="534"/>
        <v>0</v>
      </c>
      <c r="N1087" s="176">
        <f t="shared" si="534"/>
        <v>0</v>
      </c>
      <c r="O1087" s="176">
        <f t="shared" si="534"/>
        <v>0</v>
      </c>
      <c r="P1087" s="176">
        <f t="shared" si="534"/>
        <v>0</v>
      </c>
      <c r="Q1087" s="176">
        <f t="shared" si="534"/>
        <v>0</v>
      </c>
      <c r="R1087" s="176">
        <f t="shared" si="534"/>
        <v>0</v>
      </c>
      <c r="S1087" s="176">
        <f t="shared" si="534"/>
        <v>0</v>
      </c>
      <c r="T1087" s="176">
        <f t="shared" si="534"/>
        <v>0</v>
      </c>
      <c r="U1087" s="176">
        <f t="shared" si="534"/>
        <v>0</v>
      </c>
      <c r="V1087" s="176">
        <f t="shared" si="534"/>
        <v>0</v>
      </c>
      <c r="W1087" s="176">
        <f t="shared" si="534"/>
        <v>0</v>
      </c>
      <c r="X1087" s="176">
        <f t="shared" si="534"/>
        <v>0</v>
      </c>
      <c r="Y1087" s="176">
        <f t="shared" si="534"/>
        <v>0</v>
      </c>
      <c r="Z1087" s="176">
        <f>SUM(Z1076:Z1085)-Z1086</f>
        <v>0</v>
      </c>
      <c r="AA1087" s="176">
        <f t="shared" ref="AA1087:AD1087" si="535">SUM(AA1076:AA1085)-AA1086</f>
        <v>0</v>
      </c>
      <c r="AB1087" s="176">
        <f t="shared" si="535"/>
        <v>0</v>
      </c>
      <c r="AC1087" s="176">
        <f t="shared" si="535"/>
        <v>0</v>
      </c>
      <c r="AD1087" s="176">
        <f t="shared" si="535"/>
        <v>0</v>
      </c>
      <c r="AE1087" s="176">
        <f>SUM(AE1076:AE1085)-AE1086</f>
        <v>0</v>
      </c>
      <c r="AF1087" s="176">
        <f>SUM(AF1076:AF1085)-AF1086</f>
        <v>0</v>
      </c>
      <c r="AG1087" s="176">
        <f t="shared" ref="AG1087:AU1087" si="536">SUM(AG1076:AG1085)-AG1086</f>
        <v>0</v>
      </c>
      <c r="AH1087" s="176">
        <f t="shared" si="536"/>
        <v>0</v>
      </c>
      <c r="AI1087" s="176">
        <f t="shared" si="536"/>
        <v>0</v>
      </c>
      <c r="AJ1087" s="176">
        <f t="shared" si="536"/>
        <v>0</v>
      </c>
      <c r="AK1087" s="176">
        <f t="shared" si="536"/>
        <v>0</v>
      </c>
      <c r="AL1087" s="176">
        <f t="shared" si="536"/>
        <v>0</v>
      </c>
      <c r="AM1087" s="176">
        <f t="shared" si="536"/>
        <v>0</v>
      </c>
      <c r="AN1087" s="176">
        <f t="shared" si="536"/>
        <v>0</v>
      </c>
      <c r="AO1087" s="176">
        <f t="shared" si="536"/>
        <v>0</v>
      </c>
      <c r="AP1087" s="176">
        <f t="shared" si="536"/>
        <v>0</v>
      </c>
      <c r="AQ1087" s="176">
        <f t="shared" si="536"/>
        <v>0</v>
      </c>
      <c r="AR1087" s="176">
        <f t="shared" si="536"/>
        <v>0</v>
      </c>
      <c r="AS1087" s="176">
        <f t="shared" si="536"/>
        <v>0</v>
      </c>
      <c r="AT1087" s="176">
        <f t="shared" si="536"/>
        <v>0</v>
      </c>
      <c r="AU1087" s="176">
        <f t="shared" si="536"/>
        <v>0</v>
      </c>
      <c r="AV1087" s="176">
        <f>SUM(AV1076:AV1085)-AV1086</f>
        <v>0</v>
      </c>
      <c r="AW1087" s="176">
        <f t="shared" ref="AW1087:BA1087" si="537">SUM(AW1076:AW1085)-AW1086</f>
        <v>0</v>
      </c>
      <c r="AX1087" s="176">
        <f t="shared" si="537"/>
        <v>0</v>
      </c>
      <c r="AY1087" s="176">
        <f t="shared" si="537"/>
        <v>0</v>
      </c>
      <c r="AZ1087" s="176">
        <f t="shared" si="537"/>
        <v>0</v>
      </c>
      <c r="BA1087" s="176">
        <f t="shared" si="537"/>
        <v>0</v>
      </c>
      <c r="BB1087" s="176"/>
      <c r="BC1087" s="176"/>
      <c r="BD1087" s="176"/>
      <c r="BE1087" s="176"/>
      <c r="BF1087" s="176"/>
      <c r="BG1087" s="176"/>
      <c r="BH1087" s="176"/>
      <c r="BI1087" s="176"/>
      <c r="BJ1087" s="176"/>
      <c r="BK1087" s="176"/>
      <c r="BL1087" s="176"/>
      <c r="BM1087" s="176">
        <f>BM1077+BM1083-BM1086+BM1081</f>
        <v>0</v>
      </c>
      <c r="BN1087" s="176">
        <f>BN1077+BN1083-BN1086+BN1081</f>
        <v>0</v>
      </c>
      <c r="BO1087" s="176">
        <f>BO1077+BO1083-BO1086+BO1081</f>
        <v>0</v>
      </c>
      <c r="BP1087" s="176">
        <f>BP1077+BP1083-BP1086+BP1081</f>
        <v>0</v>
      </c>
      <c r="BQ1087" s="176"/>
      <c r="BR1087" s="176"/>
      <c r="BS1087" s="176"/>
      <c r="BT1087" s="176">
        <f>BT1077+BT1078+BT1081-BT1086</f>
        <v>1430.48</v>
      </c>
      <c r="BU1087" s="176">
        <f>BU1077+BU1078+BU1081-BU1086</f>
        <v>2038.98</v>
      </c>
      <c r="BV1087" s="176">
        <f>BV1077+BV1078+BV1081-BV1086</f>
        <v>2130.88</v>
      </c>
      <c r="BW1087" s="176">
        <f>BW1077+BW1081-BW1086</f>
        <v>1727.7799999999997</v>
      </c>
      <c r="BX1087" s="176">
        <f>SUM(BD1087:BW1087)</f>
        <v>7328.12</v>
      </c>
      <c r="BY1087" s="191"/>
      <c r="BZ1087" s="191"/>
    </row>
    <row r="1088" spans="1:81" ht="15.6" customHeight="1">
      <c r="A1088" s="148" t="s">
        <v>346</v>
      </c>
      <c r="B1088" s="148" t="s">
        <v>347</v>
      </c>
      <c r="C1088" s="145" t="s">
        <v>310</v>
      </c>
      <c r="D1088" s="145" t="s">
        <v>311</v>
      </c>
      <c r="E1088" s="148" t="s">
        <v>312</v>
      </c>
      <c r="F1088" s="148" t="s">
        <v>348</v>
      </c>
      <c r="G1088" s="145" t="s">
        <v>314</v>
      </c>
      <c r="H1088" s="145" t="s">
        <v>315</v>
      </c>
      <c r="I1088" s="145" t="s">
        <v>349</v>
      </c>
      <c r="J1088" s="146">
        <v>44105</v>
      </c>
      <c r="K1088" s="146">
        <v>44136</v>
      </c>
      <c r="L1088" s="146">
        <v>44166</v>
      </c>
      <c r="M1088" s="146">
        <v>44197</v>
      </c>
      <c r="N1088" s="146">
        <v>44228</v>
      </c>
      <c r="O1088" s="146">
        <v>44256</v>
      </c>
      <c r="P1088" s="146">
        <v>44287</v>
      </c>
      <c r="Q1088" s="146">
        <v>44317</v>
      </c>
      <c r="R1088" s="146">
        <v>44348</v>
      </c>
      <c r="S1088" s="146">
        <v>44378</v>
      </c>
      <c r="T1088" s="146">
        <v>44409</v>
      </c>
      <c r="U1088" s="146">
        <v>44440</v>
      </c>
      <c r="V1088" s="146">
        <v>44470</v>
      </c>
      <c r="W1088" s="146">
        <v>44501</v>
      </c>
      <c r="X1088" s="146">
        <v>44531</v>
      </c>
      <c r="Y1088" s="146">
        <v>44562</v>
      </c>
      <c r="Z1088" s="146">
        <v>44593</v>
      </c>
      <c r="AA1088" s="146">
        <v>44621</v>
      </c>
      <c r="AB1088" s="146">
        <v>44652</v>
      </c>
      <c r="AC1088" s="146">
        <v>44682</v>
      </c>
      <c r="AD1088" s="146">
        <v>44713</v>
      </c>
      <c r="AE1088" s="146">
        <v>44743</v>
      </c>
      <c r="AF1088" s="146">
        <v>44774</v>
      </c>
      <c r="AG1088" s="146">
        <v>44805</v>
      </c>
      <c r="AH1088" s="146">
        <v>44835</v>
      </c>
      <c r="AI1088" s="146">
        <v>44866</v>
      </c>
      <c r="AJ1088" s="146">
        <v>44896</v>
      </c>
      <c r="AK1088" s="146">
        <v>44927</v>
      </c>
      <c r="AL1088" s="146">
        <v>44958</v>
      </c>
      <c r="AM1088" s="146">
        <v>44986</v>
      </c>
      <c r="AN1088" s="146">
        <v>45017</v>
      </c>
      <c r="AO1088" s="146">
        <v>45047</v>
      </c>
      <c r="AP1088" s="146">
        <v>45078</v>
      </c>
      <c r="AQ1088" s="146">
        <v>45108</v>
      </c>
      <c r="AR1088" s="146">
        <v>45139</v>
      </c>
      <c r="AS1088" s="146">
        <v>45170</v>
      </c>
      <c r="AT1088" s="146">
        <v>45200</v>
      </c>
      <c r="AU1088" s="146">
        <v>45231</v>
      </c>
      <c r="AV1088" s="146">
        <v>45261</v>
      </c>
      <c r="AW1088" s="146">
        <v>45292</v>
      </c>
      <c r="AX1088" s="146">
        <v>45323</v>
      </c>
      <c r="AY1088" s="146">
        <v>45352</v>
      </c>
      <c r="AZ1088" s="146">
        <v>45383</v>
      </c>
      <c r="BA1088" s="146">
        <v>45413</v>
      </c>
      <c r="BB1088" s="146">
        <v>45444</v>
      </c>
      <c r="BC1088" s="146">
        <v>45474</v>
      </c>
      <c r="BD1088" s="146">
        <v>45505</v>
      </c>
      <c r="BE1088" s="146">
        <v>45536</v>
      </c>
      <c r="BF1088" s="146">
        <v>45566</v>
      </c>
      <c r="BG1088" s="146">
        <v>45597</v>
      </c>
      <c r="BH1088" s="146">
        <v>45627</v>
      </c>
      <c r="BI1088" s="146">
        <v>45658</v>
      </c>
      <c r="BJ1088" s="146">
        <v>45689</v>
      </c>
      <c r="BK1088" s="146">
        <v>45717</v>
      </c>
      <c r="BL1088" s="146">
        <v>45748</v>
      </c>
      <c r="BM1088" s="146">
        <v>45778</v>
      </c>
      <c r="BN1088" s="146">
        <v>45809</v>
      </c>
      <c r="BO1088" s="146">
        <v>45839</v>
      </c>
      <c r="BP1088" s="146">
        <v>45870</v>
      </c>
      <c r="BQ1088" s="146">
        <v>45901</v>
      </c>
      <c r="BR1088" s="146">
        <v>45931</v>
      </c>
      <c r="BS1088" s="146">
        <v>45962</v>
      </c>
      <c r="BT1088" s="146">
        <v>45992</v>
      </c>
      <c r="BU1088" s="146">
        <v>46023</v>
      </c>
      <c r="BV1088" s="146">
        <v>46054</v>
      </c>
      <c r="BW1088" s="146">
        <v>46082</v>
      </c>
      <c r="BX1088" s="147" t="s">
        <v>13</v>
      </c>
      <c r="BY1088" s="5"/>
      <c r="BZ1088" s="5"/>
      <c r="CA1088" s="5"/>
    </row>
    <row r="1089" spans="1:81" s="178" customFormat="1" ht="15.75" customHeight="1">
      <c r="A1089" s="226">
        <v>74</v>
      </c>
      <c r="B1089" s="227" t="s">
        <v>292</v>
      </c>
      <c r="C1089" s="230" t="s">
        <v>23</v>
      </c>
      <c r="D1089" s="229" t="s">
        <v>89</v>
      </c>
      <c r="E1089" s="227" t="s">
        <v>395</v>
      </c>
      <c r="F1089" s="227" t="s">
        <v>395</v>
      </c>
      <c r="G1089" s="228">
        <v>45964</v>
      </c>
      <c r="H1089" s="228"/>
      <c r="I1089" s="175" t="s">
        <v>390</v>
      </c>
      <c r="J1089" s="175"/>
      <c r="K1089" s="175"/>
      <c r="L1089" s="175"/>
      <c r="M1089" s="176"/>
      <c r="N1089" s="176"/>
      <c r="O1089" s="176"/>
      <c r="P1089" s="176"/>
      <c r="Q1089" s="176"/>
      <c r="R1089" s="176"/>
      <c r="S1089" s="176"/>
      <c r="T1089" s="176"/>
      <c r="U1089" s="176"/>
      <c r="V1089" s="176"/>
      <c r="W1089" s="176"/>
      <c r="X1089" s="176"/>
      <c r="Y1089" s="176"/>
      <c r="Z1089" s="176"/>
      <c r="AA1089" s="176"/>
      <c r="AB1089" s="176"/>
      <c r="AC1089" s="176"/>
      <c r="AD1089" s="176"/>
      <c r="AE1089" s="176"/>
      <c r="AF1089" s="176"/>
      <c r="AG1089" s="176"/>
      <c r="AH1089" s="176"/>
      <c r="AI1089" s="176"/>
      <c r="AJ1089" s="176"/>
      <c r="AK1089" s="176"/>
      <c r="AL1089" s="176"/>
      <c r="AM1089" s="176"/>
      <c r="AN1089" s="176"/>
      <c r="AO1089" s="176"/>
      <c r="AP1089" s="176"/>
      <c r="AQ1089" s="176"/>
      <c r="AR1089" s="176"/>
      <c r="AS1089" s="176"/>
      <c r="AT1089" s="176"/>
      <c r="AU1089" s="176"/>
      <c r="AV1089" s="176"/>
      <c r="AW1089" s="176"/>
      <c r="AX1089" s="176"/>
      <c r="AY1089" s="176"/>
      <c r="AZ1089" s="176"/>
      <c r="BA1089" s="176"/>
      <c r="BB1089" s="176"/>
      <c r="BC1089" s="176"/>
      <c r="BD1089" s="176"/>
      <c r="BE1089" s="176"/>
      <c r="BF1089" s="176"/>
      <c r="BG1089" s="176"/>
      <c r="BH1089" s="176"/>
      <c r="BI1089" s="176"/>
      <c r="BJ1089" s="176"/>
      <c r="BK1089" s="176"/>
      <c r="BL1089" s="176"/>
      <c r="BM1089" s="176"/>
      <c r="BN1089" s="176"/>
      <c r="BO1089" s="176"/>
      <c r="BP1089" s="176"/>
      <c r="BQ1089" s="176"/>
      <c r="BR1089" s="176"/>
      <c r="BS1089" s="176"/>
      <c r="BT1089" s="176"/>
      <c r="BU1089" s="176"/>
      <c r="BV1089" s="176"/>
      <c r="BW1089" s="176"/>
      <c r="BX1089" s="176"/>
      <c r="BY1089" s="191"/>
      <c r="BZ1089" s="191"/>
      <c r="CA1089" s="191"/>
      <c r="CC1089" s="182"/>
    </row>
    <row r="1090" spans="1:81" s="178" customFormat="1" ht="15.75" customHeight="1">
      <c r="A1090" s="226"/>
      <c r="B1090" s="227"/>
      <c r="C1090" s="231"/>
      <c r="D1090" s="229"/>
      <c r="E1090" s="227"/>
      <c r="F1090" s="227"/>
      <c r="G1090" s="229"/>
      <c r="H1090" s="229"/>
      <c r="I1090" s="175" t="s">
        <v>351</v>
      </c>
      <c r="J1090" s="175"/>
      <c r="K1090" s="175"/>
      <c r="L1090" s="175"/>
      <c r="M1090" s="176"/>
      <c r="N1090" s="176"/>
      <c r="O1090" s="176"/>
      <c r="P1090" s="176"/>
      <c r="Q1090" s="176"/>
      <c r="R1090" s="176"/>
      <c r="S1090" s="176"/>
      <c r="T1090" s="176"/>
      <c r="U1090" s="176"/>
      <c r="V1090" s="176"/>
      <c r="W1090" s="176"/>
      <c r="X1090" s="176"/>
      <c r="Y1090" s="176"/>
      <c r="Z1090" s="176"/>
      <c r="AA1090" s="176"/>
      <c r="AB1090" s="176"/>
      <c r="AC1090" s="176"/>
      <c r="AD1090" s="176"/>
      <c r="AE1090" s="176"/>
      <c r="AF1090" s="176"/>
      <c r="AG1090" s="176"/>
      <c r="AH1090" s="176"/>
      <c r="AI1090" s="176"/>
      <c r="AJ1090" s="176"/>
      <c r="AK1090" s="176"/>
      <c r="AL1090" s="176"/>
      <c r="AM1090" s="176"/>
      <c r="AN1090" s="176"/>
      <c r="AO1090" s="176"/>
      <c r="AP1090" s="176"/>
      <c r="AQ1090" s="176"/>
      <c r="AR1090" s="176"/>
      <c r="AS1090" s="176"/>
      <c r="AT1090" s="176"/>
      <c r="AU1090" s="176"/>
      <c r="AV1090" s="176"/>
      <c r="AW1090" s="176"/>
      <c r="AX1090" s="176"/>
      <c r="AY1090" s="176"/>
      <c r="AZ1090" s="176"/>
      <c r="BA1090" s="176"/>
      <c r="BB1090" s="176"/>
      <c r="BC1090" s="176"/>
      <c r="BD1090" s="176"/>
      <c r="BE1090" s="176"/>
      <c r="BF1090" s="176"/>
      <c r="BG1090" s="176"/>
      <c r="BH1090" s="176"/>
      <c r="BI1090" s="176"/>
      <c r="BJ1090" s="176"/>
      <c r="BK1090" s="176"/>
      <c r="BL1090" s="176"/>
      <c r="BM1090" s="176"/>
      <c r="BN1090" s="176"/>
      <c r="BO1090" s="176"/>
      <c r="BP1090" s="176"/>
      <c r="BQ1090" s="176"/>
      <c r="BR1090" s="176"/>
      <c r="BS1090" s="176">
        <v>2063</v>
      </c>
      <c r="BT1090" s="176">
        <v>2111.6799999999998</v>
      </c>
      <c r="BU1090" s="176">
        <v>2111.6799999999998</v>
      </c>
      <c r="BV1090" s="176">
        <v>2111.6799999999998</v>
      </c>
      <c r="BW1090" s="176">
        <v>2211.6799999999998</v>
      </c>
      <c r="BX1090" s="176"/>
      <c r="BY1090" s="191"/>
      <c r="BZ1090" s="191"/>
      <c r="CA1090" s="191"/>
      <c r="CC1090" s="182"/>
    </row>
    <row r="1091" spans="1:81" s="178" customFormat="1" ht="15.75" customHeight="1">
      <c r="A1091" s="226"/>
      <c r="B1091" s="227"/>
      <c r="C1091" s="231"/>
      <c r="D1091" s="229"/>
      <c r="E1091" s="227"/>
      <c r="F1091" s="227"/>
      <c r="G1091" s="229"/>
      <c r="H1091" s="229"/>
      <c r="I1091" s="175" t="s">
        <v>391</v>
      </c>
      <c r="J1091" s="175"/>
      <c r="K1091" s="175"/>
      <c r="L1091" s="175"/>
      <c r="M1091" s="176"/>
      <c r="N1091" s="176"/>
      <c r="O1091" s="176"/>
      <c r="P1091" s="176"/>
      <c r="Q1091" s="176"/>
      <c r="R1091" s="176"/>
      <c r="S1091" s="176"/>
      <c r="T1091" s="176"/>
      <c r="U1091" s="176"/>
      <c r="V1091" s="176"/>
      <c r="W1091" s="176"/>
      <c r="X1091" s="176"/>
      <c r="Y1091" s="177"/>
      <c r="Z1091" s="176"/>
      <c r="AA1091" s="176"/>
      <c r="AB1091" s="176"/>
      <c r="AC1091" s="176"/>
      <c r="AD1091" s="176"/>
      <c r="AE1091" s="176"/>
      <c r="AF1091" s="176"/>
      <c r="AG1091" s="176"/>
      <c r="AH1091" s="176"/>
      <c r="AI1091" s="176"/>
      <c r="AJ1091" s="176"/>
      <c r="AK1091" s="176"/>
      <c r="AL1091" s="176"/>
      <c r="AM1091" s="176"/>
      <c r="AN1091" s="176"/>
      <c r="AO1091" s="176"/>
      <c r="AP1091" s="176"/>
      <c r="AQ1091" s="176"/>
      <c r="AR1091" s="176"/>
      <c r="AS1091" s="176"/>
      <c r="AT1091" s="176"/>
      <c r="AU1091" s="176"/>
      <c r="AV1091" s="176"/>
      <c r="AW1091" s="176"/>
      <c r="AX1091" s="176"/>
      <c r="AY1091" s="176"/>
      <c r="AZ1091" s="176"/>
      <c r="BA1091" s="176"/>
      <c r="BB1091" s="176"/>
      <c r="BC1091" s="176"/>
      <c r="BD1091" s="176"/>
      <c r="BE1091" s="176"/>
      <c r="BF1091" s="176"/>
      <c r="BG1091" s="176"/>
      <c r="BH1091" s="176"/>
      <c r="BI1091" s="176"/>
      <c r="BJ1091" s="176"/>
      <c r="BK1091" s="176"/>
      <c r="BL1091" s="176"/>
      <c r="BM1091" s="176"/>
      <c r="BN1091" s="176"/>
      <c r="BO1091" s="176"/>
      <c r="BP1091" s="176"/>
      <c r="BQ1091" s="176"/>
      <c r="BR1091" s="176"/>
      <c r="BS1091" s="176"/>
      <c r="BT1091" s="176"/>
      <c r="BU1091" s="176"/>
      <c r="BV1091" s="176"/>
      <c r="BW1091" s="176"/>
      <c r="BX1091" s="176"/>
      <c r="BY1091" s="191"/>
      <c r="BZ1091" s="191"/>
      <c r="CA1091" s="191"/>
      <c r="CC1091" s="182"/>
    </row>
    <row r="1092" spans="1:81" s="178" customFormat="1" ht="15.75" customHeight="1">
      <c r="A1092" s="226"/>
      <c r="B1092" s="227"/>
      <c r="C1092" s="231"/>
      <c r="D1092" s="229"/>
      <c r="E1092" s="227"/>
      <c r="F1092" s="227"/>
      <c r="G1092" s="229"/>
      <c r="H1092" s="229"/>
      <c r="I1092" s="175" t="s">
        <v>351</v>
      </c>
      <c r="J1092" s="175"/>
      <c r="K1092" s="175"/>
      <c r="L1092" s="175"/>
      <c r="M1092" s="176"/>
      <c r="N1092" s="176"/>
      <c r="O1092" s="176"/>
      <c r="P1092" s="176"/>
      <c r="Q1092" s="176"/>
      <c r="R1092" s="176"/>
      <c r="S1092" s="176"/>
      <c r="T1092" s="176"/>
      <c r="U1092" s="176"/>
      <c r="V1092" s="176"/>
      <c r="W1092" s="176"/>
      <c r="X1092" s="176"/>
      <c r="Y1092" s="177"/>
      <c r="Z1092" s="176"/>
      <c r="AA1092" s="176"/>
      <c r="AB1092" s="176"/>
      <c r="AC1092" s="176"/>
      <c r="AD1092" s="176"/>
      <c r="AE1092" s="176"/>
      <c r="AF1092" s="176"/>
      <c r="AG1092" s="176"/>
      <c r="AH1092" s="176"/>
      <c r="AI1092" s="176"/>
      <c r="AJ1092" s="176"/>
      <c r="AK1092" s="176"/>
      <c r="AL1092" s="176"/>
      <c r="AM1092" s="176"/>
      <c r="AN1092" s="176"/>
      <c r="AO1092" s="176"/>
      <c r="AP1092" s="176"/>
      <c r="AQ1092" s="176"/>
      <c r="AR1092" s="176"/>
      <c r="AS1092" s="176"/>
      <c r="AT1092" s="176"/>
      <c r="AU1092" s="176"/>
      <c r="AV1092" s="176"/>
      <c r="AW1092" s="176"/>
      <c r="AX1092" s="176"/>
      <c r="AY1092" s="176"/>
      <c r="AZ1092" s="176"/>
      <c r="BA1092" s="176"/>
      <c r="BB1092" s="176"/>
      <c r="BC1092" s="176"/>
      <c r="BD1092" s="176"/>
      <c r="BE1092" s="176"/>
      <c r="BF1092" s="176"/>
      <c r="BG1092" s="176"/>
      <c r="BH1092" s="176"/>
      <c r="BI1092" s="176"/>
      <c r="BJ1092" s="176"/>
      <c r="BK1092" s="176"/>
      <c r="BL1092" s="176"/>
      <c r="BM1092" s="176"/>
      <c r="BN1092" s="176"/>
      <c r="BO1092" s="176"/>
      <c r="BP1092" s="176"/>
      <c r="BQ1092" s="176"/>
      <c r="BR1092" s="176"/>
      <c r="BS1092" s="176"/>
      <c r="BT1092" s="176"/>
      <c r="BU1092" s="176"/>
      <c r="BV1092" s="176"/>
      <c r="BW1092" s="176"/>
      <c r="BX1092" s="176"/>
      <c r="BY1092" s="191"/>
      <c r="BZ1092" s="191"/>
      <c r="CA1092" s="191"/>
      <c r="CC1092" s="182"/>
    </row>
    <row r="1093" spans="1:81" s="178" customFormat="1" ht="15.75" customHeight="1">
      <c r="A1093" s="226"/>
      <c r="B1093" s="227"/>
      <c r="C1093" s="231"/>
      <c r="D1093" s="229"/>
      <c r="E1093" s="227"/>
      <c r="F1093" s="227"/>
      <c r="G1093" s="229"/>
      <c r="H1093" s="229"/>
      <c r="I1093" s="175" t="s">
        <v>353</v>
      </c>
      <c r="J1093" s="175"/>
      <c r="K1093" s="175"/>
      <c r="L1093" s="175"/>
      <c r="M1093" s="176"/>
      <c r="N1093" s="176"/>
      <c r="O1093" s="176"/>
      <c r="P1093" s="176"/>
      <c r="Q1093" s="176"/>
      <c r="R1093" s="176"/>
      <c r="S1093" s="176"/>
      <c r="T1093" s="176"/>
      <c r="U1093" s="176"/>
      <c r="V1093" s="176"/>
      <c r="W1093" s="176"/>
      <c r="X1093" s="176"/>
      <c r="Y1093" s="176"/>
      <c r="Z1093" s="176"/>
      <c r="AA1093" s="176"/>
      <c r="AB1093" s="176"/>
      <c r="AC1093" s="176"/>
      <c r="AD1093" s="176"/>
      <c r="AE1093" s="176"/>
      <c r="AF1093" s="176"/>
      <c r="AG1093" s="176"/>
      <c r="AH1093" s="176"/>
      <c r="AI1093" s="176"/>
      <c r="AJ1093" s="176"/>
      <c r="AK1093" s="176"/>
      <c r="AL1093" s="176"/>
      <c r="AM1093" s="176"/>
      <c r="AN1093" s="176"/>
      <c r="AO1093" s="176"/>
      <c r="AP1093" s="176"/>
      <c r="AQ1093" s="176"/>
      <c r="AR1093" s="176"/>
      <c r="AS1093" s="176"/>
      <c r="AT1093" s="176"/>
      <c r="AU1093" s="176"/>
      <c r="AV1093" s="176"/>
      <c r="AW1093" s="176"/>
      <c r="AX1093" s="176"/>
      <c r="AY1093" s="176"/>
      <c r="AZ1093" s="176"/>
      <c r="BA1093" s="176"/>
      <c r="BB1093" s="176"/>
      <c r="BC1093" s="176"/>
      <c r="BD1093" s="176"/>
      <c r="BE1093" s="176"/>
      <c r="BF1093" s="176"/>
      <c r="BG1093" s="176"/>
      <c r="BH1093" s="176"/>
      <c r="BI1093" s="176"/>
      <c r="BJ1093" s="176"/>
      <c r="BK1093" s="176"/>
      <c r="BL1093" s="176"/>
      <c r="BM1093" s="176"/>
      <c r="BN1093" s="176"/>
      <c r="BO1093" s="176"/>
      <c r="BP1093" s="176"/>
      <c r="BQ1093" s="176"/>
      <c r="BR1093" s="176"/>
      <c r="BS1093" s="176">
        <v>523.45000000000005</v>
      </c>
      <c r="BT1093" s="176">
        <v>523.45000000000005</v>
      </c>
      <c r="BU1093" s="176">
        <v>551</v>
      </c>
      <c r="BV1093" s="176">
        <v>551</v>
      </c>
      <c r="BW1093" s="176">
        <v>606.1</v>
      </c>
      <c r="BX1093" s="176"/>
      <c r="BY1093" s="191"/>
      <c r="BZ1093" s="191"/>
      <c r="CA1093" s="191"/>
      <c r="CC1093" s="182"/>
    </row>
    <row r="1094" spans="1:81" s="178" customFormat="1" ht="15.75" customHeight="1">
      <c r="A1094" s="226"/>
      <c r="B1094" s="227"/>
      <c r="C1094" s="231"/>
      <c r="D1094" s="229"/>
      <c r="E1094" s="227"/>
      <c r="F1094" s="227"/>
      <c r="G1094" s="229"/>
      <c r="H1094" s="229"/>
      <c r="I1094" s="175" t="s">
        <v>354</v>
      </c>
      <c r="J1094" s="175"/>
      <c r="K1094" s="175"/>
      <c r="L1094" s="175"/>
      <c r="M1094" s="176"/>
      <c r="N1094" s="176"/>
      <c r="O1094" s="176"/>
      <c r="P1094" s="176"/>
      <c r="Q1094" s="176"/>
      <c r="R1094" s="176"/>
      <c r="S1094" s="176"/>
      <c r="T1094" s="176"/>
      <c r="U1094" s="176"/>
      <c r="V1094" s="176"/>
      <c r="W1094" s="176"/>
      <c r="X1094" s="176"/>
      <c r="Y1094" s="176"/>
      <c r="Z1094" s="176"/>
      <c r="AA1094" s="176"/>
      <c r="AB1094" s="176"/>
      <c r="AC1094" s="176"/>
      <c r="AD1094" s="176"/>
      <c r="AE1094" s="176"/>
      <c r="AF1094" s="176"/>
      <c r="AG1094" s="176"/>
      <c r="AH1094" s="176"/>
      <c r="AI1094" s="176"/>
      <c r="AJ1094" s="176"/>
      <c r="AK1094" s="176"/>
      <c r="AL1094" s="176"/>
      <c r="AM1094" s="176"/>
      <c r="AN1094" s="176"/>
      <c r="AO1094" s="176"/>
      <c r="AP1094" s="176"/>
      <c r="AQ1094" s="176"/>
      <c r="AR1094" s="176"/>
      <c r="AS1094" s="176"/>
      <c r="AT1094" s="176"/>
      <c r="AU1094" s="176"/>
      <c r="AV1094" s="176"/>
      <c r="AW1094" s="176"/>
      <c r="AX1094" s="176"/>
      <c r="AY1094" s="176"/>
      <c r="AZ1094" s="176"/>
      <c r="BA1094" s="176"/>
      <c r="BB1094" s="176"/>
      <c r="BC1094" s="176"/>
      <c r="BD1094" s="176"/>
      <c r="BE1094" s="176"/>
      <c r="BF1094" s="176"/>
      <c r="BG1094" s="176"/>
      <c r="BH1094" s="176"/>
      <c r="BI1094" s="176"/>
      <c r="BJ1094" s="176"/>
      <c r="BK1094" s="176"/>
      <c r="BL1094" s="176"/>
      <c r="BM1094" s="176"/>
      <c r="BN1094" s="176"/>
      <c r="BO1094" s="176"/>
      <c r="BP1094" s="176"/>
      <c r="BQ1094" s="176"/>
      <c r="BR1094" s="176"/>
      <c r="BS1094" s="176">
        <v>418</v>
      </c>
      <c r="BT1094" s="176">
        <v>418</v>
      </c>
      <c r="BU1094" s="176">
        <v>356</v>
      </c>
      <c r="BV1094" s="176">
        <v>284</v>
      </c>
      <c r="BW1094" s="176">
        <v>312.39999999999998</v>
      </c>
      <c r="BX1094" s="176"/>
      <c r="BY1094" s="191"/>
      <c r="BZ1094" s="191"/>
      <c r="CA1094" s="191"/>
      <c r="CC1094" s="182"/>
    </row>
    <row r="1095" spans="1:81" s="178" customFormat="1" ht="15.75" customHeight="1">
      <c r="A1095" s="226"/>
      <c r="B1095" s="227"/>
      <c r="C1095" s="231"/>
      <c r="D1095" s="229"/>
      <c r="E1095" s="227"/>
      <c r="F1095" s="227"/>
      <c r="G1095" s="229"/>
      <c r="H1095" s="229"/>
      <c r="I1095" s="175" t="s">
        <v>356</v>
      </c>
      <c r="J1095" s="175"/>
      <c r="K1095" s="175"/>
      <c r="L1095" s="175"/>
      <c r="M1095" s="176"/>
      <c r="N1095" s="176"/>
      <c r="O1095" s="176"/>
      <c r="P1095" s="176"/>
      <c r="Q1095" s="176"/>
      <c r="R1095" s="176"/>
      <c r="S1095" s="176"/>
      <c r="T1095" s="176"/>
      <c r="U1095" s="176"/>
      <c r="V1095" s="176"/>
      <c r="W1095" s="176"/>
      <c r="X1095" s="176"/>
      <c r="Y1095" s="176"/>
      <c r="Z1095" s="176"/>
      <c r="AA1095" s="176"/>
      <c r="AB1095" s="176"/>
      <c r="AC1095" s="176"/>
      <c r="AD1095" s="176"/>
      <c r="AE1095" s="176"/>
      <c r="AF1095" s="176"/>
      <c r="AG1095" s="176"/>
      <c r="AH1095" s="176"/>
      <c r="AI1095" s="176"/>
      <c r="AJ1095" s="176"/>
      <c r="AK1095" s="176"/>
      <c r="AL1095" s="176"/>
      <c r="AM1095" s="176"/>
      <c r="AN1095" s="176"/>
      <c r="AO1095" s="176"/>
      <c r="AP1095" s="176"/>
      <c r="AQ1095" s="176"/>
      <c r="AR1095" s="176"/>
      <c r="AS1095" s="176"/>
      <c r="AT1095" s="176"/>
      <c r="AU1095" s="176"/>
      <c r="AV1095" s="176"/>
      <c r="AW1095" s="176"/>
      <c r="AX1095" s="176"/>
      <c r="AY1095" s="176"/>
      <c r="AZ1095" s="176"/>
      <c r="BA1095" s="176"/>
      <c r="BB1095" s="176"/>
      <c r="BC1095" s="176"/>
      <c r="BD1095" s="176"/>
      <c r="BE1095" s="176"/>
      <c r="BF1095" s="176"/>
      <c r="BG1095" s="176"/>
      <c r="BH1095" s="176"/>
      <c r="BI1095" s="176"/>
      <c r="BJ1095" s="176"/>
      <c r="BK1095" s="176"/>
      <c r="BL1095" s="176"/>
      <c r="BM1095" s="176"/>
      <c r="BN1095" s="176"/>
      <c r="BO1095" s="176"/>
      <c r="BP1095" s="176"/>
      <c r="BQ1095" s="176"/>
      <c r="BR1095" s="176"/>
      <c r="BS1095" s="176">
        <v>315</v>
      </c>
      <c r="BT1095" s="176">
        <v>315</v>
      </c>
      <c r="BU1095" s="176">
        <v>315</v>
      </c>
      <c r="BV1095" s="176">
        <v>315</v>
      </c>
      <c r="BW1095" s="176">
        <v>315</v>
      </c>
      <c r="BX1095" s="176"/>
      <c r="BY1095" s="191"/>
      <c r="BZ1095" s="191"/>
      <c r="CA1095" s="191"/>
      <c r="CC1095" s="182"/>
    </row>
    <row r="1096" spans="1:81" s="178" customFormat="1" ht="15.75" customHeight="1">
      <c r="A1096" s="226"/>
      <c r="B1096" s="227"/>
      <c r="C1096" s="231"/>
      <c r="D1096" s="229"/>
      <c r="E1096" s="227"/>
      <c r="F1096" s="227"/>
      <c r="G1096" s="229"/>
      <c r="H1096" s="229"/>
      <c r="I1096" s="175" t="s">
        <v>355</v>
      </c>
      <c r="J1096" s="175"/>
      <c r="K1096" s="175"/>
      <c r="L1096" s="175"/>
      <c r="M1096" s="176"/>
      <c r="N1096" s="176"/>
      <c r="O1096" s="176"/>
      <c r="P1096" s="176"/>
      <c r="Q1096" s="176"/>
      <c r="R1096" s="176"/>
      <c r="S1096" s="176"/>
      <c r="T1096" s="176"/>
      <c r="U1096" s="176"/>
      <c r="V1096" s="176"/>
      <c r="W1096" s="176"/>
      <c r="X1096" s="176"/>
      <c r="Y1096" s="176"/>
      <c r="Z1096" s="176"/>
      <c r="AA1096" s="176"/>
      <c r="AB1096" s="176"/>
      <c r="AC1096" s="176"/>
      <c r="AD1096" s="176"/>
      <c r="AE1096" s="176"/>
      <c r="AF1096" s="176"/>
      <c r="AG1096" s="176"/>
      <c r="AH1096" s="176"/>
      <c r="AI1096" s="176"/>
      <c r="AJ1096" s="176"/>
      <c r="AK1096" s="176"/>
      <c r="AL1096" s="176"/>
      <c r="AM1096" s="176"/>
      <c r="AN1096" s="176"/>
      <c r="AO1096" s="176"/>
      <c r="AP1096" s="176"/>
      <c r="AQ1096" s="176"/>
      <c r="AR1096" s="176"/>
      <c r="AS1096" s="176"/>
      <c r="AT1096" s="176"/>
      <c r="AU1096" s="176"/>
      <c r="AV1096" s="176"/>
      <c r="AW1096" s="176"/>
      <c r="AX1096" s="176"/>
      <c r="AY1096" s="176"/>
      <c r="AZ1096" s="176"/>
      <c r="BA1096" s="176"/>
      <c r="BB1096" s="176"/>
      <c r="BC1096" s="176"/>
      <c r="BD1096" s="176"/>
      <c r="BE1096" s="176"/>
      <c r="BF1096" s="176"/>
      <c r="BG1096" s="176"/>
      <c r="BH1096" s="176"/>
      <c r="BI1096" s="176"/>
      <c r="BJ1096" s="176"/>
      <c r="BK1096" s="176"/>
      <c r="BL1096" s="212"/>
      <c r="BM1096" s="212"/>
      <c r="BN1096" s="212"/>
      <c r="BO1096" s="212"/>
      <c r="BP1096" s="212"/>
      <c r="BQ1096" s="212"/>
      <c r="BR1096" s="212"/>
      <c r="BS1096" s="212"/>
      <c r="BT1096" s="212"/>
      <c r="BU1096" s="212"/>
      <c r="BV1096" s="212"/>
      <c r="BW1096" s="212"/>
      <c r="BX1096" s="176"/>
      <c r="BY1096" s="191"/>
      <c r="BZ1096" s="191"/>
      <c r="CA1096" s="191"/>
      <c r="CC1096" s="182"/>
    </row>
    <row r="1097" spans="1:81" s="178" customFormat="1" ht="15.75" customHeight="1">
      <c r="A1097" s="226"/>
      <c r="B1097" s="227"/>
      <c r="C1097" s="231"/>
      <c r="D1097" s="229"/>
      <c r="E1097" s="227"/>
      <c r="F1097" s="227"/>
      <c r="G1097" s="229"/>
      <c r="H1097" s="229"/>
      <c r="I1097" s="184" t="s">
        <v>362</v>
      </c>
      <c r="J1097" s="175"/>
      <c r="K1097" s="175"/>
      <c r="L1097" s="175"/>
      <c r="M1097" s="176"/>
      <c r="N1097" s="176"/>
      <c r="O1097" s="176"/>
      <c r="P1097" s="176"/>
      <c r="Q1097" s="176"/>
      <c r="R1097" s="176"/>
      <c r="S1097" s="176"/>
      <c r="T1097" s="176"/>
      <c r="U1097" s="176"/>
      <c r="V1097" s="176"/>
      <c r="W1097" s="176"/>
      <c r="X1097" s="176"/>
      <c r="Y1097" s="176"/>
      <c r="Z1097" s="176"/>
      <c r="AA1097" s="176"/>
      <c r="AB1097" s="176"/>
      <c r="AC1097" s="176"/>
      <c r="AD1097" s="176"/>
      <c r="AE1097" s="176"/>
      <c r="AF1097" s="176"/>
      <c r="AG1097" s="176"/>
      <c r="AH1097" s="176"/>
      <c r="AI1097" s="176"/>
      <c r="AJ1097" s="176"/>
      <c r="AK1097" s="176"/>
      <c r="AL1097" s="176"/>
      <c r="AM1097" s="176"/>
      <c r="AN1097" s="176"/>
      <c r="AO1097" s="176"/>
      <c r="AP1097" s="176"/>
      <c r="AQ1097" s="176"/>
      <c r="AR1097" s="176"/>
      <c r="AS1097" s="176"/>
      <c r="AT1097" s="176"/>
      <c r="AU1097" s="176"/>
      <c r="AV1097" s="176"/>
      <c r="AW1097" s="176"/>
      <c r="AX1097" s="176"/>
      <c r="AY1097" s="176"/>
      <c r="AZ1097" s="176"/>
      <c r="BA1097" s="176"/>
      <c r="BB1097" s="176"/>
      <c r="BC1097" s="176"/>
      <c r="BD1097" s="176"/>
      <c r="BE1097" s="176"/>
      <c r="BF1097" s="176"/>
      <c r="BG1097" s="176"/>
      <c r="BH1097" s="176"/>
      <c r="BI1097" s="176"/>
      <c r="BJ1097" s="176"/>
      <c r="BK1097" s="176"/>
      <c r="BL1097" s="176"/>
      <c r="BM1097" s="176"/>
      <c r="BN1097" s="176"/>
      <c r="BO1097" s="176"/>
      <c r="BP1097" s="176"/>
      <c r="BQ1097" s="176"/>
      <c r="BR1097" s="176"/>
      <c r="BS1097" s="176"/>
      <c r="BT1097" s="176"/>
      <c r="BU1097" s="176"/>
      <c r="BV1097" s="176"/>
      <c r="BW1097" s="176"/>
      <c r="BX1097" s="176"/>
      <c r="BY1097" s="191"/>
      <c r="BZ1097" s="191"/>
      <c r="CA1097" s="191"/>
      <c r="CC1097" s="182"/>
    </row>
    <row r="1098" spans="1:81" s="178" customFormat="1">
      <c r="A1098" s="226"/>
      <c r="B1098" s="227"/>
      <c r="C1098" s="231"/>
      <c r="D1098" s="229"/>
      <c r="E1098" s="227"/>
      <c r="F1098" s="227"/>
      <c r="G1098" s="229"/>
      <c r="H1098" s="229"/>
      <c r="I1098" s="190" t="s">
        <v>363</v>
      </c>
      <c r="J1098" s="190"/>
      <c r="K1098" s="190"/>
      <c r="L1098" s="190"/>
      <c r="M1098" s="176"/>
      <c r="N1098" s="176"/>
      <c r="O1098" s="176"/>
      <c r="P1098" s="176"/>
      <c r="Q1098" s="176"/>
      <c r="R1098" s="176"/>
      <c r="S1098" s="176"/>
      <c r="T1098" s="176"/>
      <c r="U1098" s="176"/>
      <c r="V1098" s="176"/>
      <c r="W1098" s="176"/>
      <c r="X1098" s="176"/>
      <c r="Y1098" s="176"/>
      <c r="Z1098" s="176"/>
      <c r="AA1098" s="176"/>
      <c r="AB1098" s="176"/>
      <c r="AC1098" s="176"/>
      <c r="AD1098" s="176"/>
      <c r="AE1098" s="176"/>
      <c r="AF1098" s="176"/>
      <c r="AG1098" s="176"/>
      <c r="AH1098" s="176"/>
      <c r="AI1098" s="176"/>
      <c r="AJ1098" s="176"/>
      <c r="AK1098" s="176"/>
      <c r="AL1098" s="176"/>
      <c r="AM1098" s="176"/>
      <c r="AN1098" s="176"/>
      <c r="AO1098" s="176"/>
      <c r="AP1098" s="176"/>
      <c r="AQ1098" s="176"/>
      <c r="AR1098" s="176"/>
      <c r="AS1098" s="176"/>
      <c r="AT1098" s="176"/>
      <c r="AU1098" s="176"/>
      <c r="AV1098" s="176"/>
      <c r="AW1098" s="176"/>
      <c r="AX1098" s="176"/>
      <c r="AY1098" s="176"/>
      <c r="AZ1098" s="176"/>
      <c r="BA1098" s="176"/>
      <c r="BB1098" s="176"/>
      <c r="BC1098" s="176"/>
      <c r="BD1098" s="176"/>
      <c r="BE1098" s="176"/>
      <c r="BF1098" s="176"/>
      <c r="BG1098" s="176"/>
      <c r="BH1098" s="176"/>
      <c r="BI1098" s="176"/>
      <c r="BJ1098" s="176"/>
      <c r="BK1098" s="176"/>
      <c r="BL1098" s="176"/>
      <c r="BM1098" s="176"/>
      <c r="BN1098" s="176"/>
      <c r="BO1098" s="176"/>
      <c r="BP1098" s="176"/>
      <c r="BQ1098" s="176"/>
      <c r="BR1098" s="176"/>
      <c r="BS1098" s="176"/>
      <c r="BT1098" s="176"/>
      <c r="BU1098" s="176"/>
      <c r="BV1098" s="176"/>
      <c r="BW1098" s="176"/>
      <c r="BX1098" s="176"/>
      <c r="BY1098" s="191"/>
      <c r="BZ1098" s="191"/>
    </row>
    <row r="1099" spans="1:81" s="178" customFormat="1">
      <c r="A1099" s="226"/>
      <c r="B1099" s="227"/>
      <c r="C1099" s="231"/>
      <c r="D1099" s="229"/>
      <c r="E1099" s="227"/>
      <c r="F1099" s="227"/>
      <c r="G1099" s="229"/>
      <c r="H1099" s="229"/>
      <c r="I1099" s="193" t="s">
        <v>373</v>
      </c>
      <c r="J1099" s="193"/>
      <c r="K1099" s="193"/>
      <c r="L1099" s="193"/>
      <c r="M1099" s="176"/>
      <c r="N1099" s="176"/>
      <c r="O1099" s="176"/>
      <c r="P1099" s="176"/>
      <c r="Q1099" s="176"/>
      <c r="R1099" s="176"/>
      <c r="S1099" s="176"/>
      <c r="T1099" s="176"/>
      <c r="U1099" s="176"/>
      <c r="V1099" s="176"/>
      <c r="W1099" s="176"/>
      <c r="X1099" s="176"/>
      <c r="Y1099" s="176"/>
      <c r="Z1099" s="176"/>
      <c r="AA1099" s="176"/>
      <c r="AB1099" s="176"/>
      <c r="AC1099" s="176"/>
      <c r="AD1099" s="176"/>
      <c r="AE1099" s="176"/>
      <c r="AF1099" s="176"/>
      <c r="AG1099" s="176"/>
      <c r="AH1099" s="176"/>
      <c r="AI1099" s="176"/>
      <c r="AJ1099" s="176"/>
      <c r="AK1099" s="176"/>
      <c r="AL1099" s="176"/>
      <c r="AM1099" s="176"/>
      <c r="AN1099" s="176"/>
      <c r="AO1099" s="176"/>
      <c r="AP1099" s="176"/>
      <c r="AQ1099" s="176"/>
      <c r="AR1099" s="176"/>
      <c r="AS1099" s="176"/>
      <c r="AT1099" s="176"/>
      <c r="AU1099" s="176"/>
      <c r="AV1099" s="176"/>
      <c r="AW1099" s="176"/>
      <c r="AX1099" s="176"/>
      <c r="AY1099" s="176"/>
      <c r="AZ1099" s="176"/>
      <c r="BA1099" s="176"/>
      <c r="BB1099" s="176"/>
      <c r="BC1099" s="176"/>
      <c r="BD1099" s="176"/>
      <c r="BE1099" s="176"/>
      <c r="BF1099" s="176"/>
      <c r="BG1099" s="176"/>
      <c r="BH1099" s="176"/>
      <c r="BI1099" s="176"/>
      <c r="BJ1099" s="176"/>
      <c r="BK1099" s="176"/>
      <c r="BL1099" s="176"/>
      <c r="BM1099" s="176"/>
      <c r="BN1099" s="176"/>
      <c r="BO1099" s="176"/>
      <c r="BP1099" s="176"/>
      <c r="BQ1099" s="176"/>
      <c r="BR1099" s="176"/>
      <c r="BS1099" s="176">
        <v>308.98</v>
      </c>
      <c r="BT1099" s="176">
        <v>308.98</v>
      </c>
      <c r="BU1099" s="176">
        <v>308.98</v>
      </c>
      <c r="BV1099" s="176">
        <v>308.98</v>
      </c>
      <c r="BW1099" s="176">
        <f>1701.34-884.67-509.24</f>
        <v>307.42999999999995</v>
      </c>
      <c r="BX1099" s="176"/>
      <c r="BY1099" s="191"/>
      <c r="BZ1099" s="191"/>
    </row>
    <row r="1100" spans="1:81" s="178" customFormat="1" ht="13.9" customHeight="1">
      <c r="A1100" s="226"/>
      <c r="B1100" s="227"/>
      <c r="C1100" s="232"/>
      <c r="D1100" s="229"/>
      <c r="E1100" s="227"/>
      <c r="F1100" s="227"/>
      <c r="G1100" s="229"/>
      <c r="H1100" s="229"/>
      <c r="I1100" s="190"/>
      <c r="J1100" s="176">
        <f>SUM(J1089:J1098)-J1099</f>
        <v>0</v>
      </c>
      <c r="K1100" s="176">
        <f t="shared" ref="K1100:Y1100" si="538">SUM(K1089:K1098)-K1099</f>
        <v>0</v>
      </c>
      <c r="L1100" s="176">
        <f t="shared" si="538"/>
        <v>0</v>
      </c>
      <c r="M1100" s="176">
        <f t="shared" si="538"/>
        <v>0</v>
      </c>
      <c r="N1100" s="176">
        <f t="shared" si="538"/>
        <v>0</v>
      </c>
      <c r="O1100" s="176">
        <f t="shared" si="538"/>
        <v>0</v>
      </c>
      <c r="P1100" s="176">
        <f t="shared" si="538"/>
        <v>0</v>
      </c>
      <c r="Q1100" s="176">
        <f t="shared" si="538"/>
        <v>0</v>
      </c>
      <c r="R1100" s="176">
        <f t="shared" si="538"/>
        <v>0</v>
      </c>
      <c r="S1100" s="176">
        <f t="shared" si="538"/>
        <v>0</v>
      </c>
      <c r="T1100" s="176">
        <f t="shared" si="538"/>
        <v>0</v>
      </c>
      <c r="U1100" s="176">
        <f t="shared" si="538"/>
        <v>0</v>
      </c>
      <c r="V1100" s="176">
        <f t="shared" si="538"/>
        <v>0</v>
      </c>
      <c r="W1100" s="176">
        <f t="shared" si="538"/>
        <v>0</v>
      </c>
      <c r="X1100" s="176">
        <f t="shared" si="538"/>
        <v>0</v>
      </c>
      <c r="Y1100" s="176">
        <f t="shared" si="538"/>
        <v>0</v>
      </c>
      <c r="Z1100" s="176">
        <f>SUM(Z1089:Z1098)-Z1099</f>
        <v>0</v>
      </c>
      <c r="AA1100" s="176">
        <f t="shared" ref="AA1100:AD1100" si="539">SUM(AA1089:AA1098)-AA1099</f>
        <v>0</v>
      </c>
      <c r="AB1100" s="176">
        <f t="shared" si="539"/>
        <v>0</v>
      </c>
      <c r="AC1100" s="176">
        <f t="shared" si="539"/>
        <v>0</v>
      </c>
      <c r="AD1100" s="176">
        <f t="shared" si="539"/>
        <v>0</v>
      </c>
      <c r="AE1100" s="176">
        <f>SUM(AE1089:AE1098)-AE1099</f>
        <v>0</v>
      </c>
      <c r="AF1100" s="176">
        <f>SUM(AF1089:AF1098)-AF1099</f>
        <v>0</v>
      </c>
      <c r="AG1100" s="176">
        <f t="shared" ref="AG1100:AU1100" si="540">SUM(AG1089:AG1098)-AG1099</f>
        <v>0</v>
      </c>
      <c r="AH1100" s="176">
        <f t="shared" si="540"/>
        <v>0</v>
      </c>
      <c r="AI1100" s="176">
        <f t="shared" si="540"/>
        <v>0</v>
      </c>
      <c r="AJ1100" s="176">
        <f t="shared" si="540"/>
        <v>0</v>
      </c>
      <c r="AK1100" s="176">
        <f t="shared" si="540"/>
        <v>0</v>
      </c>
      <c r="AL1100" s="176">
        <f t="shared" si="540"/>
        <v>0</v>
      </c>
      <c r="AM1100" s="176">
        <f t="shared" si="540"/>
        <v>0</v>
      </c>
      <c r="AN1100" s="176">
        <f t="shared" si="540"/>
        <v>0</v>
      </c>
      <c r="AO1100" s="176">
        <f t="shared" si="540"/>
        <v>0</v>
      </c>
      <c r="AP1100" s="176">
        <f t="shared" si="540"/>
        <v>0</v>
      </c>
      <c r="AQ1100" s="176">
        <f t="shared" si="540"/>
        <v>0</v>
      </c>
      <c r="AR1100" s="176">
        <f t="shared" si="540"/>
        <v>0</v>
      </c>
      <c r="AS1100" s="176">
        <f t="shared" si="540"/>
        <v>0</v>
      </c>
      <c r="AT1100" s="176">
        <f t="shared" si="540"/>
        <v>0</v>
      </c>
      <c r="AU1100" s="176">
        <f t="shared" si="540"/>
        <v>0</v>
      </c>
      <c r="AV1100" s="176">
        <f>SUM(AV1089:AV1098)-AV1099</f>
        <v>0</v>
      </c>
      <c r="AW1100" s="176">
        <f t="shared" ref="AW1100:BA1100" si="541">SUM(AW1089:AW1098)-AW1099</f>
        <v>0</v>
      </c>
      <c r="AX1100" s="176">
        <f t="shared" si="541"/>
        <v>0</v>
      </c>
      <c r="AY1100" s="176">
        <f t="shared" si="541"/>
        <v>0</v>
      </c>
      <c r="AZ1100" s="176">
        <f t="shared" si="541"/>
        <v>0</v>
      </c>
      <c r="BA1100" s="176">
        <f t="shared" si="541"/>
        <v>0</v>
      </c>
      <c r="BB1100" s="176"/>
      <c r="BC1100" s="176"/>
      <c r="BD1100" s="176"/>
      <c r="BE1100" s="176"/>
      <c r="BF1100" s="176"/>
      <c r="BG1100" s="176"/>
      <c r="BH1100" s="176"/>
      <c r="BI1100" s="176"/>
      <c r="BJ1100" s="176"/>
      <c r="BK1100" s="176"/>
      <c r="BL1100" s="176"/>
      <c r="BM1100" s="176"/>
      <c r="BN1100" s="176"/>
      <c r="BO1100" s="176"/>
      <c r="BP1100" s="176"/>
      <c r="BQ1100" s="176"/>
      <c r="BR1100" s="176"/>
      <c r="BS1100" s="176">
        <f t="shared" ref="BS1100:BT1100" si="542">BS1090+BS1095+BS1096-BS1099+BS1094+BS1093</f>
        <v>3010.4700000000003</v>
      </c>
      <c r="BT1100" s="176">
        <f t="shared" si="542"/>
        <v>3059.1499999999996</v>
      </c>
      <c r="BU1100" s="176">
        <f t="shared" ref="BU1100:BW1100" si="543">BU1090+BU1095+BU1096-BU1099+BU1094+BU1093</f>
        <v>3024.7</v>
      </c>
      <c r="BV1100" s="176">
        <f t="shared" si="543"/>
        <v>2952.7</v>
      </c>
      <c r="BW1100" s="176">
        <f t="shared" si="543"/>
        <v>3137.75</v>
      </c>
      <c r="BX1100" s="176">
        <f>SUM(BN1100:BW1100)</f>
        <v>15184.77</v>
      </c>
      <c r="BY1100" s="191"/>
      <c r="BZ1100" s="191"/>
    </row>
    <row r="1101" spans="1:81" ht="15.6" customHeight="1">
      <c r="A1101" s="148" t="s">
        <v>346</v>
      </c>
      <c r="B1101" s="148" t="s">
        <v>347</v>
      </c>
      <c r="C1101" s="145" t="s">
        <v>310</v>
      </c>
      <c r="D1101" s="145" t="s">
        <v>311</v>
      </c>
      <c r="E1101" s="148" t="s">
        <v>312</v>
      </c>
      <c r="F1101" s="148" t="s">
        <v>348</v>
      </c>
      <c r="G1101" s="145" t="s">
        <v>314</v>
      </c>
      <c r="H1101" s="145" t="s">
        <v>315</v>
      </c>
      <c r="I1101" s="145" t="s">
        <v>349</v>
      </c>
      <c r="J1101" s="146">
        <v>44105</v>
      </c>
      <c r="K1101" s="146">
        <v>44136</v>
      </c>
      <c r="L1101" s="146">
        <v>44166</v>
      </c>
      <c r="M1101" s="146">
        <v>44197</v>
      </c>
      <c r="N1101" s="146">
        <v>44228</v>
      </c>
      <c r="O1101" s="146">
        <v>44256</v>
      </c>
      <c r="P1101" s="146">
        <v>44287</v>
      </c>
      <c r="Q1101" s="146">
        <v>44317</v>
      </c>
      <c r="R1101" s="146">
        <v>44348</v>
      </c>
      <c r="S1101" s="146">
        <v>44378</v>
      </c>
      <c r="T1101" s="146">
        <v>44409</v>
      </c>
      <c r="U1101" s="146">
        <v>44440</v>
      </c>
      <c r="V1101" s="146">
        <v>44470</v>
      </c>
      <c r="W1101" s="146">
        <v>44501</v>
      </c>
      <c r="X1101" s="146">
        <v>44531</v>
      </c>
      <c r="Y1101" s="146">
        <v>44562</v>
      </c>
      <c r="Z1101" s="146">
        <v>44593</v>
      </c>
      <c r="AA1101" s="146">
        <v>44621</v>
      </c>
      <c r="AB1101" s="146">
        <v>44652</v>
      </c>
      <c r="AC1101" s="146">
        <v>44682</v>
      </c>
      <c r="AD1101" s="146">
        <v>44713</v>
      </c>
      <c r="AE1101" s="146">
        <v>44743</v>
      </c>
      <c r="AF1101" s="146">
        <v>44774</v>
      </c>
      <c r="AG1101" s="146">
        <v>44805</v>
      </c>
      <c r="AH1101" s="146">
        <v>44835</v>
      </c>
      <c r="AI1101" s="146">
        <v>44866</v>
      </c>
      <c r="AJ1101" s="146">
        <v>44896</v>
      </c>
      <c r="AK1101" s="146">
        <v>44927</v>
      </c>
      <c r="AL1101" s="146">
        <v>44958</v>
      </c>
      <c r="AM1101" s="146">
        <v>44986</v>
      </c>
      <c r="AN1101" s="146">
        <v>45017</v>
      </c>
      <c r="AO1101" s="146">
        <v>45047</v>
      </c>
      <c r="AP1101" s="146">
        <v>45078</v>
      </c>
      <c r="AQ1101" s="146">
        <v>45108</v>
      </c>
      <c r="AR1101" s="146">
        <v>45139</v>
      </c>
      <c r="AS1101" s="146">
        <v>45170</v>
      </c>
      <c r="AT1101" s="146">
        <v>45200</v>
      </c>
      <c r="AU1101" s="146">
        <v>45231</v>
      </c>
      <c r="AV1101" s="146">
        <v>45261</v>
      </c>
      <c r="AW1101" s="146">
        <v>45292</v>
      </c>
      <c r="AX1101" s="146">
        <v>45323</v>
      </c>
      <c r="AY1101" s="146">
        <v>45352</v>
      </c>
      <c r="AZ1101" s="146">
        <v>45383</v>
      </c>
      <c r="BA1101" s="146">
        <v>45413</v>
      </c>
      <c r="BB1101" s="146">
        <v>45444</v>
      </c>
      <c r="BC1101" s="146">
        <v>45474</v>
      </c>
      <c r="BD1101" s="146">
        <v>45505</v>
      </c>
      <c r="BE1101" s="146">
        <v>45536</v>
      </c>
      <c r="BF1101" s="146">
        <v>45566</v>
      </c>
      <c r="BG1101" s="146">
        <v>45597</v>
      </c>
      <c r="BH1101" s="146">
        <v>45627</v>
      </c>
      <c r="BI1101" s="146">
        <v>45658</v>
      </c>
      <c r="BJ1101" s="146">
        <v>45689</v>
      </c>
      <c r="BK1101" s="146">
        <v>45717</v>
      </c>
      <c r="BL1101" s="146">
        <v>45748</v>
      </c>
      <c r="BM1101" s="146">
        <v>45778</v>
      </c>
      <c r="BN1101" s="146">
        <v>45809</v>
      </c>
      <c r="BO1101" s="146">
        <v>45839</v>
      </c>
      <c r="BP1101" s="146">
        <v>45870</v>
      </c>
      <c r="BQ1101" s="146">
        <v>45901</v>
      </c>
      <c r="BR1101" s="146">
        <v>45931</v>
      </c>
      <c r="BS1101" s="146">
        <v>45962</v>
      </c>
      <c r="BT1101" s="146">
        <v>45992</v>
      </c>
      <c r="BU1101" s="146">
        <v>46023</v>
      </c>
      <c r="BV1101" s="146">
        <v>46054</v>
      </c>
      <c r="BW1101" s="146">
        <v>46082</v>
      </c>
      <c r="BX1101" s="147" t="s">
        <v>13</v>
      </c>
      <c r="BY1101" s="5"/>
      <c r="BZ1101" s="5"/>
      <c r="CA1101" s="5"/>
    </row>
    <row r="1102" spans="1:81" s="178" customFormat="1" ht="15.75" customHeight="1">
      <c r="A1102" s="226">
        <v>74</v>
      </c>
      <c r="B1102" s="227" t="s">
        <v>278</v>
      </c>
      <c r="C1102" s="230" t="s">
        <v>23</v>
      </c>
      <c r="D1102" s="229" t="s">
        <v>89</v>
      </c>
      <c r="E1102" s="227" t="s">
        <v>395</v>
      </c>
      <c r="F1102" s="227" t="s">
        <v>395</v>
      </c>
      <c r="G1102" s="228">
        <v>46044</v>
      </c>
      <c r="H1102" s="228"/>
      <c r="I1102" s="175" t="s">
        <v>390</v>
      </c>
      <c r="J1102" s="175"/>
      <c r="K1102" s="175"/>
      <c r="L1102" s="175"/>
      <c r="M1102" s="176"/>
      <c r="N1102" s="176"/>
      <c r="O1102" s="176"/>
      <c r="P1102" s="176"/>
      <c r="Q1102" s="176"/>
      <c r="R1102" s="176"/>
      <c r="S1102" s="176"/>
      <c r="T1102" s="176"/>
      <c r="U1102" s="176"/>
      <c r="V1102" s="176"/>
      <c r="W1102" s="176"/>
      <c r="X1102" s="176"/>
      <c r="Y1102" s="176"/>
      <c r="Z1102" s="176"/>
      <c r="AA1102" s="176"/>
      <c r="AB1102" s="176"/>
      <c r="AC1102" s="176"/>
      <c r="AD1102" s="176"/>
      <c r="AE1102" s="176"/>
      <c r="AF1102" s="176"/>
      <c r="AG1102" s="176"/>
      <c r="AH1102" s="176"/>
      <c r="AI1102" s="176"/>
      <c r="AJ1102" s="176"/>
      <c r="AK1102" s="176"/>
      <c r="AL1102" s="176"/>
      <c r="AM1102" s="176"/>
      <c r="AN1102" s="176"/>
      <c r="AO1102" s="176"/>
      <c r="AP1102" s="176"/>
      <c r="AQ1102" s="176"/>
      <c r="AR1102" s="176"/>
      <c r="AS1102" s="176"/>
      <c r="AT1102" s="176"/>
      <c r="AU1102" s="176"/>
      <c r="AV1102" s="176"/>
      <c r="AW1102" s="176"/>
      <c r="AX1102" s="176"/>
      <c r="AY1102" s="176"/>
      <c r="AZ1102" s="176"/>
      <c r="BA1102" s="176"/>
      <c r="BB1102" s="176"/>
      <c r="BC1102" s="176"/>
      <c r="BD1102" s="176"/>
      <c r="BE1102" s="176"/>
      <c r="BF1102" s="176"/>
      <c r="BG1102" s="176"/>
      <c r="BH1102" s="176"/>
      <c r="BI1102" s="176"/>
      <c r="BJ1102" s="176"/>
      <c r="BK1102" s="176"/>
      <c r="BL1102" s="176"/>
      <c r="BM1102" s="176"/>
      <c r="BN1102" s="176"/>
      <c r="BO1102" s="176"/>
      <c r="BP1102" s="176"/>
      <c r="BQ1102" s="176"/>
      <c r="BR1102" s="176"/>
      <c r="BS1102" s="176"/>
      <c r="BT1102" s="176"/>
      <c r="BU1102" s="176"/>
      <c r="BV1102" s="176"/>
      <c r="BW1102" s="176"/>
      <c r="BX1102" s="176"/>
      <c r="BY1102" s="191"/>
      <c r="BZ1102" s="191"/>
      <c r="CA1102" s="191"/>
      <c r="CC1102" s="182"/>
    </row>
    <row r="1103" spans="1:81" s="178" customFormat="1" ht="15.75" customHeight="1">
      <c r="A1103" s="226"/>
      <c r="B1103" s="227"/>
      <c r="C1103" s="231"/>
      <c r="D1103" s="229"/>
      <c r="E1103" s="227"/>
      <c r="F1103" s="227"/>
      <c r="G1103" s="229"/>
      <c r="H1103" s="229"/>
      <c r="I1103" s="175" t="s">
        <v>351</v>
      </c>
      <c r="J1103" s="175"/>
      <c r="K1103" s="175"/>
      <c r="L1103" s="175"/>
      <c r="M1103" s="176"/>
      <c r="N1103" s="176"/>
      <c r="O1103" s="176"/>
      <c r="P1103" s="176"/>
      <c r="Q1103" s="176"/>
      <c r="R1103" s="176"/>
      <c r="S1103" s="176"/>
      <c r="T1103" s="176"/>
      <c r="U1103" s="176"/>
      <c r="V1103" s="176"/>
      <c r="W1103" s="176"/>
      <c r="X1103" s="176"/>
      <c r="Y1103" s="176"/>
      <c r="Z1103" s="176"/>
      <c r="AA1103" s="176"/>
      <c r="AB1103" s="176"/>
      <c r="AC1103" s="176"/>
      <c r="AD1103" s="176"/>
      <c r="AE1103" s="176"/>
      <c r="AF1103" s="176"/>
      <c r="AG1103" s="176"/>
      <c r="AH1103" s="176"/>
      <c r="AI1103" s="176"/>
      <c r="AJ1103" s="176"/>
      <c r="AK1103" s="176"/>
      <c r="AL1103" s="176"/>
      <c r="AM1103" s="176"/>
      <c r="AN1103" s="176"/>
      <c r="AO1103" s="176"/>
      <c r="AP1103" s="176"/>
      <c r="AQ1103" s="176"/>
      <c r="AR1103" s="176"/>
      <c r="AS1103" s="176"/>
      <c r="AT1103" s="176"/>
      <c r="AU1103" s="176"/>
      <c r="AV1103" s="176"/>
      <c r="AW1103" s="176"/>
      <c r="AX1103" s="176"/>
      <c r="AY1103" s="176"/>
      <c r="AZ1103" s="176"/>
      <c r="BA1103" s="176"/>
      <c r="BB1103" s="176"/>
      <c r="BC1103" s="176"/>
      <c r="BD1103" s="176"/>
      <c r="BE1103" s="176"/>
      <c r="BF1103" s="176"/>
      <c r="BG1103" s="176"/>
      <c r="BH1103" s="176"/>
      <c r="BI1103" s="176"/>
      <c r="BJ1103" s="176"/>
      <c r="BK1103" s="176"/>
      <c r="BL1103" s="176"/>
      <c r="BM1103" s="176"/>
      <c r="BN1103" s="176"/>
      <c r="BO1103" s="176"/>
      <c r="BP1103" s="176"/>
      <c r="BQ1103" s="176"/>
      <c r="BR1103" s="176"/>
      <c r="BS1103" s="176"/>
      <c r="BT1103" s="176"/>
      <c r="BU1103" s="176">
        <v>663.5</v>
      </c>
      <c r="BV1103" s="176">
        <v>2111.6799999999998</v>
      </c>
      <c r="BW1103" s="176">
        <v>2111.6799999999998</v>
      </c>
      <c r="BX1103" s="176"/>
      <c r="BY1103" s="191"/>
      <c r="BZ1103" s="191"/>
      <c r="CA1103" s="191"/>
      <c r="CC1103" s="182"/>
    </row>
    <row r="1104" spans="1:81" s="178" customFormat="1" ht="15.75" customHeight="1">
      <c r="A1104" s="226"/>
      <c r="B1104" s="227"/>
      <c r="C1104" s="231"/>
      <c r="D1104" s="229"/>
      <c r="E1104" s="227"/>
      <c r="F1104" s="227"/>
      <c r="G1104" s="229"/>
      <c r="H1104" s="229"/>
      <c r="I1104" s="175" t="s">
        <v>391</v>
      </c>
      <c r="J1104" s="175"/>
      <c r="K1104" s="175"/>
      <c r="L1104" s="175"/>
      <c r="M1104" s="176"/>
      <c r="N1104" s="176"/>
      <c r="O1104" s="176"/>
      <c r="P1104" s="176"/>
      <c r="Q1104" s="176"/>
      <c r="R1104" s="176"/>
      <c r="S1104" s="176"/>
      <c r="T1104" s="176"/>
      <c r="U1104" s="176"/>
      <c r="V1104" s="176"/>
      <c r="W1104" s="176"/>
      <c r="X1104" s="176"/>
      <c r="Y1104" s="177"/>
      <c r="Z1104" s="176"/>
      <c r="AA1104" s="176"/>
      <c r="AB1104" s="176"/>
      <c r="AC1104" s="176"/>
      <c r="AD1104" s="176"/>
      <c r="AE1104" s="176"/>
      <c r="AF1104" s="176"/>
      <c r="AG1104" s="176"/>
      <c r="AH1104" s="176"/>
      <c r="AI1104" s="176"/>
      <c r="AJ1104" s="176"/>
      <c r="AK1104" s="176"/>
      <c r="AL1104" s="176"/>
      <c r="AM1104" s="176"/>
      <c r="AN1104" s="176"/>
      <c r="AO1104" s="176"/>
      <c r="AP1104" s="176"/>
      <c r="AQ1104" s="176"/>
      <c r="AR1104" s="176"/>
      <c r="AS1104" s="176"/>
      <c r="AT1104" s="176"/>
      <c r="AU1104" s="176"/>
      <c r="AV1104" s="176"/>
      <c r="AW1104" s="176"/>
      <c r="AX1104" s="176"/>
      <c r="AY1104" s="176"/>
      <c r="AZ1104" s="176"/>
      <c r="BA1104" s="176"/>
      <c r="BB1104" s="176"/>
      <c r="BC1104" s="176"/>
      <c r="BD1104" s="176"/>
      <c r="BE1104" s="176"/>
      <c r="BF1104" s="176"/>
      <c r="BG1104" s="176"/>
      <c r="BH1104" s="176"/>
      <c r="BI1104" s="176"/>
      <c r="BJ1104" s="176"/>
      <c r="BK1104" s="176"/>
      <c r="BL1104" s="176"/>
      <c r="BM1104" s="176"/>
      <c r="BN1104" s="176"/>
      <c r="BO1104" s="176"/>
      <c r="BP1104" s="176"/>
      <c r="BQ1104" s="176"/>
      <c r="BR1104" s="176"/>
      <c r="BS1104" s="176"/>
      <c r="BT1104" s="176"/>
      <c r="BU1104" s="176"/>
      <c r="BV1104" s="176"/>
      <c r="BW1104" s="176"/>
      <c r="BX1104" s="176"/>
      <c r="BY1104" s="191"/>
      <c r="BZ1104" s="191"/>
      <c r="CA1104" s="191"/>
      <c r="CC1104" s="182"/>
    </row>
    <row r="1105" spans="1:81" s="178" customFormat="1" ht="15.75" customHeight="1">
      <c r="A1105" s="226"/>
      <c r="B1105" s="227"/>
      <c r="C1105" s="231"/>
      <c r="D1105" s="229"/>
      <c r="E1105" s="227"/>
      <c r="F1105" s="227"/>
      <c r="G1105" s="229"/>
      <c r="H1105" s="229"/>
      <c r="I1105" s="175" t="s">
        <v>351</v>
      </c>
      <c r="J1105" s="175"/>
      <c r="K1105" s="175"/>
      <c r="L1105" s="175"/>
      <c r="M1105" s="176"/>
      <c r="N1105" s="176"/>
      <c r="O1105" s="176"/>
      <c r="P1105" s="176"/>
      <c r="Q1105" s="176"/>
      <c r="R1105" s="176"/>
      <c r="S1105" s="176"/>
      <c r="T1105" s="176"/>
      <c r="U1105" s="176"/>
      <c r="V1105" s="176"/>
      <c r="W1105" s="176"/>
      <c r="X1105" s="176"/>
      <c r="Y1105" s="177"/>
      <c r="Z1105" s="176"/>
      <c r="AA1105" s="176"/>
      <c r="AB1105" s="176"/>
      <c r="AC1105" s="176"/>
      <c r="AD1105" s="176"/>
      <c r="AE1105" s="176"/>
      <c r="AF1105" s="176"/>
      <c r="AG1105" s="176"/>
      <c r="AH1105" s="176"/>
      <c r="AI1105" s="176"/>
      <c r="AJ1105" s="176"/>
      <c r="AK1105" s="176"/>
      <c r="AL1105" s="176"/>
      <c r="AM1105" s="176"/>
      <c r="AN1105" s="176"/>
      <c r="AO1105" s="176"/>
      <c r="AP1105" s="176"/>
      <c r="AQ1105" s="176"/>
      <c r="AR1105" s="176"/>
      <c r="AS1105" s="176"/>
      <c r="AT1105" s="176"/>
      <c r="AU1105" s="176"/>
      <c r="AV1105" s="176"/>
      <c r="AW1105" s="176"/>
      <c r="AX1105" s="176"/>
      <c r="AY1105" s="176"/>
      <c r="AZ1105" s="176"/>
      <c r="BA1105" s="176"/>
      <c r="BB1105" s="176"/>
      <c r="BC1105" s="176"/>
      <c r="BD1105" s="176"/>
      <c r="BE1105" s="176"/>
      <c r="BF1105" s="176"/>
      <c r="BG1105" s="176"/>
      <c r="BH1105" s="176"/>
      <c r="BI1105" s="176"/>
      <c r="BJ1105" s="176"/>
      <c r="BK1105" s="176"/>
      <c r="BL1105" s="176"/>
      <c r="BM1105" s="176"/>
      <c r="BN1105" s="176"/>
      <c r="BO1105" s="176"/>
      <c r="BP1105" s="176"/>
      <c r="BQ1105" s="176"/>
      <c r="BR1105" s="176"/>
      <c r="BS1105" s="176"/>
      <c r="BT1105" s="176"/>
      <c r="BU1105" s="176"/>
      <c r="BV1105" s="176"/>
      <c r="BW1105" s="176"/>
      <c r="BX1105" s="176"/>
      <c r="BY1105" s="191"/>
      <c r="BZ1105" s="191"/>
      <c r="CA1105" s="191"/>
      <c r="CC1105" s="182"/>
    </row>
    <row r="1106" spans="1:81" s="178" customFormat="1" ht="15.75" customHeight="1">
      <c r="A1106" s="226"/>
      <c r="B1106" s="227"/>
      <c r="C1106" s="231"/>
      <c r="D1106" s="229"/>
      <c r="E1106" s="227"/>
      <c r="F1106" s="227"/>
      <c r="G1106" s="229"/>
      <c r="H1106" s="229"/>
      <c r="I1106" s="175" t="s">
        <v>353</v>
      </c>
      <c r="J1106" s="175"/>
      <c r="K1106" s="175"/>
      <c r="L1106" s="175"/>
      <c r="M1106" s="176"/>
      <c r="N1106" s="176"/>
      <c r="O1106" s="176"/>
      <c r="P1106" s="176"/>
      <c r="Q1106" s="176"/>
      <c r="R1106" s="176"/>
      <c r="S1106" s="176"/>
      <c r="T1106" s="176"/>
      <c r="U1106" s="176"/>
      <c r="V1106" s="176"/>
      <c r="W1106" s="176"/>
      <c r="X1106" s="176"/>
      <c r="Y1106" s="176"/>
      <c r="Z1106" s="176"/>
      <c r="AA1106" s="176"/>
      <c r="AB1106" s="176"/>
      <c r="AC1106" s="176"/>
      <c r="AD1106" s="176"/>
      <c r="AE1106" s="176"/>
      <c r="AF1106" s="176"/>
      <c r="AG1106" s="176"/>
      <c r="AH1106" s="176"/>
      <c r="AI1106" s="176"/>
      <c r="AJ1106" s="176"/>
      <c r="AK1106" s="176"/>
      <c r="AL1106" s="176"/>
      <c r="AM1106" s="176"/>
      <c r="AN1106" s="176"/>
      <c r="AO1106" s="176"/>
      <c r="AP1106" s="176"/>
      <c r="AQ1106" s="176"/>
      <c r="AR1106" s="176"/>
      <c r="AS1106" s="176"/>
      <c r="AT1106" s="176"/>
      <c r="AU1106" s="176"/>
      <c r="AV1106" s="176"/>
      <c r="AW1106" s="176"/>
      <c r="AX1106" s="176"/>
      <c r="AY1106" s="176"/>
      <c r="AZ1106" s="176"/>
      <c r="BA1106" s="176"/>
      <c r="BB1106" s="176"/>
      <c r="BC1106" s="176"/>
      <c r="BD1106" s="176"/>
      <c r="BE1106" s="176"/>
      <c r="BF1106" s="176"/>
      <c r="BG1106" s="176"/>
      <c r="BH1106" s="176"/>
      <c r="BI1106" s="176"/>
      <c r="BJ1106" s="176"/>
      <c r="BK1106" s="176"/>
      <c r="BL1106" s="176"/>
      <c r="BM1106" s="176"/>
      <c r="BN1106" s="176"/>
      <c r="BO1106" s="176"/>
      <c r="BP1106" s="176"/>
      <c r="BQ1106" s="176"/>
      <c r="BR1106" s="176"/>
      <c r="BS1106" s="176"/>
      <c r="BT1106" s="176"/>
      <c r="BU1106" s="176">
        <v>192.5</v>
      </c>
      <c r="BV1106" s="176">
        <v>551</v>
      </c>
      <c r="BW1106" s="176">
        <v>606.1</v>
      </c>
      <c r="BX1106" s="176"/>
      <c r="BY1106" s="191"/>
      <c r="BZ1106" s="191"/>
      <c r="CA1106" s="191"/>
      <c r="CC1106" s="182"/>
    </row>
    <row r="1107" spans="1:81" s="178" customFormat="1" ht="15.75" customHeight="1">
      <c r="A1107" s="226"/>
      <c r="B1107" s="227"/>
      <c r="C1107" s="231"/>
      <c r="D1107" s="229"/>
      <c r="E1107" s="227"/>
      <c r="F1107" s="227"/>
      <c r="G1107" s="229"/>
      <c r="H1107" s="229"/>
      <c r="I1107" s="175" t="s">
        <v>354</v>
      </c>
      <c r="J1107" s="175"/>
      <c r="K1107" s="175"/>
      <c r="L1107" s="175"/>
      <c r="M1107" s="176"/>
      <c r="N1107" s="176"/>
      <c r="O1107" s="176"/>
      <c r="P1107" s="176"/>
      <c r="Q1107" s="176"/>
      <c r="R1107" s="176"/>
      <c r="S1107" s="176"/>
      <c r="T1107" s="176"/>
      <c r="U1107" s="176"/>
      <c r="V1107" s="176"/>
      <c r="W1107" s="176"/>
      <c r="X1107" s="176"/>
      <c r="Y1107" s="176"/>
      <c r="Z1107" s="176"/>
      <c r="AA1107" s="176"/>
      <c r="AB1107" s="176"/>
      <c r="AC1107" s="176"/>
      <c r="AD1107" s="176"/>
      <c r="AE1107" s="176"/>
      <c r="AF1107" s="176"/>
      <c r="AG1107" s="176"/>
      <c r="AH1107" s="176"/>
      <c r="AI1107" s="176"/>
      <c r="AJ1107" s="176"/>
      <c r="AK1107" s="176"/>
      <c r="AL1107" s="176"/>
      <c r="AM1107" s="176"/>
      <c r="AN1107" s="176"/>
      <c r="AO1107" s="176"/>
      <c r="AP1107" s="176"/>
      <c r="AQ1107" s="176"/>
      <c r="AR1107" s="176"/>
      <c r="AS1107" s="176"/>
      <c r="AT1107" s="176"/>
      <c r="AU1107" s="176"/>
      <c r="AV1107" s="176"/>
      <c r="AW1107" s="176"/>
      <c r="AX1107" s="176"/>
      <c r="AY1107" s="176"/>
      <c r="AZ1107" s="176"/>
      <c r="BA1107" s="176"/>
      <c r="BB1107" s="176"/>
      <c r="BC1107" s="176"/>
      <c r="BD1107" s="176"/>
      <c r="BE1107" s="176"/>
      <c r="BF1107" s="176"/>
      <c r="BG1107" s="176"/>
      <c r="BH1107" s="176"/>
      <c r="BI1107" s="176"/>
      <c r="BJ1107" s="176"/>
      <c r="BK1107" s="176"/>
      <c r="BL1107" s="176"/>
      <c r="BM1107" s="176"/>
      <c r="BN1107" s="176"/>
      <c r="BO1107" s="176"/>
      <c r="BP1107" s="176"/>
      <c r="BQ1107" s="176"/>
      <c r="BR1107" s="176"/>
      <c r="BS1107" s="176"/>
      <c r="BT1107" s="176"/>
      <c r="BU1107" s="176">
        <v>315</v>
      </c>
      <c r="BV1107" s="176">
        <v>452</v>
      </c>
      <c r="BW1107" s="176">
        <v>497.2</v>
      </c>
      <c r="BX1107" s="176"/>
      <c r="BY1107" s="191"/>
      <c r="BZ1107" s="191"/>
      <c r="CA1107" s="191"/>
      <c r="CC1107" s="182"/>
    </row>
    <row r="1108" spans="1:81" s="178" customFormat="1" ht="15.75" customHeight="1">
      <c r="A1108" s="226"/>
      <c r="B1108" s="227"/>
      <c r="C1108" s="231"/>
      <c r="D1108" s="229"/>
      <c r="E1108" s="227"/>
      <c r="F1108" s="227"/>
      <c r="G1108" s="229"/>
      <c r="H1108" s="229"/>
      <c r="I1108" s="175" t="s">
        <v>356</v>
      </c>
      <c r="J1108" s="175"/>
      <c r="K1108" s="175"/>
      <c r="L1108" s="175"/>
      <c r="M1108" s="176"/>
      <c r="N1108" s="176"/>
      <c r="O1108" s="176"/>
      <c r="P1108" s="176"/>
      <c r="Q1108" s="176"/>
      <c r="R1108" s="176"/>
      <c r="S1108" s="176"/>
      <c r="T1108" s="176"/>
      <c r="U1108" s="176"/>
      <c r="V1108" s="176"/>
      <c r="W1108" s="176"/>
      <c r="X1108" s="176"/>
      <c r="Y1108" s="176"/>
      <c r="Z1108" s="176"/>
      <c r="AA1108" s="176"/>
      <c r="AB1108" s="176"/>
      <c r="AC1108" s="176"/>
      <c r="AD1108" s="176"/>
      <c r="AE1108" s="176"/>
      <c r="AF1108" s="176"/>
      <c r="AG1108" s="176"/>
      <c r="AH1108" s="176"/>
      <c r="AI1108" s="176"/>
      <c r="AJ1108" s="176"/>
      <c r="AK1108" s="176"/>
      <c r="AL1108" s="176"/>
      <c r="AM1108" s="176"/>
      <c r="AN1108" s="176"/>
      <c r="AO1108" s="176"/>
      <c r="AP1108" s="176"/>
      <c r="AQ1108" s="176"/>
      <c r="AR1108" s="176"/>
      <c r="AS1108" s="176"/>
      <c r="AT1108" s="176"/>
      <c r="AU1108" s="176"/>
      <c r="AV1108" s="176"/>
      <c r="AW1108" s="176"/>
      <c r="AX1108" s="176"/>
      <c r="AY1108" s="176"/>
      <c r="AZ1108" s="176"/>
      <c r="BA1108" s="176"/>
      <c r="BB1108" s="176"/>
      <c r="BC1108" s="176"/>
      <c r="BD1108" s="176"/>
      <c r="BE1108" s="176"/>
      <c r="BF1108" s="176"/>
      <c r="BG1108" s="176"/>
      <c r="BH1108" s="176"/>
      <c r="BI1108" s="176"/>
      <c r="BJ1108" s="176"/>
      <c r="BK1108" s="176"/>
      <c r="BL1108" s="176"/>
      <c r="BM1108" s="176"/>
      <c r="BN1108" s="176"/>
      <c r="BO1108" s="176"/>
      <c r="BP1108" s="176"/>
      <c r="BQ1108" s="176"/>
      <c r="BR1108" s="176"/>
      <c r="BS1108" s="176"/>
      <c r="BT1108" s="176"/>
      <c r="BU1108" s="176">
        <v>158.19999999999999</v>
      </c>
      <c r="BV1108" s="176">
        <v>315</v>
      </c>
      <c r="BW1108" s="176">
        <v>315</v>
      </c>
      <c r="BX1108" s="176"/>
      <c r="BY1108" s="191"/>
      <c r="BZ1108" s="191"/>
      <c r="CA1108" s="191"/>
      <c r="CC1108" s="182"/>
    </row>
    <row r="1109" spans="1:81" s="178" customFormat="1" ht="15.75" customHeight="1">
      <c r="A1109" s="226"/>
      <c r="B1109" s="227"/>
      <c r="C1109" s="231"/>
      <c r="D1109" s="229"/>
      <c r="E1109" s="227"/>
      <c r="F1109" s="227"/>
      <c r="G1109" s="229"/>
      <c r="H1109" s="229"/>
      <c r="I1109" s="175" t="s">
        <v>355</v>
      </c>
      <c r="J1109" s="175"/>
      <c r="K1109" s="175"/>
      <c r="L1109" s="175"/>
      <c r="M1109" s="176"/>
      <c r="N1109" s="176"/>
      <c r="O1109" s="176"/>
      <c r="P1109" s="176"/>
      <c r="Q1109" s="176"/>
      <c r="R1109" s="176"/>
      <c r="S1109" s="176"/>
      <c r="T1109" s="176"/>
      <c r="U1109" s="176"/>
      <c r="V1109" s="176"/>
      <c r="W1109" s="176"/>
      <c r="X1109" s="176"/>
      <c r="Y1109" s="176"/>
      <c r="Z1109" s="176"/>
      <c r="AA1109" s="176"/>
      <c r="AB1109" s="176"/>
      <c r="AC1109" s="176"/>
      <c r="AD1109" s="176"/>
      <c r="AE1109" s="176"/>
      <c r="AF1109" s="176"/>
      <c r="AG1109" s="176"/>
      <c r="AH1109" s="176"/>
      <c r="AI1109" s="176"/>
      <c r="AJ1109" s="176"/>
      <c r="AK1109" s="176"/>
      <c r="AL1109" s="176"/>
      <c r="AM1109" s="176"/>
      <c r="AN1109" s="176"/>
      <c r="AO1109" s="176"/>
      <c r="AP1109" s="176"/>
      <c r="AQ1109" s="176"/>
      <c r="AR1109" s="176"/>
      <c r="AS1109" s="176"/>
      <c r="AT1109" s="176"/>
      <c r="AU1109" s="176"/>
      <c r="AV1109" s="176"/>
      <c r="AW1109" s="176"/>
      <c r="AX1109" s="176"/>
      <c r="AY1109" s="176"/>
      <c r="AZ1109" s="176"/>
      <c r="BA1109" s="176"/>
      <c r="BB1109" s="176"/>
      <c r="BC1109" s="176"/>
      <c r="BD1109" s="176"/>
      <c r="BE1109" s="176"/>
      <c r="BF1109" s="176"/>
      <c r="BG1109" s="176"/>
      <c r="BH1109" s="176"/>
      <c r="BI1109" s="176"/>
      <c r="BJ1109" s="176"/>
      <c r="BK1109" s="176"/>
      <c r="BL1109" s="212"/>
      <c r="BM1109" s="212"/>
      <c r="BN1109" s="212"/>
      <c r="BO1109" s="212"/>
      <c r="BP1109" s="212"/>
      <c r="BQ1109" s="212"/>
      <c r="BR1109" s="212"/>
      <c r="BS1109" s="212"/>
      <c r="BT1109" s="212"/>
      <c r="BU1109" s="176"/>
      <c r="BV1109" s="212"/>
      <c r="BW1109" s="212"/>
      <c r="BX1109" s="176"/>
      <c r="BY1109" s="191"/>
      <c r="BZ1109" s="191"/>
      <c r="CA1109" s="191"/>
      <c r="CC1109" s="182"/>
    </row>
    <row r="1110" spans="1:81" s="178" customFormat="1" ht="15.75" customHeight="1">
      <c r="A1110" s="226"/>
      <c r="B1110" s="227"/>
      <c r="C1110" s="231"/>
      <c r="D1110" s="229"/>
      <c r="E1110" s="227"/>
      <c r="F1110" s="227"/>
      <c r="G1110" s="229"/>
      <c r="H1110" s="229"/>
      <c r="I1110" s="184" t="s">
        <v>362</v>
      </c>
      <c r="J1110" s="175"/>
      <c r="K1110" s="175"/>
      <c r="L1110" s="175"/>
      <c r="M1110" s="176"/>
      <c r="N1110" s="176"/>
      <c r="O1110" s="176"/>
      <c r="P1110" s="176"/>
      <c r="Q1110" s="176"/>
      <c r="R1110" s="176"/>
      <c r="S1110" s="176"/>
      <c r="T1110" s="176"/>
      <c r="U1110" s="176"/>
      <c r="V1110" s="176"/>
      <c r="W1110" s="176"/>
      <c r="X1110" s="176"/>
      <c r="Y1110" s="176"/>
      <c r="Z1110" s="176"/>
      <c r="AA1110" s="176"/>
      <c r="AB1110" s="176"/>
      <c r="AC1110" s="176"/>
      <c r="AD1110" s="176"/>
      <c r="AE1110" s="176"/>
      <c r="AF1110" s="176"/>
      <c r="AG1110" s="176"/>
      <c r="AH1110" s="176"/>
      <c r="AI1110" s="176"/>
      <c r="AJ1110" s="176"/>
      <c r="AK1110" s="176"/>
      <c r="AL1110" s="176"/>
      <c r="AM1110" s="176"/>
      <c r="AN1110" s="176"/>
      <c r="AO1110" s="176"/>
      <c r="AP1110" s="176"/>
      <c r="AQ1110" s="176"/>
      <c r="AR1110" s="176"/>
      <c r="AS1110" s="176"/>
      <c r="AT1110" s="176"/>
      <c r="AU1110" s="176"/>
      <c r="AV1110" s="176"/>
      <c r="AW1110" s="176"/>
      <c r="AX1110" s="176"/>
      <c r="AY1110" s="176"/>
      <c r="AZ1110" s="176"/>
      <c r="BA1110" s="176"/>
      <c r="BB1110" s="176"/>
      <c r="BC1110" s="176"/>
      <c r="BD1110" s="176"/>
      <c r="BE1110" s="176"/>
      <c r="BF1110" s="176"/>
      <c r="BG1110" s="176"/>
      <c r="BH1110" s="176"/>
      <c r="BI1110" s="176"/>
      <c r="BJ1110" s="176"/>
      <c r="BK1110" s="176"/>
      <c r="BL1110" s="176"/>
      <c r="BM1110" s="176"/>
      <c r="BN1110" s="176"/>
      <c r="BO1110" s="176"/>
      <c r="BP1110" s="176"/>
      <c r="BQ1110" s="176"/>
      <c r="BR1110" s="176"/>
      <c r="BS1110" s="176"/>
      <c r="BT1110" s="176"/>
      <c r="BU1110" s="176"/>
      <c r="BV1110" s="176"/>
      <c r="BW1110" s="176"/>
      <c r="BX1110" s="176"/>
      <c r="BY1110" s="191"/>
      <c r="BZ1110" s="191"/>
      <c r="CA1110" s="191"/>
      <c r="CC1110" s="182"/>
    </row>
    <row r="1111" spans="1:81" s="178" customFormat="1">
      <c r="A1111" s="226"/>
      <c r="B1111" s="227"/>
      <c r="C1111" s="231"/>
      <c r="D1111" s="229"/>
      <c r="E1111" s="227"/>
      <c r="F1111" s="227"/>
      <c r="G1111" s="229"/>
      <c r="H1111" s="229"/>
      <c r="I1111" s="190" t="s">
        <v>363</v>
      </c>
      <c r="J1111" s="190"/>
      <c r="K1111" s="190"/>
      <c r="L1111" s="190"/>
      <c r="M1111" s="176"/>
      <c r="N1111" s="176"/>
      <c r="O1111" s="176"/>
      <c r="P1111" s="176"/>
      <c r="Q1111" s="176"/>
      <c r="R1111" s="176"/>
      <c r="S1111" s="176"/>
      <c r="T1111" s="176"/>
      <c r="U1111" s="176"/>
      <c r="V1111" s="176"/>
      <c r="W1111" s="176"/>
      <c r="X1111" s="176"/>
      <c r="Y1111" s="176"/>
      <c r="Z1111" s="176"/>
      <c r="AA1111" s="176"/>
      <c r="AB1111" s="176"/>
      <c r="AC1111" s="176"/>
      <c r="AD1111" s="176"/>
      <c r="AE1111" s="176"/>
      <c r="AF1111" s="176"/>
      <c r="AG1111" s="176"/>
      <c r="AH1111" s="176"/>
      <c r="AI1111" s="176"/>
      <c r="AJ1111" s="176"/>
      <c r="AK1111" s="176"/>
      <c r="AL1111" s="176"/>
      <c r="AM1111" s="176"/>
      <c r="AN1111" s="176"/>
      <c r="AO1111" s="176"/>
      <c r="AP1111" s="176"/>
      <c r="AQ1111" s="176"/>
      <c r="AR1111" s="176"/>
      <c r="AS1111" s="176"/>
      <c r="AT1111" s="176"/>
      <c r="AU1111" s="176"/>
      <c r="AV1111" s="176"/>
      <c r="AW1111" s="176"/>
      <c r="AX1111" s="176"/>
      <c r="AY1111" s="176"/>
      <c r="AZ1111" s="176"/>
      <c r="BA1111" s="176"/>
      <c r="BB1111" s="176"/>
      <c r="BC1111" s="176"/>
      <c r="BD1111" s="176"/>
      <c r="BE1111" s="176"/>
      <c r="BF1111" s="176"/>
      <c r="BG1111" s="176"/>
      <c r="BH1111" s="176"/>
      <c r="BI1111" s="176"/>
      <c r="BJ1111" s="176"/>
      <c r="BK1111" s="176"/>
      <c r="BL1111" s="176"/>
      <c r="BM1111" s="176"/>
      <c r="BN1111" s="176"/>
      <c r="BO1111" s="176"/>
      <c r="BP1111" s="176"/>
      <c r="BQ1111" s="176"/>
      <c r="BR1111" s="176"/>
      <c r="BS1111" s="176"/>
      <c r="BT1111" s="176"/>
      <c r="BU1111" s="176"/>
      <c r="BV1111" s="176"/>
      <c r="BW1111" s="176"/>
      <c r="BX1111" s="176"/>
      <c r="BY1111" s="191"/>
      <c r="BZ1111" s="191"/>
    </row>
    <row r="1112" spans="1:81" s="178" customFormat="1">
      <c r="A1112" s="226"/>
      <c r="B1112" s="227"/>
      <c r="C1112" s="231"/>
      <c r="D1112" s="229"/>
      <c r="E1112" s="227"/>
      <c r="F1112" s="227"/>
      <c r="G1112" s="229"/>
      <c r="H1112" s="229"/>
      <c r="I1112" s="193" t="s">
        <v>373</v>
      </c>
      <c r="J1112" s="193"/>
      <c r="K1112" s="193"/>
      <c r="L1112" s="193"/>
      <c r="M1112" s="176"/>
      <c r="N1112" s="176"/>
      <c r="O1112" s="176"/>
      <c r="P1112" s="176"/>
      <c r="Q1112" s="176"/>
      <c r="R1112" s="176"/>
      <c r="S1112" s="176"/>
      <c r="T1112" s="176"/>
      <c r="U1112" s="176"/>
      <c r="V1112" s="176"/>
      <c r="W1112" s="176"/>
      <c r="X1112" s="176"/>
      <c r="Y1112" s="176"/>
      <c r="Z1112" s="176"/>
      <c r="AA1112" s="176"/>
      <c r="AB1112" s="176"/>
      <c r="AC1112" s="176"/>
      <c r="AD1112" s="176"/>
      <c r="AE1112" s="176"/>
      <c r="AF1112" s="176"/>
      <c r="AG1112" s="176"/>
      <c r="AH1112" s="176"/>
      <c r="AI1112" s="176"/>
      <c r="AJ1112" s="176"/>
      <c r="AK1112" s="176"/>
      <c r="AL1112" s="176"/>
      <c r="AM1112" s="176"/>
      <c r="AN1112" s="176"/>
      <c r="AO1112" s="176"/>
      <c r="AP1112" s="176"/>
      <c r="AQ1112" s="176"/>
      <c r="AR1112" s="176"/>
      <c r="AS1112" s="176"/>
      <c r="AT1112" s="176"/>
      <c r="AU1112" s="176"/>
      <c r="AV1112" s="176"/>
      <c r="AW1112" s="176"/>
      <c r="AX1112" s="176"/>
      <c r="AY1112" s="176"/>
      <c r="AZ1112" s="176"/>
      <c r="BA1112" s="176"/>
      <c r="BB1112" s="176"/>
      <c r="BC1112" s="176"/>
      <c r="BD1112" s="176"/>
      <c r="BE1112" s="176"/>
      <c r="BF1112" s="176"/>
      <c r="BG1112" s="176"/>
      <c r="BH1112" s="176"/>
      <c r="BI1112" s="176"/>
      <c r="BJ1112" s="176"/>
      <c r="BK1112" s="176"/>
      <c r="BL1112" s="176"/>
      <c r="BM1112" s="176"/>
      <c r="BN1112" s="176"/>
      <c r="BO1112" s="176"/>
      <c r="BP1112" s="176"/>
      <c r="BQ1112" s="176"/>
      <c r="BR1112" s="176"/>
      <c r="BS1112" s="176"/>
      <c r="BT1112" s="176"/>
      <c r="BU1112" s="176">
        <v>89.57</v>
      </c>
      <c r="BV1112" s="176">
        <v>308.98</v>
      </c>
      <c r="BW1112" s="176">
        <f>1192.1-884.67</f>
        <v>307.42999999999995</v>
      </c>
      <c r="BX1112" s="176"/>
      <c r="BY1112" s="191"/>
      <c r="BZ1112" s="191"/>
    </row>
    <row r="1113" spans="1:81" s="178" customFormat="1" ht="13.9" customHeight="1">
      <c r="A1113" s="226"/>
      <c r="B1113" s="227"/>
      <c r="C1113" s="232"/>
      <c r="D1113" s="229"/>
      <c r="E1113" s="227"/>
      <c r="F1113" s="227"/>
      <c r="G1113" s="229"/>
      <c r="H1113" s="229"/>
      <c r="I1113" s="190"/>
      <c r="J1113" s="176">
        <f>SUM(J1102:J1111)-J1112</f>
        <v>0</v>
      </c>
      <c r="K1113" s="176">
        <f t="shared" ref="K1113:Y1113" si="544">SUM(K1102:K1111)-K1112</f>
        <v>0</v>
      </c>
      <c r="L1113" s="176">
        <f t="shared" si="544"/>
        <v>0</v>
      </c>
      <c r="M1113" s="176">
        <f t="shared" si="544"/>
        <v>0</v>
      </c>
      <c r="N1113" s="176">
        <f t="shared" si="544"/>
        <v>0</v>
      </c>
      <c r="O1113" s="176">
        <f t="shared" si="544"/>
        <v>0</v>
      </c>
      <c r="P1113" s="176">
        <f t="shared" si="544"/>
        <v>0</v>
      </c>
      <c r="Q1113" s="176">
        <f t="shared" si="544"/>
        <v>0</v>
      </c>
      <c r="R1113" s="176">
        <f t="shared" si="544"/>
        <v>0</v>
      </c>
      <c r="S1113" s="176">
        <f t="shared" si="544"/>
        <v>0</v>
      </c>
      <c r="T1113" s="176">
        <f t="shared" si="544"/>
        <v>0</v>
      </c>
      <c r="U1113" s="176">
        <f t="shared" si="544"/>
        <v>0</v>
      </c>
      <c r="V1113" s="176">
        <f t="shared" si="544"/>
        <v>0</v>
      </c>
      <c r="W1113" s="176">
        <f t="shared" si="544"/>
        <v>0</v>
      </c>
      <c r="X1113" s="176">
        <f t="shared" si="544"/>
        <v>0</v>
      </c>
      <c r="Y1113" s="176">
        <f t="shared" si="544"/>
        <v>0</v>
      </c>
      <c r="Z1113" s="176">
        <f>SUM(Z1102:Z1111)-Z1112</f>
        <v>0</v>
      </c>
      <c r="AA1113" s="176">
        <f t="shared" ref="AA1113:AD1113" si="545">SUM(AA1102:AA1111)-AA1112</f>
        <v>0</v>
      </c>
      <c r="AB1113" s="176">
        <f t="shared" si="545"/>
        <v>0</v>
      </c>
      <c r="AC1113" s="176">
        <f t="shared" si="545"/>
        <v>0</v>
      </c>
      <c r="AD1113" s="176">
        <f t="shared" si="545"/>
        <v>0</v>
      </c>
      <c r="AE1113" s="176">
        <f>SUM(AE1102:AE1111)-AE1112</f>
        <v>0</v>
      </c>
      <c r="AF1113" s="176">
        <f>SUM(AF1102:AF1111)-AF1112</f>
        <v>0</v>
      </c>
      <c r="AG1113" s="176">
        <f t="shared" ref="AG1113:AU1113" si="546">SUM(AG1102:AG1111)-AG1112</f>
        <v>0</v>
      </c>
      <c r="AH1113" s="176">
        <f t="shared" si="546"/>
        <v>0</v>
      </c>
      <c r="AI1113" s="176">
        <f t="shared" si="546"/>
        <v>0</v>
      </c>
      <c r="AJ1113" s="176">
        <f t="shared" si="546"/>
        <v>0</v>
      </c>
      <c r="AK1113" s="176">
        <f t="shared" si="546"/>
        <v>0</v>
      </c>
      <c r="AL1113" s="176">
        <f t="shared" si="546"/>
        <v>0</v>
      </c>
      <c r="AM1113" s="176">
        <f t="shared" si="546"/>
        <v>0</v>
      </c>
      <c r="AN1113" s="176">
        <f t="shared" si="546"/>
        <v>0</v>
      </c>
      <c r="AO1113" s="176">
        <f t="shared" si="546"/>
        <v>0</v>
      </c>
      <c r="AP1113" s="176">
        <f t="shared" si="546"/>
        <v>0</v>
      </c>
      <c r="AQ1113" s="176">
        <f t="shared" si="546"/>
        <v>0</v>
      </c>
      <c r="AR1113" s="176">
        <f t="shared" si="546"/>
        <v>0</v>
      </c>
      <c r="AS1113" s="176">
        <f t="shared" si="546"/>
        <v>0</v>
      </c>
      <c r="AT1113" s="176">
        <f t="shared" si="546"/>
        <v>0</v>
      </c>
      <c r="AU1113" s="176">
        <f t="shared" si="546"/>
        <v>0</v>
      </c>
      <c r="AV1113" s="176">
        <f>SUM(AV1102:AV1111)-AV1112</f>
        <v>0</v>
      </c>
      <c r="AW1113" s="176">
        <f t="shared" ref="AW1113:BA1113" si="547">SUM(AW1102:AW1111)-AW1112</f>
        <v>0</v>
      </c>
      <c r="AX1113" s="176">
        <f t="shared" si="547"/>
        <v>0</v>
      </c>
      <c r="AY1113" s="176">
        <f t="shared" si="547"/>
        <v>0</v>
      </c>
      <c r="AZ1113" s="176">
        <f t="shared" si="547"/>
        <v>0</v>
      </c>
      <c r="BA1113" s="176">
        <f t="shared" si="547"/>
        <v>0</v>
      </c>
      <c r="BB1113" s="176"/>
      <c r="BC1113" s="176"/>
      <c r="BD1113" s="176"/>
      <c r="BE1113" s="176"/>
      <c r="BF1113" s="176"/>
      <c r="BG1113" s="176"/>
      <c r="BH1113" s="176"/>
      <c r="BI1113" s="176"/>
      <c r="BJ1113" s="176"/>
      <c r="BK1113" s="176"/>
      <c r="BL1113" s="176"/>
      <c r="BM1113" s="176"/>
      <c r="BN1113" s="176"/>
      <c r="BO1113" s="176"/>
      <c r="BP1113" s="176"/>
      <c r="BQ1113" s="176"/>
      <c r="BR1113" s="176"/>
      <c r="BS1113" s="176"/>
      <c r="BT1113" s="176"/>
      <c r="BU1113" s="176">
        <f t="shared" ref="BU1113:BW1113" si="548">BU1103+BU1108+BU1109-BU1112+BU1107+BU1106</f>
        <v>1239.6300000000001</v>
      </c>
      <c r="BV1113" s="176">
        <f t="shared" si="548"/>
        <v>3120.7</v>
      </c>
      <c r="BW1113" s="176">
        <f t="shared" si="548"/>
        <v>3222.5499999999997</v>
      </c>
      <c r="BX1113" s="176">
        <f>SUM(BN1113:BW1113)</f>
        <v>7582.8799999999992</v>
      </c>
      <c r="BY1113" s="191"/>
      <c r="BZ1113" s="191"/>
    </row>
    <row r="1114" spans="1:81" ht="15.6" customHeight="1">
      <c r="A1114" s="148" t="s">
        <v>346</v>
      </c>
      <c r="B1114" s="148" t="s">
        <v>347</v>
      </c>
      <c r="C1114" s="145" t="s">
        <v>310</v>
      </c>
      <c r="D1114" s="145" t="s">
        <v>311</v>
      </c>
      <c r="E1114" s="148" t="s">
        <v>312</v>
      </c>
      <c r="F1114" s="148" t="s">
        <v>348</v>
      </c>
      <c r="G1114" s="145" t="s">
        <v>314</v>
      </c>
      <c r="H1114" s="145" t="s">
        <v>315</v>
      </c>
      <c r="I1114" s="145" t="s">
        <v>349</v>
      </c>
      <c r="J1114" s="146">
        <v>44105</v>
      </c>
      <c r="K1114" s="146">
        <v>44136</v>
      </c>
      <c r="L1114" s="146">
        <v>44166</v>
      </c>
      <c r="M1114" s="146">
        <v>44197</v>
      </c>
      <c r="N1114" s="146">
        <v>44228</v>
      </c>
      <c r="O1114" s="146">
        <v>44256</v>
      </c>
      <c r="P1114" s="146">
        <v>44287</v>
      </c>
      <c r="Q1114" s="146">
        <v>44317</v>
      </c>
      <c r="R1114" s="146">
        <v>44348</v>
      </c>
      <c r="S1114" s="146">
        <v>44378</v>
      </c>
      <c r="T1114" s="146">
        <v>44409</v>
      </c>
      <c r="U1114" s="146">
        <v>44440</v>
      </c>
      <c r="V1114" s="146">
        <v>44470</v>
      </c>
      <c r="W1114" s="146">
        <v>44501</v>
      </c>
      <c r="X1114" s="146">
        <v>44531</v>
      </c>
      <c r="Y1114" s="146">
        <v>44562</v>
      </c>
      <c r="Z1114" s="146">
        <v>44593</v>
      </c>
      <c r="AA1114" s="146">
        <v>44621</v>
      </c>
      <c r="AB1114" s="146">
        <v>44652</v>
      </c>
      <c r="AC1114" s="146">
        <v>44682</v>
      </c>
      <c r="AD1114" s="146">
        <v>44713</v>
      </c>
      <c r="AE1114" s="146">
        <v>44743</v>
      </c>
      <c r="AF1114" s="146">
        <v>44774</v>
      </c>
      <c r="AG1114" s="146">
        <v>44805</v>
      </c>
      <c r="AH1114" s="146">
        <v>44835</v>
      </c>
      <c r="AI1114" s="146">
        <v>44866</v>
      </c>
      <c r="AJ1114" s="146">
        <v>44896</v>
      </c>
      <c r="AK1114" s="146">
        <v>44927</v>
      </c>
      <c r="AL1114" s="146">
        <v>44958</v>
      </c>
      <c r="AM1114" s="146">
        <v>44986</v>
      </c>
      <c r="AN1114" s="146">
        <v>45017</v>
      </c>
      <c r="AO1114" s="146">
        <v>45047</v>
      </c>
      <c r="AP1114" s="146">
        <v>45078</v>
      </c>
      <c r="AQ1114" s="146">
        <v>45108</v>
      </c>
      <c r="AR1114" s="146">
        <v>45139</v>
      </c>
      <c r="AS1114" s="146">
        <v>45170</v>
      </c>
      <c r="AT1114" s="146">
        <v>45200</v>
      </c>
      <c r="AU1114" s="146">
        <v>45231</v>
      </c>
      <c r="AV1114" s="146">
        <v>45261</v>
      </c>
      <c r="AW1114" s="146">
        <v>45292</v>
      </c>
      <c r="AX1114" s="146">
        <v>45323</v>
      </c>
      <c r="AY1114" s="146">
        <v>45352</v>
      </c>
      <c r="AZ1114" s="146">
        <v>45383</v>
      </c>
      <c r="BA1114" s="146">
        <v>45413</v>
      </c>
      <c r="BB1114" s="146">
        <v>45444</v>
      </c>
      <c r="BC1114" s="146">
        <v>45474</v>
      </c>
      <c r="BD1114" s="146">
        <v>45505</v>
      </c>
      <c r="BE1114" s="146">
        <v>45536</v>
      </c>
      <c r="BF1114" s="146">
        <v>45566</v>
      </c>
      <c r="BG1114" s="146">
        <v>45597</v>
      </c>
      <c r="BH1114" s="146">
        <v>45627</v>
      </c>
      <c r="BI1114" s="146">
        <v>45658</v>
      </c>
      <c r="BJ1114" s="146">
        <v>45689</v>
      </c>
      <c r="BK1114" s="146">
        <v>45717</v>
      </c>
      <c r="BL1114" s="146">
        <v>45748</v>
      </c>
      <c r="BM1114" s="146">
        <v>45778</v>
      </c>
      <c r="BN1114" s="146"/>
      <c r="BO1114" s="146"/>
      <c r="BP1114" s="146"/>
      <c r="BQ1114" s="146"/>
      <c r="BR1114" s="146"/>
      <c r="BS1114" s="146"/>
      <c r="BT1114" s="146">
        <v>45992</v>
      </c>
      <c r="BU1114" s="146">
        <v>46023</v>
      </c>
      <c r="BV1114" s="146">
        <v>46054</v>
      </c>
      <c r="BW1114" s="146">
        <v>46082</v>
      </c>
      <c r="BX1114" s="147" t="s">
        <v>13</v>
      </c>
      <c r="BY1114" s="5"/>
      <c r="BZ1114" s="5"/>
      <c r="CA1114" s="5"/>
    </row>
    <row r="1115" spans="1:81" s="178" customFormat="1" ht="15.75" customHeight="1">
      <c r="A1115" s="226">
        <v>74</v>
      </c>
      <c r="B1115" s="227" t="s">
        <v>279</v>
      </c>
      <c r="C1115" s="230" t="s">
        <v>23</v>
      </c>
      <c r="D1115" s="229" t="s">
        <v>89</v>
      </c>
      <c r="E1115" s="227" t="s">
        <v>395</v>
      </c>
      <c r="F1115" s="227" t="s">
        <v>395</v>
      </c>
      <c r="G1115" s="228">
        <v>46044</v>
      </c>
      <c r="H1115" s="228"/>
      <c r="I1115" s="175" t="s">
        <v>390</v>
      </c>
      <c r="J1115" s="175"/>
      <c r="K1115" s="175"/>
      <c r="L1115" s="175"/>
      <c r="M1115" s="176"/>
      <c r="N1115" s="176"/>
      <c r="O1115" s="176"/>
      <c r="P1115" s="176"/>
      <c r="Q1115" s="176"/>
      <c r="R1115" s="176"/>
      <c r="S1115" s="176"/>
      <c r="T1115" s="176"/>
      <c r="U1115" s="176"/>
      <c r="V1115" s="176"/>
      <c r="W1115" s="176"/>
      <c r="X1115" s="176"/>
      <c r="Y1115" s="176"/>
      <c r="Z1115" s="176"/>
      <c r="AA1115" s="176"/>
      <c r="AB1115" s="176"/>
      <c r="AC1115" s="176"/>
      <c r="AD1115" s="176"/>
      <c r="AE1115" s="176"/>
      <c r="AF1115" s="176"/>
      <c r="AG1115" s="176"/>
      <c r="AH1115" s="176"/>
      <c r="AI1115" s="176"/>
      <c r="AJ1115" s="176"/>
      <c r="AK1115" s="176"/>
      <c r="AL1115" s="176"/>
      <c r="AM1115" s="176"/>
      <c r="AN1115" s="176"/>
      <c r="AO1115" s="176"/>
      <c r="AP1115" s="176"/>
      <c r="AQ1115" s="176"/>
      <c r="AR1115" s="176"/>
      <c r="AS1115" s="176"/>
      <c r="AT1115" s="176"/>
      <c r="AU1115" s="176"/>
      <c r="AV1115" s="176"/>
      <c r="AW1115" s="176"/>
      <c r="AX1115" s="176"/>
      <c r="AY1115" s="176"/>
      <c r="AZ1115" s="176"/>
      <c r="BA1115" s="176"/>
      <c r="BB1115" s="176"/>
      <c r="BC1115" s="176"/>
      <c r="BD1115" s="176"/>
      <c r="BE1115" s="176"/>
      <c r="BF1115" s="176"/>
      <c r="BG1115" s="176"/>
      <c r="BH1115" s="176"/>
      <c r="BI1115" s="176"/>
      <c r="BJ1115" s="176"/>
      <c r="BK1115" s="176"/>
      <c r="BL1115" s="176"/>
      <c r="BM1115" s="176"/>
      <c r="BN1115" s="176"/>
      <c r="BO1115" s="176"/>
      <c r="BP1115" s="176"/>
      <c r="BQ1115" s="176"/>
      <c r="BR1115" s="176"/>
      <c r="BS1115" s="176"/>
      <c r="BT1115" s="176"/>
      <c r="BU1115" s="176"/>
      <c r="BV1115" s="176"/>
      <c r="BW1115" s="176"/>
      <c r="BX1115" s="176"/>
      <c r="BY1115" s="191"/>
      <c r="BZ1115" s="191"/>
      <c r="CA1115" s="191"/>
      <c r="CC1115" s="182"/>
    </row>
    <row r="1116" spans="1:81" s="178" customFormat="1" ht="15.75" customHeight="1">
      <c r="A1116" s="226"/>
      <c r="B1116" s="227"/>
      <c r="C1116" s="231"/>
      <c r="D1116" s="229"/>
      <c r="E1116" s="227"/>
      <c r="F1116" s="227"/>
      <c r="G1116" s="229"/>
      <c r="H1116" s="229"/>
      <c r="I1116" s="175" t="s">
        <v>351</v>
      </c>
      <c r="J1116" s="175"/>
      <c r="K1116" s="175"/>
      <c r="L1116" s="175"/>
      <c r="M1116" s="176"/>
      <c r="N1116" s="176"/>
      <c r="O1116" s="176"/>
      <c r="P1116" s="176"/>
      <c r="Q1116" s="176"/>
      <c r="R1116" s="176"/>
      <c r="S1116" s="176"/>
      <c r="T1116" s="176"/>
      <c r="U1116" s="176"/>
      <c r="V1116" s="176"/>
      <c r="W1116" s="176"/>
      <c r="X1116" s="176"/>
      <c r="Y1116" s="176"/>
      <c r="Z1116" s="176"/>
      <c r="AA1116" s="176"/>
      <c r="AB1116" s="176"/>
      <c r="AC1116" s="176"/>
      <c r="AD1116" s="176"/>
      <c r="AE1116" s="176"/>
      <c r="AF1116" s="176"/>
      <c r="AG1116" s="176"/>
      <c r="AH1116" s="176"/>
      <c r="AI1116" s="176"/>
      <c r="AJ1116" s="176"/>
      <c r="AK1116" s="176"/>
      <c r="AL1116" s="176"/>
      <c r="AM1116" s="176"/>
      <c r="AN1116" s="176"/>
      <c r="AO1116" s="176"/>
      <c r="AP1116" s="176"/>
      <c r="AQ1116" s="176"/>
      <c r="AR1116" s="176"/>
      <c r="AS1116" s="176"/>
      <c r="AT1116" s="176"/>
      <c r="AU1116" s="176"/>
      <c r="AV1116" s="176"/>
      <c r="AW1116" s="176"/>
      <c r="AX1116" s="176"/>
      <c r="AY1116" s="176"/>
      <c r="AZ1116" s="176"/>
      <c r="BA1116" s="176"/>
      <c r="BB1116" s="176"/>
      <c r="BC1116" s="176"/>
      <c r="BD1116" s="176"/>
      <c r="BE1116" s="176"/>
      <c r="BF1116" s="176"/>
      <c r="BG1116" s="176"/>
      <c r="BH1116" s="176"/>
      <c r="BI1116" s="176"/>
      <c r="BJ1116" s="176"/>
      <c r="BK1116" s="176"/>
      <c r="BL1116" s="176"/>
      <c r="BM1116" s="176"/>
      <c r="BN1116" s="176"/>
      <c r="BO1116" s="176"/>
      <c r="BP1116" s="176"/>
      <c r="BQ1116" s="176"/>
      <c r="BR1116" s="176"/>
      <c r="BS1116" s="176"/>
      <c r="BT1116" s="176"/>
      <c r="BU1116" s="176">
        <v>663.5</v>
      </c>
      <c r="BV1116" s="176">
        <v>2111.6799999999998</v>
      </c>
      <c r="BW1116" s="176">
        <v>2111.6799999999998</v>
      </c>
      <c r="BX1116" s="176"/>
      <c r="BY1116" s="191"/>
      <c r="BZ1116" s="191"/>
      <c r="CA1116" s="191"/>
      <c r="CC1116" s="182"/>
    </row>
    <row r="1117" spans="1:81" s="178" customFormat="1" ht="15.75" customHeight="1">
      <c r="A1117" s="226"/>
      <c r="B1117" s="227"/>
      <c r="C1117" s="231"/>
      <c r="D1117" s="229"/>
      <c r="E1117" s="227"/>
      <c r="F1117" s="227"/>
      <c r="G1117" s="229"/>
      <c r="H1117" s="229"/>
      <c r="I1117" s="175" t="s">
        <v>391</v>
      </c>
      <c r="J1117" s="175"/>
      <c r="K1117" s="175"/>
      <c r="L1117" s="175"/>
      <c r="M1117" s="176"/>
      <c r="N1117" s="176"/>
      <c r="O1117" s="176"/>
      <c r="P1117" s="176"/>
      <c r="Q1117" s="176"/>
      <c r="R1117" s="176"/>
      <c r="S1117" s="176"/>
      <c r="T1117" s="176"/>
      <c r="U1117" s="176"/>
      <c r="V1117" s="176"/>
      <c r="W1117" s="176"/>
      <c r="X1117" s="176"/>
      <c r="Y1117" s="177"/>
      <c r="Z1117" s="176"/>
      <c r="AA1117" s="176"/>
      <c r="AB1117" s="176"/>
      <c r="AC1117" s="176"/>
      <c r="AD1117" s="176"/>
      <c r="AE1117" s="176"/>
      <c r="AF1117" s="176"/>
      <c r="AG1117" s="176"/>
      <c r="AH1117" s="176"/>
      <c r="AI1117" s="176"/>
      <c r="AJ1117" s="176"/>
      <c r="AK1117" s="176"/>
      <c r="AL1117" s="176"/>
      <c r="AM1117" s="176"/>
      <c r="AN1117" s="176"/>
      <c r="AO1117" s="176"/>
      <c r="AP1117" s="176"/>
      <c r="AQ1117" s="176"/>
      <c r="AR1117" s="176"/>
      <c r="AS1117" s="176"/>
      <c r="AT1117" s="176"/>
      <c r="AU1117" s="176"/>
      <c r="AV1117" s="176"/>
      <c r="AW1117" s="176"/>
      <c r="AX1117" s="176"/>
      <c r="AY1117" s="176"/>
      <c r="AZ1117" s="176"/>
      <c r="BA1117" s="176"/>
      <c r="BB1117" s="176"/>
      <c r="BC1117" s="176"/>
      <c r="BD1117" s="176"/>
      <c r="BE1117" s="176"/>
      <c r="BF1117" s="176"/>
      <c r="BG1117" s="176"/>
      <c r="BH1117" s="176"/>
      <c r="BI1117" s="176"/>
      <c r="BJ1117" s="176"/>
      <c r="BK1117" s="176"/>
      <c r="BL1117" s="176"/>
      <c r="BM1117" s="176"/>
      <c r="BN1117" s="176"/>
      <c r="BO1117" s="176"/>
      <c r="BP1117" s="176"/>
      <c r="BQ1117" s="176"/>
      <c r="BR1117" s="176"/>
      <c r="BS1117" s="176"/>
      <c r="BT1117" s="176"/>
      <c r="BU1117" s="176"/>
      <c r="BV1117" s="176"/>
      <c r="BW1117" s="176"/>
      <c r="BX1117" s="176"/>
      <c r="BY1117" s="191"/>
      <c r="BZ1117" s="191"/>
      <c r="CA1117" s="191"/>
      <c r="CC1117" s="182"/>
    </row>
    <row r="1118" spans="1:81" s="178" customFormat="1" ht="15.75" customHeight="1">
      <c r="A1118" s="226"/>
      <c r="B1118" s="227"/>
      <c r="C1118" s="231"/>
      <c r="D1118" s="229"/>
      <c r="E1118" s="227"/>
      <c r="F1118" s="227"/>
      <c r="G1118" s="229"/>
      <c r="H1118" s="229"/>
      <c r="I1118" s="175" t="s">
        <v>351</v>
      </c>
      <c r="J1118" s="175"/>
      <c r="K1118" s="175"/>
      <c r="L1118" s="175"/>
      <c r="M1118" s="176"/>
      <c r="N1118" s="176"/>
      <c r="O1118" s="176"/>
      <c r="P1118" s="176"/>
      <c r="Q1118" s="176"/>
      <c r="R1118" s="176"/>
      <c r="S1118" s="176"/>
      <c r="T1118" s="176"/>
      <c r="U1118" s="176"/>
      <c r="V1118" s="176"/>
      <c r="W1118" s="176"/>
      <c r="X1118" s="176"/>
      <c r="Y1118" s="177"/>
      <c r="Z1118" s="176"/>
      <c r="AA1118" s="176"/>
      <c r="AB1118" s="176"/>
      <c r="AC1118" s="176"/>
      <c r="AD1118" s="176"/>
      <c r="AE1118" s="176"/>
      <c r="AF1118" s="176"/>
      <c r="AG1118" s="176"/>
      <c r="AH1118" s="176"/>
      <c r="AI1118" s="176"/>
      <c r="AJ1118" s="176"/>
      <c r="AK1118" s="176"/>
      <c r="AL1118" s="176"/>
      <c r="AM1118" s="176"/>
      <c r="AN1118" s="176"/>
      <c r="AO1118" s="176"/>
      <c r="AP1118" s="176"/>
      <c r="AQ1118" s="176"/>
      <c r="AR1118" s="176"/>
      <c r="AS1118" s="176"/>
      <c r="AT1118" s="176"/>
      <c r="AU1118" s="176"/>
      <c r="AV1118" s="176"/>
      <c r="AW1118" s="176"/>
      <c r="AX1118" s="176"/>
      <c r="AY1118" s="176"/>
      <c r="AZ1118" s="176"/>
      <c r="BA1118" s="176"/>
      <c r="BB1118" s="176"/>
      <c r="BC1118" s="176"/>
      <c r="BD1118" s="176"/>
      <c r="BE1118" s="176"/>
      <c r="BF1118" s="176"/>
      <c r="BG1118" s="176"/>
      <c r="BH1118" s="176"/>
      <c r="BI1118" s="176"/>
      <c r="BJ1118" s="176"/>
      <c r="BK1118" s="176"/>
      <c r="BL1118" s="176"/>
      <c r="BM1118" s="176"/>
      <c r="BN1118" s="176"/>
      <c r="BO1118" s="176"/>
      <c r="BP1118" s="176"/>
      <c r="BQ1118" s="176"/>
      <c r="BR1118" s="176"/>
      <c r="BS1118" s="176"/>
      <c r="BT1118" s="176"/>
      <c r="BU1118" s="176"/>
      <c r="BV1118" s="176"/>
      <c r="BW1118" s="176"/>
      <c r="BX1118" s="176"/>
      <c r="BY1118" s="191"/>
      <c r="BZ1118" s="191"/>
      <c r="CA1118" s="191"/>
      <c r="CC1118" s="182"/>
    </row>
    <row r="1119" spans="1:81" s="178" customFormat="1" ht="15.75" customHeight="1">
      <c r="A1119" s="226"/>
      <c r="B1119" s="227"/>
      <c r="C1119" s="231"/>
      <c r="D1119" s="229"/>
      <c r="E1119" s="227"/>
      <c r="F1119" s="227"/>
      <c r="G1119" s="229"/>
      <c r="H1119" s="229"/>
      <c r="I1119" s="175" t="s">
        <v>353</v>
      </c>
      <c r="J1119" s="175"/>
      <c r="K1119" s="175"/>
      <c r="L1119" s="175"/>
      <c r="M1119" s="176"/>
      <c r="N1119" s="176"/>
      <c r="O1119" s="176"/>
      <c r="P1119" s="176"/>
      <c r="Q1119" s="176"/>
      <c r="R1119" s="176"/>
      <c r="S1119" s="176"/>
      <c r="T1119" s="176"/>
      <c r="U1119" s="176"/>
      <c r="V1119" s="176"/>
      <c r="W1119" s="176"/>
      <c r="X1119" s="176"/>
      <c r="Y1119" s="176"/>
      <c r="Z1119" s="176"/>
      <c r="AA1119" s="176"/>
      <c r="AB1119" s="176"/>
      <c r="AC1119" s="176"/>
      <c r="AD1119" s="176"/>
      <c r="AE1119" s="176"/>
      <c r="AF1119" s="176"/>
      <c r="AG1119" s="176"/>
      <c r="AH1119" s="176"/>
      <c r="AI1119" s="176"/>
      <c r="AJ1119" s="176"/>
      <c r="AK1119" s="176"/>
      <c r="AL1119" s="176"/>
      <c r="AM1119" s="176"/>
      <c r="AN1119" s="176"/>
      <c r="AO1119" s="176"/>
      <c r="AP1119" s="176"/>
      <c r="AQ1119" s="176"/>
      <c r="AR1119" s="176"/>
      <c r="AS1119" s="176"/>
      <c r="AT1119" s="176"/>
      <c r="AU1119" s="176"/>
      <c r="AV1119" s="176"/>
      <c r="AW1119" s="176"/>
      <c r="AX1119" s="176"/>
      <c r="AY1119" s="176"/>
      <c r="AZ1119" s="176"/>
      <c r="BA1119" s="176"/>
      <c r="BB1119" s="176"/>
      <c r="BC1119" s="176"/>
      <c r="BD1119" s="176"/>
      <c r="BE1119" s="176"/>
      <c r="BF1119" s="176"/>
      <c r="BG1119" s="176"/>
      <c r="BH1119" s="176"/>
      <c r="BI1119" s="176"/>
      <c r="BJ1119" s="176"/>
      <c r="BK1119" s="176"/>
      <c r="BL1119" s="176"/>
      <c r="BM1119" s="176"/>
      <c r="BN1119" s="176"/>
      <c r="BO1119" s="176"/>
      <c r="BP1119" s="176"/>
      <c r="BQ1119" s="176"/>
      <c r="BR1119" s="176"/>
      <c r="BS1119" s="176"/>
      <c r="BT1119" s="176"/>
      <c r="BU1119" s="176">
        <v>192.5</v>
      </c>
      <c r="BV1119" s="176">
        <v>551</v>
      </c>
      <c r="BW1119" s="176">
        <v>606.1</v>
      </c>
      <c r="BX1119" s="176"/>
      <c r="BY1119" s="191"/>
      <c r="BZ1119" s="191"/>
      <c r="CA1119" s="191"/>
      <c r="CC1119" s="182"/>
    </row>
    <row r="1120" spans="1:81" s="178" customFormat="1" ht="15.75" customHeight="1">
      <c r="A1120" s="226"/>
      <c r="B1120" s="227"/>
      <c r="C1120" s="231"/>
      <c r="D1120" s="229"/>
      <c r="E1120" s="227"/>
      <c r="F1120" s="227"/>
      <c r="G1120" s="229"/>
      <c r="H1120" s="229"/>
      <c r="I1120" s="175" t="s">
        <v>354</v>
      </c>
      <c r="J1120" s="175"/>
      <c r="K1120" s="175"/>
      <c r="L1120" s="175"/>
      <c r="M1120" s="176"/>
      <c r="N1120" s="176"/>
      <c r="O1120" s="176"/>
      <c r="P1120" s="176"/>
      <c r="Q1120" s="176"/>
      <c r="R1120" s="176"/>
      <c r="S1120" s="176"/>
      <c r="T1120" s="176"/>
      <c r="U1120" s="176"/>
      <c r="V1120" s="176"/>
      <c r="W1120" s="176"/>
      <c r="X1120" s="176"/>
      <c r="Y1120" s="176"/>
      <c r="Z1120" s="176"/>
      <c r="AA1120" s="176"/>
      <c r="AB1120" s="176"/>
      <c r="AC1120" s="176"/>
      <c r="AD1120" s="176"/>
      <c r="AE1120" s="176"/>
      <c r="AF1120" s="176"/>
      <c r="AG1120" s="176"/>
      <c r="AH1120" s="176"/>
      <c r="AI1120" s="176"/>
      <c r="AJ1120" s="176"/>
      <c r="AK1120" s="176"/>
      <c r="AL1120" s="176"/>
      <c r="AM1120" s="176"/>
      <c r="AN1120" s="176"/>
      <c r="AO1120" s="176"/>
      <c r="AP1120" s="176"/>
      <c r="AQ1120" s="176"/>
      <c r="AR1120" s="176"/>
      <c r="AS1120" s="176"/>
      <c r="AT1120" s="176"/>
      <c r="AU1120" s="176"/>
      <c r="AV1120" s="176"/>
      <c r="AW1120" s="176"/>
      <c r="AX1120" s="176"/>
      <c r="AY1120" s="176"/>
      <c r="AZ1120" s="176"/>
      <c r="BA1120" s="176"/>
      <c r="BB1120" s="176"/>
      <c r="BC1120" s="176"/>
      <c r="BD1120" s="176"/>
      <c r="BE1120" s="176"/>
      <c r="BF1120" s="176"/>
      <c r="BG1120" s="176"/>
      <c r="BH1120" s="176"/>
      <c r="BI1120" s="176"/>
      <c r="BJ1120" s="176"/>
      <c r="BK1120" s="176"/>
      <c r="BL1120" s="176"/>
      <c r="BM1120" s="176"/>
      <c r="BN1120" s="176"/>
      <c r="BO1120" s="176"/>
      <c r="BP1120" s="176"/>
      <c r="BQ1120" s="176"/>
      <c r="BR1120" s="176"/>
      <c r="BS1120" s="176"/>
      <c r="BT1120" s="176"/>
      <c r="BU1120" s="176">
        <v>315</v>
      </c>
      <c r="BV1120" s="176">
        <v>493.46</v>
      </c>
      <c r="BW1120" s="176">
        <v>509.08</v>
      </c>
      <c r="BX1120" s="176"/>
      <c r="BY1120" s="191"/>
      <c r="BZ1120" s="191"/>
      <c r="CA1120" s="191"/>
      <c r="CC1120" s="182"/>
    </row>
    <row r="1121" spans="1:81" s="178" customFormat="1" ht="15.75" customHeight="1">
      <c r="A1121" s="226"/>
      <c r="B1121" s="227"/>
      <c r="C1121" s="231"/>
      <c r="D1121" s="229"/>
      <c r="E1121" s="227"/>
      <c r="F1121" s="227"/>
      <c r="G1121" s="229"/>
      <c r="H1121" s="229"/>
      <c r="I1121" s="175" t="s">
        <v>356</v>
      </c>
      <c r="J1121" s="175"/>
      <c r="K1121" s="175"/>
      <c r="L1121" s="175"/>
      <c r="M1121" s="176"/>
      <c r="N1121" s="176"/>
      <c r="O1121" s="176"/>
      <c r="P1121" s="176"/>
      <c r="Q1121" s="176"/>
      <c r="R1121" s="176"/>
      <c r="S1121" s="176"/>
      <c r="T1121" s="176"/>
      <c r="U1121" s="176"/>
      <c r="V1121" s="176"/>
      <c r="W1121" s="176"/>
      <c r="X1121" s="176"/>
      <c r="Y1121" s="176"/>
      <c r="Z1121" s="176"/>
      <c r="AA1121" s="176"/>
      <c r="AB1121" s="176"/>
      <c r="AC1121" s="176"/>
      <c r="AD1121" s="176"/>
      <c r="AE1121" s="176"/>
      <c r="AF1121" s="176"/>
      <c r="AG1121" s="176"/>
      <c r="AH1121" s="176"/>
      <c r="AI1121" s="176"/>
      <c r="AJ1121" s="176"/>
      <c r="AK1121" s="176"/>
      <c r="AL1121" s="176"/>
      <c r="AM1121" s="176"/>
      <c r="AN1121" s="176"/>
      <c r="AO1121" s="176"/>
      <c r="AP1121" s="176"/>
      <c r="AQ1121" s="176"/>
      <c r="AR1121" s="176"/>
      <c r="AS1121" s="176"/>
      <c r="AT1121" s="176"/>
      <c r="AU1121" s="176"/>
      <c r="AV1121" s="176"/>
      <c r="AW1121" s="176"/>
      <c r="AX1121" s="176"/>
      <c r="AY1121" s="176"/>
      <c r="AZ1121" s="176"/>
      <c r="BA1121" s="176"/>
      <c r="BB1121" s="176"/>
      <c r="BC1121" s="176"/>
      <c r="BD1121" s="176"/>
      <c r="BE1121" s="176"/>
      <c r="BF1121" s="176"/>
      <c r="BG1121" s="176"/>
      <c r="BH1121" s="176"/>
      <c r="BI1121" s="176"/>
      <c r="BJ1121" s="176"/>
      <c r="BK1121" s="176"/>
      <c r="BL1121" s="176"/>
      <c r="BM1121" s="176"/>
      <c r="BN1121" s="176"/>
      <c r="BO1121" s="176"/>
      <c r="BP1121" s="176"/>
      <c r="BQ1121" s="176"/>
      <c r="BR1121" s="176"/>
      <c r="BS1121" s="176"/>
      <c r="BT1121" s="176"/>
      <c r="BU1121" s="176">
        <v>131.32</v>
      </c>
      <c r="BV1121" s="176">
        <v>315</v>
      </c>
      <c r="BW1121" s="176">
        <v>315</v>
      </c>
      <c r="BX1121" s="176"/>
      <c r="BY1121" s="191"/>
      <c r="BZ1121" s="191"/>
      <c r="CA1121" s="191"/>
      <c r="CC1121" s="182"/>
    </row>
    <row r="1122" spans="1:81" s="178" customFormat="1" ht="15.75" customHeight="1">
      <c r="A1122" s="226"/>
      <c r="B1122" s="227"/>
      <c r="C1122" s="231"/>
      <c r="D1122" s="229"/>
      <c r="E1122" s="227"/>
      <c r="F1122" s="227"/>
      <c r="G1122" s="229"/>
      <c r="H1122" s="229"/>
      <c r="I1122" s="175" t="s">
        <v>355</v>
      </c>
      <c r="J1122" s="175"/>
      <c r="K1122" s="175"/>
      <c r="L1122" s="175"/>
      <c r="M1122" s="176"/>
      <c r="N1122" s="176"/>
      <c r="O1122" s="176"/>
      <c r="P1122" s="176"/>
      <c r="Q1122" s="176"/>
      <c r="R1122" s="176"/>
      <c r="S1122" s="176"/>
      <c r="T1122" s="176"/>
      <c r="U1122" s="176"/>
      <c r="V1122" s="176"/>
      <c r="W1122" s="176"/>
      <c r="X1122" s="176"/>
      <c r="Y1122" s="176"/>
      <c r="Z1122" s="176"/>
      <c r="AA1122" s="176"/>
      <c r="AB1122" s="176"/>
      <c r="AC1122" s="176"/>
      <c r="AD1122" s="176"/>
      <c r="AE1122" s="176"/>
      <c r="AF1122" s="176"/>
      <c r="AG1122" s="176"/>
      <c r="AH1122" s="176"/>
      <c r="AI1122" s="176"/>
      <c r="AJ1122" s="176"/>
      <c r="AK1122" s="176"/>
      <c r="AL1122" s="176"/>
      <c r="AM1122" s="176"/>
      <c r="AN1122" s="176"/>
      <c r="AO1122" s="176"/>
      <c r="AP1122" s="176"/>
      <c r="AQ1122" s="176"/>
      <c r="AR1122" s="176"/>
      <c r="AS1122" s="176"/>
      <c r="AT1122" s="176"/>
      <c r="AU1122" s="176"/>
      <c r="AV1122" s="176"/>
      <c r="AW1122" s="176"/>
      <c r="AX1122" s="176"/>
      <c r="AY1122" s="176"/>
      <c r="AZ1122" s="176"/>
      <c r="BA1122" s="176"/>
      <c r="BB1122" s="176"/>
      <c r="BC1122" s="176"/>
      <c r="BD1122" s="176"/>
      <c r="BE1122" s="176"/>
      <c r="BF1122" s="176"/>
      <c r="BG1122" s="176"/>
      <c r="BH1122" s="176"/>
      <c r="BI1122" s="176"/>
      <c r="BJ1122" s="176"/>
      <c r="BK1122" s="176"/>
      <c r="BL1122" s="212"/>
      <c r="BM1122" s="212"/>
      <c r="BN1122" s="212"/>
      <c r="BO1122" s="212"/>
      <c r="BP1122" s="212"/>
      <c r="BQ1122" s="212"/>
      <c r="BR1122" s="212"/>
      <c r="BS1122" s="212"/>
      <c r="BT1122" s="212"/>
      <c r="BU1122" s="212"/>
      <c r="BV1122" s="212"/>
      <c r="BW1122" s="212"/>
      <c r="BX1122" s="176"/>
      <c r="BY1122" s="191"/>
      <c r="BZ1122" s="191"/>
      <c r="CA1122" s="191"/>
      <c r="CC1122" s="182"/>
    </row>
    <row r="1123" spans="1:81" s="178" customFormat="1" ht="15.75" customHeight="1">
      <c r="A1123" s="226"/>
      <c r="B1123" s="227"/>
      <c r="C1123" s="231"/>
      <c r="D1123" s="229"/>
      <c r="E1123" s="227"/>
      <c r="F1123" s="227"/>
      <c r="G1123" s="229"/>
      <c r="H1123" s="229"/>
      <c r="I1123" s="184" t="s">
        <v>362</v>
      </c>
      <c r="J1123" s="175"/>
      <c r="K1123" s="175"/>
      <c r="L1123" s="175"/>
      <c r="M1123" s="176"/>
      <c r="N1123" s="176"/>
      <c r="O1123" s="176"/>
      <c r="P1123" s="176"/>
      <c r="Q1123" s="176"/>
      <c r="R1123" s="176"/>
      <c r="S1123" s="176"/>
      <c r="T1123" s="176"/>
      <c r="U1123" s="176"/>
      <c r="V1123" s="176"/>
      <c r="W1123" s="176"/>
      <c r="X1123" s="176"/>
      <c r="Y1123" s="176"/>
      <c r="Z1123" s="176"/>
      <c r="AA1123" s="176"/>
      <c r="AB1123" s="176"/>
      <c r="AC1123" s="176"/>
      <c r="AD1123" s="176"/>
      <c r="AE1123" s="176"/>
      <c r="AF1123" s="176"/>
      <c r="AG1123" s="176"/>
      <c r="AH1123" s="176"/>
      <c r="AI1123" s="176"/>
      <c r="AJ1123" s="176"/>
      <c r="AK1123" s="176"/>
      <c r="AL1123" s="176"/>
      <c r="AM1123" s="176"/>
      <c r="AN1123" s="176"/>
      <c r="AO1123" s="176"/>
      <c r="AP1123" s="176"/>
      <c r="AQ1123" s="176"/>
      <c r="AR1123" s="176"/>
      <c r="AS1123" s="176"/>
      <c r="AT1123" s="176"/>
      <c r="AU1123" s="176"/>
      <c r="AV1123" s="176"/>
      <c r="AW1123" s="176"/>
      <c r="AX1123" s="176"/>
      <c r="AY1123" s="176"/>
      <c r="AZ1123" s="176"/>
      <c r="BA1123" s="176"/>
      <c r="BB1123" s="176"/>
      <c r="BC1123" s="176"/>
      <c r="BD1123" s="176"/>
      <c r="BE1123" s="176"/>
      <c r="BF1123" s="176"/>
      <c r="BG1123" s="176"/>
      <c r="BH1123" s="176"/>
      <c r="BI1123" s="176"/>
      <c r="BJ1123" s="176"/>
      <c r="BK1123" s="176"/>
      <c r="BL1123" s="176"/>
      <c r="BM1123" s="176"/>
      <c r="BN1123" s="176"/>
      <c r="BO1123" s="176"/>
      <c r="BP1123" s="176"/>
      <c r="BQ1123" s="176"/>
      <c r="BR1123" s="176"/>
      <c r="BS1123" s="176"/>
      <c r="BT1123" s="176"/>
      <c r="BU1123" s="176"/>
      <c r="BV1123" s="176"/>
      <c r="BW1123" s="176"/>
      <c r="BX1123" s="176"/>
      <c r="BY1123" s="191"/>
      <c r="BZ1123" s="191"/>
      <c r="CA1123" s="191"/>
      <c r="CC1123" s="182"/>
    </row>
    <row r="1124" spans="1:81" s="178" customFormat="1">
      <c r="A1124" s="226"/>
      <c r="B1124" s="227"/>
      <c r="C1124" s="231"/>
      <c r="D1124" s="229"/>
      <c r="E1124" s="227"/>
      <c r="F1124" s="227"/>
      <c r="G1124" s="229"/>
      <c r="H1124" s="229"/>
      <c r="I1124" s="190" t="s">
        <v>363</v>
      </c>
      <c r="J1124" s="190"/>
      <c r="K1124" s="190"/>
      <c r="L1124" s="190"/>
      <c r="M1124" s="176"/>
      <c r="N1124" s="176"/>
      <c r="O1124" s="176"/>
      <c r="P1124" s="176"/>
      <c r="Q1124" s="176"/>
      <c r="R1124" s="176"/>
      <c r="S1124" s="176"/>
      <c r="T1124" s="176"/>
      <c r="U1124" s="176"/>
      <c r="V1124" s="176"/>
      <c r="W1124" s="176"/>
      <c r="X1124" s="176"/>
      <c r="Y1124" s="176"/>
      <c r="Z1124" s="176"/>
      <c r="AA1124" s="176"/>
      <c r="AB1124" s="176"/>
      <c r="AC1124" s="176"/>
      <c r="AD1124" s="176"/>
      <c r="AE1124" s="176"/>
      <c r="AF1124" s="176"/>
      <c r="AG1124" s="176"/>
      <c r="AH1124" s="176"/>
      <c r="AI1124" s="176"/>
      <c r="AJ1124" s="176"/>
      <c r="AK1124" s="176"/>
      <c r="AL1124" s="176"/>
      <c r="AM1124" s="176"/>
      <c r="AN1124" s="176"/>
      <c r="AO1124" s="176"/>
      <c r="AP1124" s="176"/>
      <c r="AQ1124" s="176"/>
      <c r="AR1124" s="176"/>
      <c r="AS1124" s="176"/>
      <c r="AT1124" s="176"/>
      <c r="AU1124" s="176"/>
      <c r="AV1124" s="176"/>
      <c r="AW1124" s="176"/>
      <c r="AX1124" s="176"/>
      <c r="AY1124" s="176"/>
      <c r="AZ1124" s="176"/>
      <c r="BA1124" s="176"/>
      <c r="BB1124" s="176"/>
      <c r="BC1124" s="176"/>
      <c r="BD1124" s="176"/>
      <c r="BE1124" s="176"/>
      <c r="BF1124" s="176"/>
      <c r="BG1124" s="176"/>
      <c r="BH1124" s="176"/>
      <c r="BI1124" s="176"/>
      <c r="BJ1124" s="176"/>
      <c r="BK1124" s="176"/>
      <c r="BL1124" s="176"/>
      <c r="BM1124" s="176"/>
      <c r="BN1124" s="176"/>
      <c r="BO1124" s="176"/>
      <c r="BP1124" s="176"/>
      <c r="BQ1124" s="176"/>
      <c r="BR1124" s="176"/>
      <c r="BS1124" s="176"/>
      <c r="BT1124" s="176"/>
      <c r="BU1124" s="176"/>
      <c r="BV1124" s="176"/>
      <c r="BW1124" s="176"/>
      <c r="BX1124" s="176"/>
      <c r="BY1124" s="191"/>
      <c r="BZ1124" s="191"/>
    </row>
    <row r="1125" spans="1:81" s="178" customFormat="1">
      <c r="A1125" s="226"/>
      <c r="B1125" s="227"/>
      <c r="C1125" s="231"/>
      <c r="D1125" s="229"/>
      <c r="E1125" s="227"/>
      <c r="F1125" s="227"/>
      <c r="G1125" s="229"/>
      <c r="H1125" s="229"/>
      <c r="I1125" s="193" t="s">
        <v>373</v>
      </c>
      <c r="J1125" s="193"/>
      <c r="K1125" s="193"/>
      <c r="L1125" s="193"/>
      <c r="M1125" s="176"/>
      <c r="N1125" s="176"/>
      <c r="O1125" s="176"/>
      <c r="P1125" s="176"/>
      <c r="Q1125" s="176"/>
      <c r="R1125" s="176"/>
      <c r="S1125" s="176"/>
      <c r="T1125" s="176"/>
      <c r="U1125" s="176"/>
      <c r="V1125" s="176"/>
      <c r="W1125" s="176"/>
      <c r="X1125" s="176"/>
      <c r="Y1125" s="176"/>
      <c r="Z1125" s="176"/>
      <c r="AA1125" s="176"/>
      <c r="AB1125" s="176"/>
      <c r="AC1125" s="176"/>
      <c r="AD1125" s="176"/>
      <c r="AE1125" s="176"/>
      <c r="AF1125" s="176"/>
      <c r="AG1125" s="176"/>
      <c r="AH1125" s="176"/>
      <c r="AI1125" s="176"/>
      <c r="AJ1125" s="176"/>
      <c r="AK1125" s="176"/>
      <c r="AL1125" s="176"/>
      <c r="AM1125" s="176"/>
      <c r="AN1125" s="176"/>
      <c r="AO1125" s="176"/>
      <c r="AP1125" s="176"/>
      <c r="AQ1125" s="176"/>
      <c r="AR1125" s="176"/>
      <c r="AS1125" s="176"/>
      <c r="AT1125" s="176"/>
      <c r="AU1125" s="176"/>
      <c r="AV1125" s="176"/>
      <c r="AW1125" s="176"/>
      <c r="AX1125" s="176"/>
      <c r="AY1125" s="176"/>
      <c r="AZ1125" s="176"/>
      <c r="BA1125" s="176"/>
      <c r="BB1125" s="176"/>
      <c r="BC1125" s="176"/>
      <c r="BD1125" s="176"/>
      <c r="BE1125" s="176"/>
      <c r="BF1125" s="176"/>
      <c r="BG1125" s="176"/>
      <c r="BH1125" s="176"/>
      <c r="BI1125" s="176"/>
      <c r="BJ1125" s="176"/>
      <c r="BK1125" s="176"/>
      <c r="BL1125" s="176"/>
      <c r="BM1125" s="176"/>
      <c r="BN1125" s="176"/>
      <c r="BO1125" s="176"/>
      <c r="BP1125" s="176"/>
      <c r="BQ1125" s="176"/>
      <c r="BR1125" s="176"/>
      <c r="BS1125" s="176"/>
      <c r="BT1125" s="176"/>
      <c r="BU1125" s="176">
        <v>89.57</v>
      </c>
      <c r="BV1125" s="176">
        <v>308.98</v>
      </c>
      <c r="BW1125" s="176">
        <f>1996.17-884.67</f>
        <v>1111.5</v>
      </c>
      <c r="BX1125" s="176"/>
      <c r="BY1125" s="191"/>
      <c r="BZ1125" s="191"/>
    </row>
    <row r="1126" spans="1:81" s="178" customFormat="1" ht="13.9" customHeight="1">
      <c r="A1126" s="226"/>
      <c r="B1126" s="227"/>
      <c r="C1126" s="232"/>
      <c r="D1126" s="229"/>
      <c r="E1126" s="227"/>
      <c r="F1126" s="227"/>
      <c r="G1126" s="229"/>
      <c r="H1126" s="229"/>
      <c r="I1126" s="190"/>
      <c r="J1126" s="176">
        <f>SUM(J1115:J1124)-J1125</f>
        <v>0</v>
      </c>
      <c r="K1126" s="176">
        <f t="shared" ref="K1126:Y1126" si="549">SUM(K1115:K1124)-K1125</f>
        <v>0</v>
      </c>
      <c r="L1126" s="176">
        <f t="shared" si="549"/>
        <v>0</v>
      </c>
      <c r="M1126" s="176">
        <f t="shared" si="549"/>
        <v>0</v>
      </c>
      <c r="N1126" s="176">
        <f t="shared" si="549"/>
        <v>0</v>
      </c>
      <c r="O1126" s="176">
        <f t="shared" si="549"/>
        <v>0</v>
      </c>
      <c r="P1126" s="176">
        <f t="shared" si="549"/>
        <v>0</v>
      </c>
      <c r="Q1126" s="176">
        <f t="shared" si="549"/>
        <v>0</v>
      </c>
      <c r="R1126" s="176">
        <f t="shared" si="549"/>
        <v>0</v>
      </c>
      <c r="S1126" s="176">
        <f t="shared" si="549"/>
        <v>0</v>
      </c>
      <c r="T1126" s="176">
        <f t="shared" si="549"/>
        <v>0</v>
      </c>
      <c r="U1126" s="176">
        <f t="shared" si="549"/>
        <v>0</v>
      </c>
      <c r="V1126" s="176">
        <f t="shared" si="549"/>
        <v>0</v>
      </c>
      <c r="W1126" s="176">
        <f t="shared" si="549"/>
        <v>0</v>
      </c>
      <c r="X1126" s="176">
        <f t="shared" si="549"/>
        <v>0</v>
      </c>
      <c r="Y1126" s="176">
        <f t="shared" si="549"/>
        <v>0</v>
      </c>
      <c r="Z1126" s="176">
        <f>SUM(Z1115:Z1124)-Z1125</f>
        <v>0</v>
      </c>
      <c r="AA1126" s="176">
        <f t="shared" ref="AA1126:AD1126" si="550">SUM(AA1115:AA1124)-AA1125</f>
        <v>0</v>
      </c>
      <c r="AB1126" s="176">
        <f t="shared" si="550"/>
        <v>0</v>
      </c>
      <c r="AC1126" s="176">
        <f t="shared" si="550"/>
        <v>0</v>
      </c>
      <c r="AD1126" s="176">
        <f t="shared" si="550"/>
        <v>0</v>
      </c>
      <c r="AE1126" s="176">
        <f>SUM(AE1115:AE1124)-AE1125</f>
        <v>0</v>
      </c>
      <c r="AF1126" s="176">
        <f>SUM(AF1115:AF1124)-AF1125</f>
        <v>0</v>
      </c>
      <c r="AG1126" s="176">
        <f t="shared" ref="AG1126:AU1126" si="551">SUM(AG1115:AG1124)-AG1125</f>
        <v>0</v>
      </c>
      <c r="AH1126" s="176">
        <f t="shared" si="551"/>
        <v>0</v>
      </c>
      <c r="AI1126" s="176">
        <f t="shared" si="551"/>
        <v>0</v>
      </c>
      <c r="AJ1126" s="176">
        <f t="shared" si="551"/>
        <v>0</v>
      </c>
      <c r="AK1126" s="176">
        <f t="shared" si="551"/>
        <v>0</v>
      </c>
      <c r="AL1126" s="176">
        <f t="shared" si="551"/>
        <v>0</v>
      </c>
      <c r="AM1126" s="176">
        <f t="shared" si="551"/>
        <v>0</v>
      </c>
      <c r="AN1126" s="176">
        <f t="shared" si="551"/>
        <v>0</v>
      </c>
      <c r="AO1126" s="176">
        <f t="shared" si="551"/>
        <v>0</v>
      </c>
      <c r="AP1126" s="176">
        <f t="shared" si="551"/>
        <v>0</v>
      </c>
      <c r="AQ1126" s="176">
        <f t="shared" si="551"/>
        <v>0</v>
      </c>
      <c r="AR1126" s="176">
        <f t="shared" si="551"/>
        <v>0</v>
      </c>
      <c r="AS1126" s="176">
        <f t="shared" si="551"/>
        <v>0</v>
      </c>
      <c r="AT1126" s="176">
        <f t="shared" si="551"/>
        <v>0</v>
      </c>
      <c r="AU1126" s="176">
        <f t="shared" si="551"/>
        <v>0</v>
      </c>
      <c r="AV1126" s="176">
        <f>SUM(AV1115:AV1124)-AV1125</f>
        <v>0</v>
      </c>
      <c r="AW1126" s="176">
        <f t="shared" ref="AW1126:BA1126" si="552">SUM(AW1115:AW1124)-AW1125</f>
        <v>0</v>
      </c>
      <c r="AX1126" s="176">
        <f t="shared" si="552"/>
        <v>0</v>
      </c>
      <c r="AY1126" s="176">
        <f t="shared" si="552"/>
        <v>0</v>
      </c>
      <c r="AZ1126" s="176">
        <f t="shared" si="552"/>
        <v>0</v>
      </c>
      <c r="BA1126" s="176">
        <f t="shared" si="552"/>
        <v>0</v>
      </c>
      <c r="BB1126" s="176"/>
      <c r="BC1126" s="176"/>
      <c r="BD1126" s="176"/>
      <c r="BE1126" s="176"/>
      <c r="BF1126" s="176"/>
      <c r="BG1126" s="176"/>
      <c r="BH1126" s="176"/>
      <c r="BI1126" s="176"/>
      <c r="BJ1126" s="176"/>
      <c r="BK1126" s="176"/>
      <c r="BL1126" s="176"/>
      <c r="BM1126" s="176"/>
      <c r="BN1126" s="176"/>
      <c r="BO1126" s="176"/>
      <c r="BP1126" s="176"/>
      <c r="BQ1126" s="176"/>
      <c r="BR1126" s="176"/>
      <c r="BS1126" s="176"/>
      <c r="BT1126" s="176"/>
      <c r="BU1126" s="176">
        <f t="shared" ref="BU1126:BW1126" si="553">BU1116+BU1121+BU1122-BU1125+BU1120+BU1119</f>
        <v>1212.75</v>
      </c>
      <c r="BV1126" s="176">
        <f t="shared" si="553"/>
        <v>3162.16</v>
      </c>
      <c r="BW1126" s="176">
        <f t="shared" si="553"/>
        <v>2430.3599999999997</v>
      </c>
      <c r="BX1126" s="176">
        <f>SUM(BU1126:BW1126)</f>
        <v>6805.2699999999995</v>
      </c>
      <c r="BY1126" s="191"/>
      <c r="BZ1126" s="191"/>
    </row>
    <row r="1127" spans="1:81" ht="15.6" customHeight="1">
      <c r="A1127" s="148" t="s">
        <v>346</v>
      </c>
      <c r="B1127" s="148" t="s">
        <v>347</v>
      </c>
      <c r="C1127" s="145" t="s">
        <v>310</v>
      </c>
      <c r="D1127" s="145" t="s">
        <v>311</v>
      </c>
      <c r="E1127" s="148" t="s">
        <v>312</v>
      </c>
      <c r="F1127" s="148" t="s">
        <v>348</v>
      </c>
      <c r="G1127" s="145" t="s">
        <v>314</v>
      </c>
      <c r="H1127" s="145" t="s">
        <v>315</v>
      </c>
      <c r="I1127" s="145" t="s">
        <v>349</v>
      </c>
      <c r="J1127" s="146">
        <v>44105</v>
      </c>
      <c r="K1127" s="146">
        <v>44136</v>
      </c>
      <c r="L1127" s="146">
        <v>44166</v>
      </c>
      <c r="M1127" s="146">
        <v>44197</v>
      </c>
      <c r="N1127" s="146">
        <v>44228</v>
      </c>
      <c r="O1127" s="146">
        <v>44256</v>
      </c>
      <c r="P1127" s="146">
        <v>44287</v>
      </c>
      <c r="Q1127" s="146">
        <v>44317</v>
      </c>
      <c r="R1127" s="146">
        <v>44348</v>
      </c>
      <c r="S1127" s="146">
        <v>44378</v>
      </c>
      <c r="T1127" s="146">
        <v>44409</v>
      </c>
      <c r="U1127" s="146">
        <v>44440</v>
      </c>
      <c r="V1127" s="146">
        <v>44470</v>
      </c>
      <c r="W1127" s="146">
        <v>44501</v>
      </c>
      <c r="X1127" s="146">
        <v>44531</v>
      </c>
      <c r="Y1127" s="146">
        <v>44562</v>
      </c>
      <c r="Z1127" s="146">
        <v>44593</v>
      </c>
      <c r="AA1127" s="146">
        <v>44621</v>
      </c>
      <c r="AB1127" s="146">
        <v>44652</v>
      </c>
      <c r="AC1127" s="146">
        <v>44682</v>
      </c>
      <c r="AD1127" s="146">
        <v>44713</v>
      </c>
      <c r="AE1127" s="146">
        <v>44743</v>
      </c>
      <c r="AF1127" s="146">
        <v>44774</v>
      </c>
      <c r="AG1127" s="146">
        <v>44805</v>
      </c>
      <c r="AH1127" s="146">
        <v>44835</v>
      </c>
      <c r="AI1127" s="146">
        <v>44866</v>
      </c>
      <c r="AJ1127" s="146">
        <v>44896</v>
      </c>
      <c r="AK1127" s="146">
        <v>44927</v>
      </c>
      <c r="AL1127" s="146">
        <v>44958</v>
      </c>
      <c r="AM1127" s="146">
        <v>44986</v>
      </c>
      <c r="AN1127" s="146">
        <v>45017</v>
      </c>
      <c r="AO1127" s="146">
        <v>45047</v>
      </c>
      <c r="AP1127" s="146">
        <v>45078</v>
      </c>
      <c r="AQ1127" s="146">
        <v>45108</v>
      </c>
      <c r="AR1127" s="146">
        <v>45139</v>
      </c>
      <c r="AS1127" s="146">
        <v>45170</v>
      </c>
      <c r="AT1127" s="146">
        <v>45200</v>
      </c>
      <c r="AU1127" s="146">
        <v>45231</v>
      </c>
      <c r="AV1127" s="146">
        <v>45261</v>
      </c>
      <c r="AW1127" s="146">
        <v>45292</v>
      </c>
      <c r="AX1127" s="146">
        <v>45323</v>
      </c>
      <c r="AY1127" s="146">
        <v>45352</v>
      </c>
      <c r="AZ1127" s="146">
        <v>45383</v>
      </c>
      <c r="BA1127" s="146">
        <v>45413</v>
      </c>
      <c r="BB1127" s="146">
        <v>45444</v>
      </c>
      <c r="BC1127" s="146">
        <v>45474</v>
      </c>
      <c r="BD1127" s="146">
        <v>45505</v>
      </c>
      <c r="BE1127" s="146">
        <v>45536</v>
      </c>
      <c r="BF1127" s="146">
        <v>45566</v>
      </c>
      <c r="BG1127" s="146">
        <v>45597</v>
      </c>
      <c r="BH1127" s="146">
        <v>45627</v>
      </c>
      <c r="BI1127" s="146">
        <v>45658</v>
      </c>
      <c r="BJ1127" s="146">
        <v>45689</v>
      </c>
      <c r="BK1127" s="146">
        <v>45717</v>
      </c>
      <c r="BL1127" s="146">
        <v>45748</v>
      </c>
      <c r="BM1127" s="146">
        <v>45778</v>
      </c>
      <c r="BN1127" s="146"/>
      <c r="BO1127" s="146"/>
      <c r="BP1127" s="146"/>
      <c r="BQ1127" s="146"/>
      <c r="BR1127" s="146"/>
      <c r="BS1127" s="146"/>
      <c r="BT1127" s="146">
        <v>45992</v>
      </c>
      <c r="BU1127" s="146">
        <v>46023</v>
      </c>
      <c r="BV1127" s="146">
        <v>46054</v>
      </c>
      <c r="BW1127" s="146">
        <v>46082</v>
      </c>
      <c r="BX1127" s="147" t="s">
        <v>13</v>
      </c>
      <c r="BY1127" s="5"/>
      <c r="BZ1127" s="5"/>
      <c r="CA1127" s="5"/>
    </row>
    <row r="1128" spans="1:81" s="178" customFormat="1" ht="15.75" customHeight="1">
      <c r="A1128" s="226">
        <v>74</v>
      </c>
      <c r="B1128" s="227" t="s">
        <v>280</v>
      </c>
      <c r="C1128" s="230" t="s">
        <v>23</v>
      </c>
      <c r="D1128" s="229" t="s">
        <v>89</v>
      </c>
      <c r="E1128" s="227" t="s">
        <v>395</v>
      </c>
      <c r="F1128" s="227" t="s">
        <v>395</v>
      </c>
      <c r="G1128" s="228">
        <v>46101</v>
      </c>
      <c r="H1128" s="228"/>
      <c r="I1128" s="175" t="s">
        <v>390</v>
      </c>
      <c r="J1128" s="175"/>
      <c r="K1128" s="175"/>
      <c r="L1128" s="175"/>
      <c r="M1128" s="176"/>
      <c r="N1128" s="176"/>
      <c r="O1128" s="176"/>
      <c r="P1128" s="176"/>
      <c r="Q1128" s="176"/>
      <c r="R1128" s="176"/>
      <c r="S1128" s="176"/>
      <c r="T1128" s="176"/>
      <c r="U1128" s="176"/>
      <c r="V1128" s="176"/>
      <c r="W1128" s="176"/>
      <c r="X1128" s="176"/>
      <c r="Y1128" s="176"/>
      <c r="Z1128" s="176"/>
      <c r="AA1128" s="176"/>
      <c r="AB1128" s="176"/>
      <c r="AC1128" s="176"/>
      <c r="AD1128" s="176"/>
      <c r="AE1128" s="176"/>
      <c r="AF1128" s="176"/>
      <c r="AG1128" s="176"/>
      <c r="AH1128" s="176"/>
      <c r="AI1128" s="176"/>
      <c r="AJ1128" s="176"/>
      <c r="AK1128" s="176"/>
      <c r="AL1128" s="176"/>
      <c r="AM1128" s="176"/>
      <c r="AN1128" s="176"/>
      <c r="AO1128" s="176"/>
      <c r="AP1128" s="176"/>
      <c r="AQ1128" s="176"/>
      <c r="AR1128" s="176"/>
      <c r="AS1128" s="176"/>
      <c r="AT1128" s="176"/>
      <c r="AU1128" s="176"/>
      <c r="AV1128" s="176"/>
      <c r="AW1128" s="176"/>
      <c r="AX1128" s="176"/>
      <c r="AY1128" s="176"/>
      <c r="AZ1128" s="176"/>
      <c r="BA1128" s="176"/>
      <c r="BB1128" s="176"/>
      <c r="BC1128" s="176"/>
      <c r="BD1128" s="176"/>
      <c r="BE1128" s="176"/>
      <c r="BF1128" s="176"/>
      <c r="BG1128" s="176"/>
      <c r="BH1128" s="176"/>
      <c r="BI1128" s="176"/>
      <c r="BJ1128" s="176"/>
      <c r="BK1128" s="176"/>
      <c r="BL1128" s="176"/>
      <c r="BM1128" s="176"/>
      <c r="BN1128" s="176"/>
      <c r="BO1128" s="176"/>
      <c r="BP1128" s="176"/>
      <c r="BQ1128" s="176"/>
      <c r="BR1128" s="176"/>
      <c r="BS1128" s="176"/>
      <c r="BT1128" s="176"/>
      <c r="BU1128" s="176"/>
      <c r="BV1128" s="176"/>
      <c r="BW1128" s="176"/>
      <c r="BX1128" s="176"/>
      <c r="BY1128" s="191"/>
      <c r="BZ1128" s="191"/>
      <c r="CA1128" s="191"/>
      <c r="CC1128" s="182"/>
    </row>
    <row r="1129" spans="1:81" s="178" customFormat="1" ht="15.75" customHeight="1">
      <c r="A1129" s="226"/>
      <c r="B1129" s="227"/>
      <c r="C1129" s="231"/>
      <c r="D1129" s="229"/>
      <c r="E1129" s="227"/>
      <c r="F1129" s="227"/>
      <c r="G1129" s="229"/>
      <c r="H1129" s="229"/>
      <c r="I1129" s="175" t="s">
        <v>351</v>
      </c>
      <c r="J1129" s="175"/>
      <c r="K1129" s="175"/>
      <c r="L1129" s="175"/>
      <c r="M1129" s="176"/>
      <c r="N1129" s="176"/>
      <c r="O1129" s="176"/>
      <c r="P1129" s="176"/>
      <c r="Q1129" s="176"/>
      <c r="R1129" s="176"/>
      <c r="S1129" s="176"/>
      <c r="T1129" s="176"/>
      <c r="U1129" s="176"/>
      <c r="V1129" s="176"/>
      <c r="W1129" s="176"/>
      <c r="X1129" s="176"/>
      <c r="Y1129" s="176"/>
      <c r="Z1129" s="176"/>
      <c r="AA1129" s="176"/>
      <c r="AB1129" s="176"/>
      <c r="AC1129" s="176"/>
      <c r="AD1129" s="176"/>
      <c r="AE1129" s="176"/>
      <c r="AF1129" s="176"/>
      <c r="AG1129" s="176"/>
      <c r="AH1129" s="176"/>
      <c r="AI1129" s="176"/>
      <c r="AJ1129" s="176"/>
      <c r="AK1129" s="176"/>
      <c r="AL1129" s="176"/>
      <c r="AM1129" s="176"/>
      <c r="AN1129" s="176"/>
      <c r="AO1129" s="176"/>
      <c r="AP1129" s="176"/>
      <c r="AQ1129" s="176"/>
      <c r="AR1129" s="176"/>
      <c r="AS1129" s="176"/>
      <c r="AT1129" s="176"/>
      <c r="AU1129" s="176"/>
      <c r="AV1129" s="176"/>
      <c r="AW1129" s="176"/>
      <c r="AX1129" s="176"/>
      <c r="AY1129" s="176"/>
      <c r="AZ1129" s="176"/>
      <c r="BA1129" s="176"/>
      <c r="BB1129" s="176"/>
      <c r="BC1129" s="176"/>
      <c r="BD1129" s="176"/>
      <c r="BE1129" s="176"/>
      <c r="BF1129" s="176"/>
      <c r="BG1129" s="176"/>
      <c r="BH1129" s="176"/>
      <c r="BI1129" s="176"/>
      <c r="BJ1129" s="176"/>
      <c r="BK1129" s="176"/>
      <c r="BL1129" s="176"/>
      <c r="BM1129" s="176"/>
      <c r="BN1129" s="176"/>
      <c r="BO1129" s="176"/>
      <c r="BP1129" s="176"/>
      <c r="BQ1129" s="176"/>
      <c r="BR1129" s="176"/>
      <c r="BS1129" s="176"/>
      <c r="BT1129" s="176"/>
      <c r="BU1129" s="176"/>
      <c r="BV1129" s="176"/>
      <c r="BW1129" s="176">
        <f>678.26+24.76</f>
        <v>703.02</v>
      </c>
      <c r="BX1129" s="176"/>
      <c r="BY1129" s="191"/>
      <c r="BZ1129" s="191"/>
      <c r="CA1129" s="191"/>
      <c r="CC1129" s="182"/>
    </row>
    <row r="1130" spans="1:81" s="178" customFormat="1" ht="15.75" customHeight="1">
      <c r="A1130" s="226"/>
      <c r="B1130" s="227"/>
      <c r="C1130" s="231"/>
      <c r="D1130" s="229"/>
      <c r="E1130" s="227"/>
      <c r="F1130" s="227"/>
      <c r="G1130" s="229"/>
      <c r="H1130" s="229"/>
      <c r="I1130" s="175" t="s">
        <v>391</v>
      </c>
      <c r="J1130" s="175"/>
      <c r="K1130" s="175"/>
      <c r="L1130" s="175"/>
      <c r="M1130" s="176"/>
      <c r="N1130" s="176"/>
      <c r="O1130" s="176"/>
      <c r="P1130" s="176"/>
      <c r="Q1130" s="176"/>
      <c r="R1130" s="176"/>
      <c r="S1130" s="176"/>
      <c r="T1130" s="176"/>
      <c r="U1130" s="176"/>
      <c r="V1130" s="176"/>
      <c r="W1130" s="176"/>
      <c r="X1130" s="176"/>
      <c r="Y1130" s="177"/>
      <c r="Z1130" s="176"/>
      <c r="AA1130" s="176"/>
      <c r="AB1130" s="176"/>
      <c r="AC1130" s="176"/>
      <c r="AD1130" s="176"/>
      <c r="AE1130" s="176"/>
      <c r="AF1130" s="176"/>
      <c r="AG1130" s="176"/>
      <c r="AH1130" s="176"/>
      <c r="AI1130" s="176"/>
      <c r="AJ1130" s="176"/>
      <c r="AK1130" s="176"/>
      <c r="AL1130" s="176"/>
      <c r="AM1130" s="176"/>
      <c r="AN1130" s="176"/>
      <c r="AO1130" s="176"/>
      <c r="AP1130" s="176"/>
      <c r="AQ1130" s="176"/>
      <c r="AR1130" s="176"/>
      <c r="AS1130" s="176"/>
      <c r="AT1130" s="176"/>
      <c r="AU1130" s="176"/>
      <c r="AV1130" s="176"/>
      <c r="AW1130" s="176"/>
      <c r="AX1130" s="176"/>
      <c r="AY1130" s="176"/>
      <c r="AZ1130" s="176"/>
      <c r="BA1130" s="176"/>
      <c r="BB1130" s="176"/>
      <c r="BC1130" s="176"/>
      <c r="BD1130" s="176"/>
      <c r="BE1130" s="176"/>
      <c r="BF1130" s="176"/>
      <c r="BG1130" s="176"/>
      <c r="BH1130" s="176"/>
      <c r="BI1130" s="176"/>
      <c r="BJ1130" s="176"/>
      <c r="BK1130" s="176"/>
      <c r="BL1130" s="176"/>
      <c r="BM1130" s="176"/>
      <c r="BN1130" s="176"/>
      <c r="BO1130" s="176"/>
      <c r="BP1130" s="176"/>
      <c r="BQ1130" s="176"/>
      <c r="BR1130" s="176"/>
      <c r="BS1130" s="176"/>
      <c r="BT1130" s="176"/>
      <c r="BU1130" s="176"/>
      <c r="BV1130" s="176"/>
      <c r="BW1130" s="176"/>
      <c r="BX1130" s="176"/>
      <c r="BY1130" s="191"/>
      <c r="BZ1130" s="191"/>
      <c r="CA1130" s="191"/>
      <c r="CC1130" s="182"/>
    </row>
    <row r="1131" spans="1:81" s="178" customFormat="1" ht="15.75" customHeight="1">
      <c r="A1131" s="226"/>
      <c r="B1131" s="227"/>
      <c r="C1131" s="231"/>
      <c r="D1131" s="229"/>
      <c r="E1131" s="227"/>
      <c r="F1131" s="227"/>
      <c r="G1131" s="229"/>
      <c r="H1131" s="229"/>
      <c r="I1131" s="175" t="s">
        <v>351</v>
      </c>
      <c r="J1131" s="175"/>
      <c r="K1131" s="175"/>
      <c r="L1131" s="175"/>
      <c r="M1131" s="176"/>
      <c r="N1131" s="176"/>
      <c r="O1131" s="176"/>
      <c r="P1131" s="176"/>
      <c r="Q1131" s="176"/>
      <c r="R1131" s="176"/>
      <c r="S1131" s="176"/>
      <c r="T1131" s="176"/>
      <c r="U1131" s="176"/>
      <c r="V1131" s="176"/>
      <c r="W1131" s="176"/>
      <c r="X1131" s="176"/>
      <c r="Y1131" s="177"/>
      <c r="Z1131" s="176"/>
      <c r="AA1131" s="176"/>
      <c r="AB1131" s="176"/>
      <c r="AC1131" s="176"/>
      <c r="AD1131" s="176"/>
      <c r="AE1131" s="176"/>
      <c r="AF1131" s="176"/>
      <c r="AG1131" s="176"/>
      <c r="AH1131" s="176"/>
      <c r="AI1131" s="176"/>
      <c r="AJ1131" s="176"/>
      <c r="AK1131" s="176"/>
      <c r="AL1131" s="176"/>
      <c r="AM1131" s="176"/>
      <c r="AN1131" s="176"/>
      <c r="AO1131" s="176"/>
      <c r="AP1131" s="176"/>
      <c r="AQ1131" s="176"/>
      <c r="AR1131" s="176"/>
      <c r="AS1131" s="176"/>
      <c r="AT1131" s="176"/>
      <c r="AU1131" s="176"/>
      <c r="AV1131" s="176"/>
      <c r="AW1131" s="176"/>
      <c r="AX1131" s="176"/>
      <c r="AY1131" s="176"/>
      <c r="AZ1131" s="176"/>
      <c r="BA1131" s="176"/>
      <c r="BB1131" s="176"/>
      <c r="BC1131" s="176"/>
      <c r="BD1131" s="176"/>
      <c r="BE1131" s="176"/>
      <c r="BF1131" s="176"/>
      <c r="BG1131" s="176"/>
      <c r="BH1131" s="176"/>
      <c r="BI1131" s="176"/>
      <c r="BJ1131" s="176"/>
      <c r="BK1131" s="176"/>
      <c r="BL1131" s="176"/>
      <c r="BM1131" s="176"/>
      <c r="BN1131" s="176"/>
      <c r="BO1131" s="176"/>
      <c r="BP1131" s="176"/>
      <c r="BQ1131" s="176"/>
      <c r="BR1131" s="176"/>
      <c r="BS1131" s="176"/>
      <c r="BT1131" s="176"/>
      <c r="BU1131" s="176"/>
      <c r="BV1131" s="176"/>
      <c r="BW1131" s="176"/>
      <c r="BX1131" s="176"/>
      <c r="BY1131" s="191"/>
      <c r="BZ1131" s="191"/>
      <c r="CA1131" s="191"/>
      <c r="CC1131" s="182"/>
    </row>
    <row r="1132" spans="1:81" s="178" customFormat="1" ht="15.75" customHeight="1">
      <c r="A1132" s="226"/>
      <c r="B1132" s="227"/>
      <c r="C1132" s="231"/>
      <c r="D1132" s="229"/>
      <c r="E1132" s="227"/>
      <c r="F1132" s="227"/>
      <c r="G1132" s="229"/>
      <c r="H1132" s="229"/>
      <c r="I1132" s="175" t="s">
        <v>353</v>
      </c>
      <c r="J1132" s="175"/>
      <c r="K1132" s="175"/>
      <c r="L1132" s="175"/>
      <c r="M1132" s="176"/>
      <c r="N1132" s="176"/>
      <c r="O1132" s="176"/>
      <c r="P1132" s="176"/>
      <c r="Q1132" s="176"/>
      <c r="R1132" s="176"/>
      <c r="S1132" s="176"/>
      <c r="T1132" s="176"/>
      <c r="U1132" s="176"/>
      <c r="V1132" s="176"/>
      <c r="W1132" s="176"/>
      <c r="X1132" s="176"/>
      <c r="Y1132" s="176"/>
      <c r="Z1132" s="176"/>
      <c r="AA1132" s="176"/>
      <c r="AB1132" s="176"/>
      <c r="AC1132" s="176"/>
      <c r="AD1132" s="176"/>
      <c r="AE1132" s="176"/>
      <c r="AF1132" s="176"/>
      <c r="AG1132" s="176"/>
      <c r="AH1132" s="176"/>
      <c r="AI1132" s="176"/>
      <c r="AJ1132" s="176"/>
      <c r="AK1132" s="176"/>
      <c r="AL1132" s="176"/>
      <c r="AM1132" s="176"/>
      <c r="AN1132" s="176"/>
      <c r="AO1132" s="176"/>
      <c r="AP1132" s="176"/>
      <c r="AQ1132" s="176"/>
      <c r="AR1132" s="176"/>
      <c r="AS1132" s="176"/>
      <c r="AT1132" s="176"/>
      <c r="AU1132" s="176"/>
      <c r="AV1132" s="176"/>
      <c r="AW1132" s="176"/>
      <c r="AX1132" s="176"/>
      <c r="AY1132" s="176"/>
      <c r="AZ1132" s="176"/>
      <c r="BA1132" s="176"/>
      <c r="BB1132" s="176"/>
      <c r="BC1132" s="176"/>
      <c r="BD1132" s="176"/>
      <c r="BE1132" s="176"/>
      <c r="BF1132" s="176"/>
      <c r="BG1132" s="176"/>
      <c r="BH1132" s="176"/>
      <c r="BI1132" s="176"/>
      <c r="BJ1132" s="176"/>
      <c r="BK1132" s="176"/>
      <c r="BL1132" s="176"/>
      <c r="BM1132" s="176"/>
      <c r="BN1132" s="176"/>
      <c r="BO1132" s="176"/>
      <c r="BP1132" s="176"/>
      <c r="BQ1132" s="176"/>
      <c r="BR1132" s="176"/>
      <c r="BS1132" s="176"/>
      <c r="BT1132" s="176"/>
      <c r="BU1132" s="176"/>
      <c r="BV1132" s="176"/>
      <c r="BW1132" s="176"/>
      <c r="BX1132" s="176"/>
      <c r="BY1132" s="191"/>
      <c r="BZ1132" s="191"/>
      <c r="CA1132" s="191"/>
      <c r="CC1132" s="182"/>
    </row>
    <row r="1133" spans="1:81" s="178" customFormat="1" ht="15.75" customHeight="1">
      <c r="A1133" s="226"/>
      <c r="B1133" s="227"/>
      <c r="C1133" s="231"/>
      <c r="D1133" s="229"/>
      <c r="E1133" s="227"/>
      <c r="F1133" s="227"/>
      <c r="G1133" s="229"/>
      <c r="H1133" s="229"/>
      <c r="I1133" s="175" t="s">
        <v>354</v>
      </c>
      <c r="J1133" s="175"/>
      <c r="K1133" s="175"/>
      <c r="L1133" s="175"/>
      <c r="M1133" s="176"/>
      <c r="N1133" s="176"/>
      <c r="O1133" s="176"/>
      <c r="P1133" s="176"/>
      <c r="Q1133" s="176"/>
      <c r="R1133" s="176"/>
      <c r="S1133" s="176"/>
      <c r="T1133" s="176"/>
      <c r="U1133" s="176"/>
      <c r="V1133" s="176"/>
      <c r="W1133" s="176"/>
      <c r="X1133" s="176"/>
      <c r="Y1133" s="176"/>
      <c r="Z1133" s="176"/>
      <c r="AA1133" s="176"/>
      <c r="AB1133" s="176"/>
      <c r="AC1133" s="176"/>
      <c r="AD1133" s="176"/>
      <c r="AE1133" s="176"/>
      <c r="AF1133" s="176"/>
      <c r="AG1133" s="176"/>
      <c r="AH1133" s="176"/>
      <c r="AI1133" s="176"/>
      <c r="AJ1133" s="176"/>
      <c r="AK1133" s="176"/>
      <c r="AL1133" s="176"/>
      <c r="AM1133" s="176"/>
      <c r="AN1133" s="176"/>
      <c r="AO1133" s="176"/>
      <c r="AP1133" s="176"/>
      <c r="AQ1133" s="176"/>
      <c r="AR1133" s="176"/>
      <c r="AS1133" s="176"/>
      <c r="AT1133" s="176"/>
      <c r="AU1133" s="176"/>
      <c r="AV1133" s="176"/>
      <c r="AW1133" s="176"/>
      <c r="AX1133" s="176"/>
      <c r="AY1133" s="176"/>
      <c r="AZ1133" s="176"/>
      <c r="BA1133" s="176"/>
      <c r="BB1133" s="176"/>
      <c r="BC1133" s="176"/>
      <c r="BD1133" s="176"/>
      <c r="BE1133" s="176"/>
      <c r="BF1133" s="176"/>
      <c r="BG1133" s="176"/>
      <c r="BH1133" s="176"/>
      <c r="BI1133" s="176"/>
      <c r="BJ1133" s="176"/>
      <c r="BK1133" s="176"/>
      <c r="BL1133" s="176"/>
      <c r="BM1133" s="176"/>
      <c r="BN1133" s="176"/>
      <c r="BO1133" s="176"/>
      <c r="BP1133" s="176"/>
      <c r="BQ1133" s="176"/>
      <c r="BR1133" s="176"/>
      <c r="BS1133" s="176"/>
      <c r="BT1133" s="176"/>
      <c r="BU1133" s="176"/>
      <c r="BV1133" s="176"/>
      <c r="BW1133" s="176"/>
      <c r="BX1133" s="176"/>
      <c r="BY1133" s="191"/>
      <c r="BZ1133" s="191"/>
      <c r="CA1133" s="191"/>
      <c r="CC1133" s="182"/>
    </row>
    <row r="1134" spans="1:81" s="178" customFormat="1" ht="15.75" customHeight="1">
      <c r="A1134" s="226"/>
      <c r="B1134" s="227"/>
      <c r="C1134" s="231"/>
      <c r="D1134" s="229"/>
      <c r="E1134" s="227"/>
      <c r="F1134" s="227"/>
      <c r="G1134" s="229"/>
      <c r="H1134" s="229"/>
      <c r="I1134" s="175" t="s">
        <v>357</v>
      </c>
      <c r="J1134" s="175"/>
      <c r="K1134" s="175"/>
      <c r="L1134" s="175"/>
      <c r="M1134" s="176"/>
      <c r="N1134" s="176"/>
      <c r="O1134" s="176"/>
      <c r="P1134" s="176"/>
      <c r="Q1134" s="176"/>
      <c r="R1134" s="176"/>
      <c r="S1134" s="176"/>
      <c r="T1134" s="176"/>
      <c r="U1134" s="176"/>
      <c r="V1134" s="176"/>
      <c r="W1134" s="176"/>
      <c r="X1134" s="176"/>
      <c r="Y1134" s="176"/>
      <c r="Z1134" s="176"/>
      <c r="AA1134" s="176"/>
      <c r="AB1134" s="176"/>
      <c r="AC1134" s="176"/>
      <c r="AD1134" s="176"/>
      <c r="AE1134" s="176"/>
      <c r="AF1134" s="176"/>
      <c r="AG1134" s="176"/>
      <c r="AH1134" s="176"/>
      <c r="AI1134" s="176"/>
      <c r="AJ1134" s="176"/>
      <c r="AK1134" s="176"/>
      <c r="AL1134" s="176"/>
      <c r="AM1134" s="176"/>
      <c r="AN1134" s="176"/>
      <c r="AO1134" s="176"/>
      <c r="AP1134" s="176"/>
      <c r="AQ1134" s="176"/>
      <c r="AR1134" s="176"/>
      <c r="AS1134" s="176"/>
      <c r="AT1134" s="176"/>
      <c r="AU1134" s="176"/>
      <c r="AV1134" s="176"/>
      <c r="AW1134" s="176"/>
      <c r="AX1134" s="176"/>
      <c r="AY1134" s="176"/>
      <c r="AZ1134" s="176"/>
      <c r="BA1134" s="176"/>
      <c r="BB1134" s="176"/>
      <c r="BC1134" s="176"/>
      <c r="BD1134" s="176"/>
      <c r="BE1134" s="176"/>
      <c r="BF1134" s="176"/>
      <c r="BG1134" s="176"/>
      <c r="BH1134" s="176"/>
      <c r="BI1134" s="176"/>
      <c r="BJ1134" s="176"/>
      <c r="BK1134" s="176"/>
      <c r="BL1134" s="176"/>
      <c r="BM1134" s="176"/>
      <c r="BN1134" s="176"/>
      <c r="BO1134" s="176"/>
      <c r="BP1134" s="176"/>
      <c r="BQ1134" s="176"/>
      <c r="BR1134" s="176"/>
      <c r="BS1134" s="176"/>
      <c r="BT1134" s="176"/>
      <c r="BU1134" s="176"/>
      <c r="BV1134" s="176"/>
      <c r="BW1134" s="176">
        <f>128+163.2</f>
        <v>291.2</v>
      </c>
      <c r="BX1134" s="176"/>
      <c r="BY1134" s="191"/>
      <c r="BZ1134" s="191"/>
      <c r="CA1134" s="191"/>
      <c r="CC1134" s="182"/>
    </row>
    <row r="1135" spans="1:81" s="178" customFormat="1" ht="15.75" customHeight="1">
      <c r="A1135" s="226"/>
      <c r="B1135" s="227"/>
      <c r="C1135" s="231"/>
      <c r="D1135" s="229"/>
      <c r="E1135" s="227"/>
      <c r="F1135" s="227"/>
      <c r="G1135" s="229"/>
      <c r="H1135" s="229"/>
      <c r="I1135" s="175" t="s">
        <v>355</v>
      </c>
      <c r="J1135" s="175"/>
      <c r="K1135" s="175"/>
      <c r="L1135" s="175"/>
      <c r="M1135" s="176"/>
      <c r="N1135" s="176"/>
      <c r="O1135" s="176"/>
      <c r="P1135" s="176"/>
      <c r="Q1135" s="176"/>
      <c r="R1135" s="176"/>
      <c r="S1135" s="176"/>
      <c r="T1135" s="176"/>
      <c r="U1135" s="176"/>
      <c r="V1135" s="176"/>
      <c r="W1135" s="176"/>
      <c r="X1135" s="176"/>
      <c r="Y1135" s="176"/>
      <c r="Z1135" s="176"/>
      <c r="AA1135" s="176"/>
      <c r="AB1135" s="176"/>
      <c r="AC1135" s="176"/>
      <c r="AD1135" s="176"/>
      <c r="AE1135" s="176"/>
      <c r="AF1135" s="176"/>
      <c r="AG1135" s="176"/>
      <c r="AH1135" s="176"/>
      <c r="AI1135" s="176"/>
      <c r="AJ1135" s="176"/>
      <c r="AK1135" s="176"/>
      <c r="AL1135" s="176"/>
      <c r="AM1135" s="176"/>
      <c r="AN1135" s="176"/>
      <c r="AO1135" s="176"/>
      <c r="AP1135" s="176"/>
      <c r="AQ1135" s="176"/>
      <c r="AR1135" s="176"/>
      <c r="AS1135" s="176"/>
      <c r="AT1135" s="176"/>
      <c r="AU1135" s="176"/>
      <c r="AV1135" s="176"/>
      <c r="AW1135" s="176"/>
      <c r="AX1135" s="176"/>
      <c r="AY1135" s="176"/>
      <c r="AZ1135" s="176"/>
      <c r="BA1135" s="176"/>
      <c r="BB1135" s="176"/>
      <c r="BC1135" s="176"/>
      <c r="BD1135" s="176"/>
      <c r="BE1135" s="176"/>
      <c r="BF1135" s="176"/>
      <c r="BG1135" s="176"/>
      <c r="BH1135" s="176"/>
      <c r="BI1135" s="176"/>
      <c r="BJ1135" s="176"/>
      <c r="BK1135" s="176"/>
      <c r="BL1135" s="212"/>
      <c r="BM1135" s="212"/>
      <c r="BN1135" s="212"/>
      <c r="BO1135" s="212"/>
      <c r="BP1135" s="212"/>
      <c r="BQ1135" s="212"/>
      <c r="BR1135" s="212"/>
      <c r="BS1135" s="212"/>
      <c r="BT1135" s="212"/>
      <c r="BU1135" s="212"/>
      <c r="BV1135" s="212"/>
      <c r="BW1135" s="212"/>
      <c r="BX1135" s="176"/>
      <c r="BY1135" s="191"/>
      <c r="BZ1135" s="191"/>
      <c r="CA1135" s="191"/>
      <c r="CC1135" s="182"/>
    </row>
    <row r="1136" spans="1:81" s="178" customFormat="1" ht="15.75" customHeight="1">
      <c r="A1136" s="226"/>
      <c r="B1136" s="227"/>
      <c r="C1136" s="231"/>
      <c r="D1136" s="229"/>
      <c r="E1136" s="227"/>
      <c r="F1136" s="227"/>
      <c r="G1136" s="229"/>
      <c r="H1136" s="229"/>
      <c r="I1136" s="184" t="s">
        <v>362</v>
      </c>
      <c r="J1136" s="175"/>
      <c r="K1136" s="175"/>
      <c r="L1136" s="175"/>
      <c r="M1136" s="176"/>
      <c r="N1136" s="176"/>
      <c r="O1136" s="176"/>
      <c r="P1136" s="176"/>
      <c r="Q1136" s="176"/>
      <c r="R1136" s="176"/>
      <c r="S1136" s="176"/>
      <c r="T1136" s="176"/>
      <c r="U1136" s="176"/>
      <c r="V1136" s="176"/>
      <c r="W1136" s="176"/>
      <c r="X1136" s="176"/>
      <c r="Y1136" s="176"/>
      <c r="Z1136" s="176"/>
      <c r="AA1136" s="176"/>
      <c r="AB1136" s="176"/>
      <c r="AC1136" s="176"/>
      <c r="AD1136" s="176"/>
      <c r="AE1136" s="176"/>
      <c r="AF1136" s="176"/>
      <c r="AG1136" s="176"/>
      <c r="AH1136" s="176"/>
      <c r="AI1136" s="176"/>
      <c r="AJ1136" s="176"/>
      <c r="AK1136" s="176"/>
      <c r="AL1136" s="176"/>
      <c r="AM1136" s="176"/>
      <c r="AN1136" s="176"/>
      <c r="AO1136" s="176"/>
      <c r="AP1136" s="176"/>
      <c r="AQ1136" s="176"/>
      <c r="AR1136" s="176"/>
      <c r="AS1136" s="176"/>
      <c r="AT1136" s="176"/>
      <c r="AU1136" s="176"/>
      <c r="AV1136" s="176"/>
      <c r="AW1136" s="176"/>
      <c r="AX1136" s="176"/>
      <c r="AY1136" s="176"/>
      <c r="AZ1136" s="176"/>
      <c r="BA1136" s="176"/>
      <c r="BB1136" s="176"/>
      <c r="BC1136" s="176"/>
      <c r="BD1136" s="176"/>
      <c r="BE1136" s="176"/>
      <c r="BF1136" s="176"/>
      <c r="BG1136" s="176"/>
      <c r="BH1136" s="176"/>
      <c r="BI1136" s="176"/>
      <c r="BJ1136" s="176"/>
      <c r="BK1136" s="176"/>
      <c r="BL1136" s="176"/>
      <c r="BM1136" s="176"/>
      <c r="BN1136" s="176"/>
      <c r="BO1136" s="176"/>
      <c r="BP1136" s="176"/>
      <c r="BQ1136" s="176"/>
      <c r="BR1136" s="176"/>
      <c r="BS1136" s="176"/>
      <c r="BT1136" s="176"/>
      <c r="BU1136" s="176"/>
      <c r="BV1136" s="176"/>
      <c r="BW1136" s="176"/>
      <c r="BX1136" s="176"/>
      <c r="BY1136" s="191"/>
      <c r="BZ1136" s="191"/>
      <c r="CA1136" s="191"/>
      <c r="CC1136" s="182"/>
    </row>
    <row r="1137" spans="1:81" s="178" customFormat="1">
      <c r="A1137" s="226"/>
      <c r="B1137" s="227"/>
      <c r="C1137" s="231"/>
      <c r="D1137" s="229"/>
      <c r="E1137" s="227"/>
      <c r="F1137" s="227"/>
      <c r="G1137" s="229"/>
      <c r="H1137" s="229"/>
      <c r="I1137" s="190" t="s">
        <v>363</v>
      </c>
      <c r="J1137" s="190"/>
      <c r="K1137" s="190"/>
      <c r="L1137" s="190"/>
      <c r="M1137" s="176"/>
      <c r="N1137" s="176"/>
      <c r="O1137" s="176"/>
      <c r="P1137" s="176"/>
      <c r="Q1137" s="176"/>
      <c r="R1137" s="176"/>
      <c r="S1137" s="176"/>
      <c r="T1137" s="176"/>
      <c r="U1137" s="176"/>
      <c r="V1137" s="176"/>
      <c r="W1137" s="176"/>
      <c r="X1137" s="176"/>
      <c r="Y1137" s="176"/>
      <c r="Z1137" s="176"/>
      <c r="AA1137" s="176"/>
      <c r="AB1137" s="176"/>
      <c r="AC1137" s="176"/>
      <c r="AD1137" s="176"/>
      <c r="AE1137" s="176"/>
      <c r="AF1137" s="176"/>
      <c r="AG1137" s="176"/>
      <c r="AH1137" s="176"/>
      <c r="AI1137" s="176"/>
      <c r="AJ1137" s="176"/>
      <c r="AK1137" s="176"/>
      <c r="AL1137" s="176"/>
      <c r="AM1137" s="176"/>
      <c r="AN1137" s="176"/>
      <c r="AO1137" s="176"/>
      <c r="AP1137" s="176"/>
      <c r="AQ1137" s="176"/>
      <c r="AR1137" s="176"/>
      <c r="AS1137" s="176"/>
      <c r="AT1137" s="176"/>
      <c r="AU1137" s="176"/>
      <c r="AV1137" s="176"/>
      <c r="AW1137" s="176"/>
      <c r="AX1137" s="176"/>
      <c r="AY1137" s="176"/>
      <c r="AZ1137" s="176"/>
      <c r="BA1137" s="176"/>
      <c r="BB1137" s="176"/>
      <c r="BC1137" s="176"/>
      <c r="BD1137" s="176"/>
      <c r="BE1137" s="176"/>
      <c r="BF1137" s="176"/>
      <c r="BG1137" s="176"/>
      <c r="BH1137" s="176"/>
      <c r="BI1137" s="176"/>
      <c r="BJ1137" s="176"/>
      <c r="BK1137" s="176"/>
      <c r="BL1137" s="176"/>
      <c r="BM1137" s="176"/>
      <c r="BN1137" s="176"/>
      <c r="BO1137" s="176"/>
      <c r="BP1137" s="176"/>
      <c r="BQ1137" s="176"/>
      <c r="BR1137" s="176"/>
      <c r="BS1137" s="176"/>
      <c r="BT1137" s="176"/>
      <c r="BU1137" s="176"/>
      <c r="BV1137" s="176"/>
      <c r="BW1137" s="176"/>
      <c r="BX1137" s="176"/>
      <c r="BY1137" s="191"/>
      <c r="BZ1137" s="191"/>
    </row>
    <row r="1138" spans="1:81" s="178" customFormat="1">
      <c r="A1138" s="226"/>
      <c r="B1138" s="227"/>
      <c r="C1138" s="231"/>
      <c r="D1138" s="229"/>
      <c r="E1138" s="227"/>
      <c r="F1138" s="227"/>
      <c r="G1138" s="229"/>
      <c r="H1138" s="229"/>
      <c r="I1138" s="193" t="s">
        <v>373</v>
      </c>
      <c r="J1138" s="193"/>
      <c r="K1138" s="193"/>
      <c r="L1138" s="193"/>
      <c r="M1138" s="176"/>
      <c r="N1138" s="176"/>
      <c r="O1138" s="176"/>
      <c r="P1138" s="176"/>
      <c r="Q1138" s="176"/>
      <c r="R1138" s="176"/>
      <c r="S1138" s="176"/>
      <c r="T1138" s="176"/>
      <c r="U1138" s="176"/>
      <c r="V1138" s="176"/>
      <c r="W1138" s="176"/>
      <c r="X1138" s="176"/>
      <c r="Y1138" s="176"/>
      <c r="Z1138" s="176"/>
      <c r="AA1138" s="176"/>
      <c r="AB1138" s="176"/>
      <c r="AC1138" s="176"/>
      <c r="AD1138" s="176"/>
      <c r="AE1138" s="176"/>
      <c r="AF1138" s="176"/>
      <c r="AG1138" s="176"/>
      <c r="AH1138" s="176"/>
      <c r="AI1138" s="176"/>
      <c r="AJ1138" s="176"/>
      <c r="AK1138" s="176"/>
      <c r="AL1138" s="176"/>
      <c r="AM1138" s="176"/>
      <c r="AN1138" s="176"/>
      <c r="AO1138" s="176"/>
      <c r="AP1138" s="176"/>
      <c r="AQ1138" s="176"/>
      <c r="AR1138" s="176"/>
      <c r="AS1138" s="176"/>
      <c r="AT1138" s="176"/>
      <c r="AU1138" s="176"/>
      <c r="AV1138" s="176"/>
      <c r="AW1138" s="176"/>
      <c r="AX1138" s="176"/>
      <c r="AY1138" s="176"/>
      <c r="AZ1138" s="176"/>
      <c r="BA1138" s="176"/>
      <c r="BB1138" s="176"/>
      <c r="BC1138" s="176"/>
      <c r="BD1138" s="176"/>
      <c r="BE1138" s="176"/>
      <c r="BF1138" s="176"/>
      <c r="BG1138" s="176"/>
      <c r="BH1138" s="176"/>
      <c r="BI1138" s="176"/>
      <c r="BJ1138" s="176"/>
      <c r="BK1138" s="176"/>
      <c r="BL1138" s="176"/>
      <c r="BM1138" s="176"/>
      <c r="BN1138" s="176"/>
      <c r="BO1138" s="176"/>
      <c r="BP1138" s="176"/>
      <c r="BQ1138" s="176"/>
      <c r="BR1138" s="176"/>
      <c r="BS1138" s="176"/>
      <c r="BT1138" s="176"/>
      <c r="BU1138" s="176"/>
      <c r="BV1138" s="176"/>
      <c r="BW1138" s="176">
        <v>91.56</v>
      </c>
      <c r="BX1138" s="176"/>
      <c r="BY1138" s="191"/>
      <c r="BZ1138" s="191"/>
    </row>
    <row r="1139" spans="1:81" s="178" customFormat="1" ht="13.9" customHeight="1">
      <c r="A1139" s="226"/>
      <c r="B1139" s="227"/>
      <c r="C1139" s="232"/>
      <c r="D1139" s="229"/>
      <c r="E1139" s="227"/>
      <c r="F1139" s="227"/>
      <c r="G1139" s="229"/>
      <c r="H1139" s="229"/>
      <c r="I1139" s="190"/>
      <c r="J1139" s="176">
        <f>SUM(J1128:J1137)-J1138</f>
        <v>0</v>
      </c>
      <c r="K1139" s="176">
        <f t="shared" ref="K1139:Y1139" si="554">SUM(K1128:K1137)-K1138</f>
        <v>0</v>
      </c>
      <c r="L1139" s="176">
        <f t="shared" si="554"/>
        <v>0</v>
      </c>
      <c r="M1139" s="176">
        <f t="shared" si="554"/>
        <v>0</v>
      </c>
      <c r="N1139" s="176">
        <f t="shared" si="554"/>
        <v>0</v>
      </c>
      <c r="O1139" s="176">
        <f t="shared" si="554"/>
        <v>0</v>
      </c>
      <c r="P1139" s="176">
        <f t="shared" si="554"/>
        <v>0</v>
      </c>
      <c r="Q1139" s="176">
        <f t="shared" si="554"/>
        <v>0</v>
      </c>
      <c r="R1139" s="176">
        <f t="shared" si="554"/>
        <v>0</v>
      </c>
      <c r="S1139" s="176">
        <f t="shared" si="554"/>
        <v>0</v>
      </c>
      <c r="T1139" s="176">
        <f t="shared" si="554"/>
        <v>0</v>
      </c>
      <c r="U1139" s="176">
        <f t="shared" si="554"/>
        <v>0</v>
      </c>
      <c r="V1139" s="176">
        <f t="shared" si="554"/>
        <v>0</v>
      </c>
      <c r="W1139" s="176">
        <f t="shared" si="554"/>
        <v>0</v>
      </c>
      <c r="X1139" s="176">
        <f t="shared" si="554"/>
        <v>0</v>
      </c>
      <c r="Y1139" s="176">
        <f t="shared" si="554"/>
        <v>0</v>
      </c>
      <c r="Z1139" s="176">
        <f>SUM(Z1128:Z1137)-Z1138</f>
        <v>0</v>
      </c>
      <c r="AA1139" s="176">
        <f t="shared" ref="AA1139:AD1139" si="555">SUM(AA1128:AA1137)-AA1138</f>
        <v>0</v>
      </c>
      <c r="AB1139" s="176">
        <f t="shared" si="555"/>
        <v>0</v>
      </c>
      <c r="AC1139" s="176">
        <f t="shared" si="555"/>
        <v>0</v>
      </c>
      <c r="AD1139" s="176">
        <f t="shared" si="555"/>
        <v>0</v>
      </c>
      <c r="AE1139" s="176">
        <f>SUM(AE1128:AE1137)-AE1138</f>
        <v>0</v>
      </c>
      <c r="AF1139" s="176">
        <f>SUM(AF1128:AF1137)-AF1138</f>
        <v>0</v>
      </c>
      <c r="AG1139" s="176">
        <f t="shared" ref="AG1139:AU1139" si="556">SUM(AG1128:AG1137)-AG1138</f>
        <v>0</v>
      </c>
      <c r="AH1139" s="176">
        <f t="shared" si="556"/>
        <v>0</v>
      </c>
      <c r="AI1139" s="176">
        <f t="shared" si="556"/>
        <v>0</v>
      </c>
      <c r="AJ1139" s="176">
        <f t="shared" si="556"/>
        <v>0</v>
      </c>
      <c r="AK1139" s="176">
        <f t="shared" si="556"/>
        <v>0</v>
      </c>
      <c r="AL1139" s="176">
        <f t="shared" si="556"/>
        <v>0</v>
      </c>
      <c r="AM1139" s="176">
        <f t="shared" si="556"/>
        <v>0</v>
      </c>
      <c r="AN1139" s="176">
        <f t="shared" si="556"/>
        <v>0</v>
      </c>
      <c r="AO1139" s="176">
        <f t="shared" si="556"/>
        <v>0</v>
      </c>
      <c r="AP1139" s="176">
        <f t="shared" si="556"/>
        <v>0</v>
      </c>
      <c r="AQ1139" s="176">
        <f t="shared" si="556"/>
        <v>0</v>
      </c>
      <c r="AR1139" s="176">
        <f t="shared" si="556"/>
        <v>0</v>
      </c>
      <c r="AS1139" s="176">
        <f t="shared" si="556"/>
        <v>0</v>
      </c>
      <c r="AT1139" s="176">
        <f t="shared" si="556"/>
        <v>0</v>
      </c>
      <c r="AU1139" s="176">
        <f t="shared" si="556"/>
        <v>0</v>
      </c>
      <c r="AV1139" s="176">
        <f>SUM(AV1128:AV1137)-AV1138</f>
        <v>0</v>
      </c>
      <c r="AW1139" s="176">
        <f t="shared" ref="AW1139:BA1139" si="557">SUM(AW1128:AW1137)-AW1138</f>
        <v>0</v>
      </c>
      <c r="AX1139" s="176">
        <f t="shared" si="557"/>
        <v>0</v>
      </c>
      <c r="AY1139" s="176">
        <f t="shared" si="557"/>
        <v>0</v>
      </c>
      <c r="AZ1139" s="176">
        <f t="shared" si="557"/>
        <v>0</v>
      </c>
      <c r="BA1139" s="176">
        <f t="shared" si="557"/>
        <v>0</v>
      </c>
      <c r="BB1139" s="176"/>
      <c r="BC1139" s="176"/>
      <c r="BD1139" s="176"/>
      <c r="BE1139" s="176"/>
      <c r="BF1139" s="176"/>
      <c r="BG1139" s="176"/>
      <c r="BH1139" s="176"/>
      <c r="BI1139" s="176"/>
      <c r="BJ1139" s="176"/>
      <c r="BK1139" s="176"/>
      <c r="BL1139" s="176"/>
      <c r="BM1139" s="176"/>
      <c r="BN1139" s="176"/>
      <c r="BO1139" s="176"/>
      <c r="BP1139" s="176"/>
      <c r="BQ1139" s="176"/>
      <c r="BR1139" s="176"/>
      <c r="BS1139" s="176"/>
      <c r="BT1139" s="176"/>
      <c r="BU1139" s="176"/>
      <c r="BV1139" s="176"/>
      <c r="BW1139" s="176">
        <f>BW1129+BW1134-BW1138</f>
        <v>902.66000000000008</v>
      </c>
      <c r="BX1139" s="176">
        <f>SUM(BW1139)</f>
        <v>902.66000000000008</v>
      </c>
      <c r="BY1139" s="191"/>
      <c r="BZ1139" s="191"/>
    </row>
    <row r="1140" spans="1:81" ht="15.6" customHeight="1">
      <c r="A1140" s="148" t="s">
        <v>346</v>
      </c>
      <c r="B1140" s="148" t="s">
        <v>347</v>
      </c>
      <c r="C1140" s="145" t="s">
        <v>310</v>
      </c>
      <c r="D1140" s="145" t="s">
        <v>311</v>
      </c>
      <c r="E1140" s="148" t="s">
        <v>312</v>
      </c>
      <c r="F1140" s="148" t="s">
        <v>348</v>
      </c>
      <c r="G1140" s="145" t="s">
        <v>314</v>
      </c>
      <c r="H1140" s="145" t="s">
        <v>315</v>
      </c>
      <c r="I1140" s="145" t="s">
        <v>349</v>
      </c>
      <c r="J1140" s="146">
        <v>44105</v>
      </c>
      <c r="K1140" s="146">
        <v>44136</v>
      </c>
      <c r="L1140" s="146">
        <v>44166</v>
      </c>
      <c r="M1140" s="146">
        <v>44197</v>
      </c>
      <c r="N1140" s="146">
        <v>44228</v>
      </c>
      <c r="O1140" s="146">
        <v>44256</v>
      </c>
      <c r="P1140" s="146">
        <v>44287</v>
      </c>
      <c r="Q1140" s="146">
        <v>44317</v>
      </c>
      <c r="R1140" s="146">
        <v>44348</v>
      </c>
      <c r="S1140" s="146">
        <v>44378</v>
      </c>
      <c r="T1140" s="146">
        <v>44409</v>
      </c>
      <c r="U1140" s="146">
        <v>44440</v>
      </c>
      <c r="V1140" s="146">
        <v>44470</v>
      </c>
      <c r="W1140" s="146">
        <v>44501</v>
      </c>
      <c r="X1140" s="146">
        <v>44531</v>
      </c>
      <c r="Y1140" s="146">
        <v>44562</v>
      </c>
      <c r="Z1140" s="146">
        <v>44593</v>
      </c>
      <c r="AA1140" s="146">
        <v>44621</v>
      </c>
      <c r="AB1140" s="146">
        <v>44652</v>
      </c>
      <c r="AC1140" s="146">
        <v>44682</v>
      </c>
      <c r="AD1140" s="146">
        <v>44713</v>
      </c>
      <c r="AE1140" s="146">
        <v>44743</v>
      </c>
      <c r="AF1140" s="146">
        <v>44774</v>
      </c>
      <c r="AG1140" s="146">
        <v>44805</v>
      </c>
      <c r="AH1140" s="146">
        <v>44835</v>
      </c>
      <c r="AI1140" s="146">
        <v>44866</v>
      </c>
      <c r="AJ1140" s="146">
        <v>44896</v>
      </c>
      <c r="AK1140" s="146">
        <v>44927</v>
      </c>
      <c r="AL1140" s="146">
        <v>44958</v>
      </c>
      <c r="AM1140" s="146">
        <v>44986</v>
      </c>
      <c r="AN1140" s="146">
        <v>45017</v>
      </c>
      <c r="AO1140" s="146">
        <v>45047</v>
      </c>
      <c r="AP1140" s="146">
        <v>45078</v>
      </c>
      <c r="AQ1140" s="146">
        <v>45108</v>
      </c>
      <c r="AR1140" s="146">
        <v>45139</v>
      </c>
      <c r="AS1140" s="146">
        <v>45170</v>
      </c>
      <c r="AT1140" s="146">
        <v>45200</v>
      </c>
      <c r="AU1140" s="146">
        <v>45231</v>
      </c>
      <c r="AV1140" s="146">
        <v>45261</v>
      </c>
      <c r="AW1140" s="146">
        <v>45292</v>
      </c>
      <c r="AX1140" s="146">
        <v>45323</v>
      </c>
      <c r="AY1140" s="146">
        <v>45352</v>
      </c>
      <c r="AZ1140" s="146">
        <v>45383</v>
      </c>
      <c r="BA1140" s="146">
        <v>45413</v>
      </c>
      <c r="BB1140" s="146">
        <v>45444</v>
      </c>
      <c r="BC1140" s="146">
        <v>45474</v>
      </c>
      <c r="BD1140" s="146">
        <v>45505</v>
      </c>
      <c r="BE1140" s="146">
        <v>45536</v>
      </c>
      <c r="BF1140" s="146">
        <v>45566</v>
      </c>
      <c r="BG1140" s="146">
        <v>45597</v>
      </c>
      <c r="BH1140" s="146">
        <v>45627</v>
      </c>
      <c r="BI1140" s="146">
        <v>45658</v>
      </c>
      <c r="BJ1140" s="146">
        <v>45689</v>
      </c>
      <c r="BK1140" s="146">
        <v>45717</v>
      </c>
      <c r="BL1140" s="146">
        <v>45748</v>
      </c>
      <c r="BM1140" s="146">
        <v>45778</v>
      </c>
      <c r="BN1140" s="146"/>
      <c r="BO1140" s="146"/>
      <c r="BP1140" s="146"/>
      <c r="BQ1140" s="146"/>
      <c r="BR1140" s="146"/>
      <c r="BS1140" s="146"/>
      <c r="BT1140" s="146">
        <v>45992</v>
      </c>
      <c r="BU1140" s="146">
        <v>46023</v>
      </c>
      <c r="BV1140" s="146">
        <v>46054</v>
      </c>
      <c r="BW1140" s="146">
        <v>46082</v>
      </c>
      <c r="BX1140" s="147" t="s">
        <v>13</v>
      </c>
      <c r="BY1140" s="5"/>
      <c r="BZ1140" s="5"/>
      <c r="CA1140" s="5"/>
    </row>
    <row r="1141" spans="1:81" s="178" customFormat="1" ht="15.75" customHeight="1">
      <c r="A1141" s="226">
        <v>74</v>
      </c>
      <c r="B1141" s="227" t="s">
        <v>281</v>
      </c>
      <c r="C1141" s="227" t="s">
        <v>23</v>
      </c>
      <c r="D1141" s="227" t="s">
        <v>89</v>
      </c>
      <c r="E1141" s="227" t="s">
        <v>150</v>
      </c>
      <c r="F1141" s="227" t="s">
        <v>150</v>
      </c>
      <c r="G1141" s="228">
        <v>46092</v>
      </c>
      <c r="H1141" s="228"/>
      <c r="I1141" s="175" t="s">
        <v>390</v>
      </c>
      <c r="J1141" s="175"/>
      <c r="K1141" s="175"/>
      <c r="L1141" s="175"/>
      <c r="M1141" s="176"/>
      <c r="N1141" s="176"/>
      <c r="O1141" s="176"/>
      <c r="P1141" s="176"/>
      <c r="Q1141" s="176"/>
      <c r="R1141" s="176"/>
      <c r="S1141" s="176"/>
      <c r="T1141" s="176"/>
      <c r="U1141" s="176"/>
      <c r="V1141" s="176"/>
      <c r="W1141" s="176"/>
      <c r="X1141" s="176"/>
      <c r="Y1141" s="176"/>
      <c r="Z1141" s="176"/>
      <c r="AA1141" s="176"/>
      <c r="AB1141" s="176"/>
      <c r="AC1141" s="176"/>
      <c r="AD1141" s="176"/>
      <c r="AE1141" s="176"/>
      <c r="AF1141" s="176"/>
      <c r="AG1141" s="176"/>
      <c r="AH1141" s="176"/>
      <c r="AI1141" s="176"/>
      <c r="AJ1141" s="176"/>
      <c r="AK1141" s="176"/>
      <c r="AL1141" s="176"/>
      <c r="AM1141" s="176"/>
      <c r="AN1141" s="176"/>
      <c r="AO1141" s="176"/>
      <c r="AP1141" s="176"/>
      <c r="AQ1141" s="176"/>
      <c r="AR1141" s="176"/>
      <c r="AS1141" s="176"/>
      <c r="AT1141" s="176"/>
      <c r="AU1141" s="176"/>
      <c r="AV1141" s="176"/>
      <c r="AW1141" s="176"/>
      <c r="AX1141" s="176"/>
      <c r="AY1141" s="176"/>
      <c r="AZ1141" s="176"/>
      <c r="BA1141" s="176"/>
      <c r="BB1141" s="176"/>
      <c r="BC1141" s="176"/>
      <c r="BD1141" s="176"/>
      <c r="BE1141" s="176"/>
      <c r="BF1141" s="176"/>
      <c r="BG1141" s="176"/>
      <c r="BH1141" s="176"/>
      <c r="BI1141" s="176"/>
      <c r="BJ1141" s="176"/>
      <c r="BK1141" s="176"/>
      <c r="BL1141" s="176"/>
      <c r="BM1141" s="176"/>
      <c r="BN1141" s="176"/>
      <c r="BO1141" s="176"/>
      <c r="BP1141" s="176"/>
      <c r="BQ1141" s="176"/>
      <c r="BR1141" s="176"/>
      <c r="BS1141" s="176"/>
      <c r="BT1141" s="176"/>
      <c r="BU1141" s="176"/>
      <c r="BV1141" s="176"/>
      <c r="BW1141" s="176"/>
      <c r="BX1141" s="176"/>
      <c r="BY1141" s="191"/>
      <c r="BZ1141" s="191"/>
      <c r="CA1141" s="191"/>
      <c r="CC1141" s="182"/>
    </row>
    <row r="1142" spans="1:81" s="178" customFormat="1" ht="15.75" customHeight="1">
      <c r="A1142" s="226"/>
      <c r="B1142" s="227"/>
      <c r="C1142" s="227"/>
      <c r="D1142" s="227"/>
      <c r="E1142" s="227"/>
      <c r="F1142" s="227"/>
      <c r="G1142" s="229"/>
      <c r="H1142" s="229"/>
      <c r="I1142" s="175" t="s">
        <v>351</v>
      </c>
      <c r="J1142" s="175"/>
      <c r="K1142" s="175"/>
      <c r="L1142" s="175"/>
      <c r="M1142" s="176"/>
      <c r="N1142" s="176"/>
      <c r="O1142" s="176"/>
      <c r="P1142" s="176"/>
      <c r="Q1142" s="176"/>
      <c r="R1142" s="176"/>
      <c r="S1142" s="176"/>
      <c r="T1142" s="176"/>
      <c r="U1142" s="176"/>
      <c r="V1142" s="176"/>
      <c r="W1142" s="176"/>
      <c r="X1142" s="176"/>
      <c r="Y1142" s="176"/>
      <c r="Z1142" s="176"/>
      <c r="AA1142" s="176"/>
      <c r="AB1142" s="176"/>
      <c r="AC1142" s="176"/>
      <c r="AD1142" s="176"/>
      <c r="AE1142" s="176"/>
      <c r="AF1142" s="176"/>
      <c r="AG1142" s="176"/>
      <c r="AH1142" s="176"/>
      <c r="AI1142" s="176"/>
      <c r="AJ1142" s="176"/>
      <c r="AK1142" s="176"/>
      <c r="AL1142" s="176"/>
      <c r="AM1142" s="176"/>
      <c r="AN1142" s="176"/>
      <c r="AO1142" s="176"/>
      <c r="AP1142" s="176"/>
      <c r="AQ1142" s="176"/>
      <c r="AR1142" s="176"/>
      <c r="AS1142" s="176"/>
      <c r="AT1142" s="176"/>
      <c r="AU1142" s="176"/>
      <c r="AV1142" s="176"/>
      <c r="AW1142" s="176"/>
      <c r="AX1142" s="176"/>
      <c r="AY1142" s="176"/>
      <c r="AZ1142" s="176"/>
      <c r="BA1142" s="176"/>
      <c r="BB1142" s="176"/>
      <c r="BC1142" s="176"/>
      <c r="BD1142" s="176"/>
      <c r="BE1142" s="176"/>
      <c r="BF1142" s="176"/>
      <c r="BG1142" s="176"/>
      <c r="BH1142" s="176"/>
      <c r="BI1142" s="176"/>
      <c r="BJ1142" s="176"/>
      <c r="BK1142" s="176"/>
      <c r="BL1142" s="176"/>
      <c r="BM1142" s="176"/>
      <c r="BN1142" s="176"/>
      <c r="BO1142" s="176"/>
      <c r="BP1142" s="176"/>
      <c r="BQ1142" s="176"/>
      <c r="BR1142" s="176"/>
      <c r="BS1142" s="176"/>
      <c r="BT1142" s="176"/>
      <c r="BU1142" s="176"/>
      <c r="BV1142" s="176"/>
      <c r="BW1142" s="176">
        <v>1233.21</v>
      </c>
      <c r="BX1142" s="176"/>
      <c r="BY1142" s="191"/>
      <c r="BZ1142" s="191"/>
      <c r="CA1142" s="191"/>
      <c r="CC1142" s="182"/>
    </row>
    <row r="1143" spans="1:81" s="178" customFormat="1" ht="15.75" customHeight="1">
      <c r="A1143" s="226"/>
      <c r="B1143" s="227"/>
      <c r="C1143" s="227"/>
      <c r="D1143" s="227"/>
      <c r="E1143" s="227"/>
      <c r="F1143" s="227"/>
      <c r="G1143" s="229"/>
      <c r="H1143" s="229"/>
      <c r="I1143" s="175" t="s">
        <v>391</v>
      </c>
      <c r="J1143" s="175"/>
      <c r="K1143" s="175"/>
      <c r="L1143" s="175"/>
      <c r="M1143" s="176"/>
      <c r="N1143" s="176"/>
      <c r="O1143" s="176"/>
      <c r="P1143" s="176"/>
      <c r="Q1143" s="176"/>
      <c r="R1143" s="176"/>
      <c r="S1143" s="176"/>
      <c r="T1143" s="176"/>
      <c r="U1143" s="176"/>
      <c r="V1143" s="176"/>
      <c r="W1143" s="176"/>
      <c r="X1143" s="176"/>
      <c r="Y1143" s="177"/>
      <c r="Z1143" s="176"/>
      <c r="AA1143" s="176"/>
      <c r="AB1143" s="176"/>
      <c r="AC1143" s="176"/>
      <c r="AD1143" s="176"/>
      <c r="AE1143" s="176"/>
      <c r="AF1143" s="176"/>
      <c r="AG1143" s="176"/>
      <c r="AH1143" s="176"/>
      <c r="AI1143" s="176"/>
      <c r="AJ1143" s="176"/>
      <c r="AK1143" s="176"/>
      <c r="AL1143" s="176"/>
      <c r="AM1143" s="176"/>
      <c r="AN1143" s="176"/>
      <c r="AO1143" s="176"/>
      <c r="AP1143" s="176"/>
      <c r="AQ1143" s="176"/>
      <c r="AR1143" s="176"/>
      <c r="AS1143" s="176"/>
      <c r="AT1143" s="176"/>
      <c r="AU1143" s="176"/>
      <c r="AV1143" s="176"/>
      <c r="AW1143" s="176"/>
      <c r="AX1143" s="176"/>
      <c r="AY1143" s="176"/>
      <c r="AZ1143" s="176"/>
      <c r="BA1143" s="176"/>
      <c r="BB1143" s="176"/>
      <c r="BC1143" s="176"/>
      <c r="BD1143" s="176"/>
      <c r="BE1143" s="176"/>
      <c r="BF1143" s="176"/>
      <c r="BG1143" s="176"/>
      <c r="BH1143" s="176"/>
      <c r="BI1143" s="176"/>
      <c r="BJ1143" s="176"/>
      <c r="BK1143" s="176"/>
      <c r="BL1143" s="176"/>
      <c r="BM1143" s="176"/>
      <c r="BN1143" s="176"/>
      <c r="BO1143" s="176"/>
      <c r="BP1143" s="176"/>
      <c r="BQ1143" s="176"/>
      <c r="BR1143" s="176"/>
      <c r="BS1143" s="176"/>
      <c r="BT1143" s="176"/>
      <c r="BU1143" s="176"/>
      <c r="BV1143" s="176"/>
      <c r="BW1143" s="176"/>
      <c r="BX1143" s="176"/>
      <c r="BY1143" s="191"/>
      <c r="BZ1143" s="191"/>
      <c r="CA1143" s="191"/>
      <c r="CC1143" s="182"/>
    </row>
    <row r="1144" spans="1:81" s="178" customFormat="1" ht="15.75" customHeight="1">
      <c r="A1144" s="226"/>
      <c r="B1144" s="227"/>
      <c r="C1144" s="227"/>
      <c r="D1144" s="227"/>
      <c r="E1144" s="227"/>
      <c r="F1144" s="227"/>
      <c r="G1144" s="229"/>
      <c r="H1144" s="229"/>
      <c r="I1144" s="175" t="s">
        <v>351</v>
      </c>
      <c r="J1144" s="175"/>
      <c r="K1144" s="175"/>
      <c r="L1144" s="175"/>
      <c r="M1144" s="176"/>
      <c r="N1144" s="176"/>
      <c r="O1144" s="176"/>
      <c r="P1144" s="176"/>
      <c r="Q1144" s="176"/>
      <c r="R1144" s="176"/>
      <c r="S1144" s="176"/>
      <c r="T1144" s="176"/>
      <c r="U1144" s="176"/>
      <c r="V1144" s="176"/>
      <c r="W1144" s="176"/>
      <c r="X1144" s="176"/>
      <c r="Y1144" s="177"/>
      <c r="Z1144" s="176"/>
      <c r="AA1144" s="176"/>
      <c r="AB1144" s="176"/>
      <c r="AC1144" s="176"/>
      <c r="AD1144" s="176"/>
      <c r="AE1144" s="176"/>
      <c r="AF1144" s="176"/>
      <c r="AG1144" s="176"/>
      <c r="AH1144" s="176"/>
      <c r="AI1144" s="176"/>
      <c r="AJ1144" s="176"/>
      <c r="AK1144" s="176"/>
      <c r="AL1144" s="176"/>
      <c r="AM1144" s="176"/>
      <c r="AN1144" s="176"/>
      <c r="AO1144" s="176"/>
      <c r="AP1144" s="176"/>
      <c r="AQ1144" s="176"/>
      <c r="AR1144" s="176"/>
      <c r="AS1144" s="176"/>
      <c r="AT1144" s="176"/>
      <c r="AU1144" s="176"/>
      <c r="AV1144" s="176"/>
      <c r="AW1144" s="176"/>
      <c r="AX1144" s="176"/>
      <c r="AY1144" s="176"/>
      <c r="AZ1144" s="176"/>
      <c r="BA1144" s="176"/>
      <c r="BB1144" s="176"/>
      <c r="BC1144" s="176"/>
      <c r="BD1144" s="176"/>
      <c r="BE1144" s="176"/>
      <c r="BF1144" s="176"/>
      <c r="BG1144" s="176"/>
      <c r="BH1144" s="176"/>
      <c r="BI1144" s="176"/>
      <c r="BJ1144" s="176"/>
      <c r="BK1144" s="176"/>
      <c r="BL1144" s="176"/>
      <c r="BM1144" s="176"/>
      <c r="BN1144" s="176"/>
      <c r="BO1144" s="176"/>
      <c r="BP1144" s="176"/>
      <c r="BQ1144" s="176"/>
      <c r="BR1144" s="176"/>
      <c r="BS1144" s="176"/>
      <c r="BT1144" s="176"/>
      <c r="BU1144" s="176"/>
      <c r="BV1144" s="176"/>
      <c r="BW1144" s="176"/>
      <c r="BX1144" s="176"/>
      <c r="BY1144" s="191"/>
      <c r="BZ1144" s="191"/>
      <c r="CA1144" s="191"/>
      <c r="CC1144" s="182"/>
    </row>
    <row r="1145" spans="1:81" s="178" customFormat="1" ht="15.75" customHeight="1">
      <c r="A1145" s="226"/>
      <c r="B1145" s="227"/>
      <c r="C1145" s="227"/>
      <c r="D1145" s="227"/>
      <c r="E1145" s="227"/>
      <c r="F1145" s="227"/>
      <c r="G1145" s="229"/>
      <c r="H1145" s="229"/>
      <c r="I1145" s="175" t="s">
        <v>353</v>
      </c>
      <c r="J1145" s="175"/>
      <c r="K1145" s="175"/>
      <c r="L1145" s="175"/>
      <c r="M1145" s="176"/>
      <c r="N1145" s="176"/>
      <c r="O1145" s="176"/>
      <c r="P1145" s="176"/>
      <c r="Q1145" s="176"/>
      <c r="R1145" s="176"/>
      <c r="S1145" s="176"/>
      <c r="T1145" s="176"/>
      <c r="U1145" s="176"/>
      <c r="V1145" s="176"/>
      <c r="W1145" s="176"/>
      <c r="X1145" s="176"/>
      <c r="Y1145" s="176"/>
      <c r="Z1145" s="176"/>
      <c r="AA1145" s="176"/>
      <c r="AB1145" s="176"/>
      <c r="AC1145" s="176"/>
      <c r="AD1145" s="176"/>
      <c r="AE1145" s="176"/>
      <c r="AF1145" s="176"/>
      <c r="AG1145" s="176"/>
      <c r="AH1145" s="176"/>
      <c r="AI1145" s="176"/>
      <c r="AJ1145" s="176"/>
      <c r="AK1145" s="176"/>
      <c r="AL1145" s="176"/>
      <c r="AM1145" s="176"/>
      <c r="AN1145" s="176"/>
      <c r="AO1145" s="176"/>
      <c r="AP1145" s="176"/>
      <c r="AQ1145" s="176"/>
      <c r="AR1145" s="176"/>
      <c r="AS1145" s="176"/>
      <c r="AT1145" s="176"/>
      <c r="AU1145" s="176"/>
      <c r="AV1145" s="176"/>
      <c r="AW1145" s="176"/>
      <c r="AX1145" s="176"/>
      <c r="AY1145" s="176"/>
      <c r="AZ1145" s="176"/>
      <c r="BA1145" s="176"/>
      <c r="BB1145" s="176"/>
      <c r="BC1145" s="176"/>
      <c r="BD1145" s="176"/>
      <c r="BE1145" s="176"/>
      <c r="BF1145" s="176"/>
      <c r="BG1145" s="176"/>
      <c r="BH1145" s="176"/>
      <c r="BI1145" s="176"/>
      <c r="BJ1145" s="176"/>
      <c r="BK1145" s="176"/>
      <c r="BL1145" s="176"/>
      <c r="BM1145" s="176"/>
      <c r="BN1145" s="176"/>
      <c r="BO1145" s="176"/>
      <c r="BP1145" s="176"/>
      <c r="BQ1145" s="176"/>
      <c r="BR1145" s="176"/>
      <c r="BS1145" s="176"/>
      <c r="BT1145" s="176"/>
      <c r="BU1145" s="176"/>
      <c r="BV1145" s="176"/>
      <c r="BW1145" s="176"/>
      <c r="BX1145" s="176"/>
      <c r="BY1145" s="191"/>
      <c r="BZ1145" s="191"/>
      <c r="CA1145" s="191"/>
      <c r="CC1145" s="182"/>
    </row>
    <row r="1146" spans="1:81" s="178" customFormat="1" ht="15.75" customHeight="1">
      <c r="A1146" s="226"/>
      <c r="B1146" s="227"/>
      <c r="C1146" s="227"/>
      <c r="D1146" s="227"/>
      <c r="E1146" s="227"/>
      <c r="F1146" s="227"/>
      <c r="G1146" s="229"/>
      <c r="H1146" s="229"/>
      <c r="I1146" s="175" t="s">
        <v>354</v>
      </c>
      <c r="J1146" s="175"/>
      <c r="K1146" s="175"/>
      <c r="L1146" s="175"/>
      <c r="M1146" s="176"/>
      <c r="N1146" s="176"/>
      <c r="O1146" s="176"/>
      <c r="P1146" s="176"/>
      <c r="Q1146" s="176"/>
      <c r="R1146" s="176"/>
      <c r="S1146" s="176"/>
      <c r="T1146" s="176"/>
      <c r="U1146" s="176"/>
      <c r="V1146" s="176"/>
      <c r="W1146" s="176"/>
      <c r="X1146" s="176"/>
      <c r="Y1146" s="176"/>
      <c r="Z1146" s="176"/>
      <c r="AA1146" s="176"/>
      <c r="AB1146" s="176"/>
      <c r="AC1146" s="176"/>
      <c r="AD1146" s="176"/>
      <c r="AE1146" s="176"/>
      <c r="AF1146" s="176"/>
      <c r="AG1146" s="176"/>
      <c r="AH1146" s="176"/>
      <c r="AI1146" s="176"/>
      <c r="AJ1146" s="176"/>
      <c r="AK1146" s="176"/>
      <c r="AL1146" s="176"/>
      <c r="AM1146" s="176"/>
      <c r="AN1146" s="176"/>
      <c r="AO1146" s="176"/>
      <c r="AP1146" s="176"/>
      <c r="AQ1146" s="176"/>
      <c r="AR1146" s="176"/>
      <c r="AS1146" s="176"/>
      <c r="AT1146" s="176"/>
      <c r="AU1146" s="176"/>
      <c r="AV1146" s="176"/>
      <c r="AW1146" s="176"/>
      <c r="AX1146" s="176"/>
      <c r="AY1146" s="176"/>
      <c r="AZ1146" s="176"/>
      <c r="BA1146" s="176"/>
      <c r="BB1146" s="176"/>
      <c r="BC1146" s="176"/>
      <c r="BD1146" s="176"/>
      <c r="BE1146" s="176"/>
      <c r="BF1146" s="176"/>
      <c r="BG1146" s="176"/>
      <c r="BH1146" s="176"/>
      <c r="BI1146" s="176"/>
      <c r="BJ1146" s="176"/>
      <c r="BK1146" s="176"/>
      <c r="BL1146" s="176"/>
      <c r="BM1146" s="176"/>
      <c r="BN1146" s="176"/>
      <c r="BO1146" s="176"/>
      <c r="BP1146" s="176"/>
      <c r="BQ1146" s="176"/>
      <c r="BR1146" s="176"/>
      <c r="BS1146" s="176"/>
      <c r="BT1146" s="176"/>
      <c r="BU1146" s="176"/>
      <c r="BV1146" s="176"/>
      <c r="BW1146" s="176"/>
      <c r="BX1146" s="176"/>
      <c r="BY1146" s="191"/>
      <c r="BZ1146" s="191"/>
      <c r="CA1146" s="191"/>
      <c r="CC1146" s="182"/>
    </row>
    <row r="1147" spans="1:81" s="178" customFormat="1" ht="15.75" customHeight="1">
      <c r="A1147" s="226"/>
      <c r="B1147" s="227"/>
      <c r="C1147" s="227"/>
      <c r="D1147" s="227"/>
      <c r="E1147" s="227"/>
      <c r="F1147" s="227"/>
      <c r="G1147" s="229"/>
      <c r="H1147" s="229"/>
      <c r="I1147" s="175" t="s">
        <v>357</v>
      </c>
      <c r="J1147" s="175"/>
      <c r="K1147" s="175"/>
      <c r="L1147" s="175"/>
      <c r="M1147" s="176"/>
      <c r="N1147" s="176"/>
      <c r="O1147" s="176"/>
      <c r="P1147" s="176"/>
      <c r="Q1147" s="176"/>
      <c r="R1147" s="176"/>
      <c r="S1147" s="176"/>
      <c r="T1147" s="176"/>
      <c r="U1147" s="176"/>
      <c r="V1147" s="176"/>
      <c r="W1147" s="176"/>
      <c r="X1147" s="176"/>
      <c r="Y1147" s="176"/>
      <c r="Z1147" s="176"/>
      <c r="AA1147" s="176"/>
      <c r="AB1147" s="176"/>
      <c r="AC1147" s="176"/>
      <c r="AD1147" s="176"/>
      <c r="AE1147" s="176"/>
      <c r="AF1147" s="176"/>
      <c r="AG1147" s="176"/>
      <c r="AH1147" s="176"/>
      <c r="AI1147" s="176"/>
      <c r="AJ1147" s="176"/>
      <c r="AK1147" s="176"/>
      <c r="AL1147" s="176"/>
      <c r="AM1147" s="176"/>
      <c r="AN1147" s="176"/>
      <c r="AO1147" s="176"/>
      <c r="AP1147" s="176"/>
      <c r="AQ1147" s="176"/>
      <c r="AR1147" s="176"/>
      <c r="AS1147" s="176"/>
      <c r="AT1147" s="176"/>
      <c r="AU1147" s="176"/>
      <c r="AV1147" s="176"/>
      <c r="AW1147" s="176"/>
      <c r="AX1147" s="176"/>
      <c r="AY1147" s="176"/>
      <c r="AZ1147" s="176"/>
      <c r="BA1147" s="176"/>
      <c r="BB1147" s="176"/>
      <c r="BC1147" s="176"/>
      <c r="BD1147" s="176"/>
      <c r="BE1147" s="176"/>
      <c r="BF1147" s="176"/>
      <c r="BG1147" s="176"/>
      <c r="BH1147" s="176"/>
      <c r="BI1147" s="176"/>
      <c r="BJ1147" s="176"/>
      <c r="BK1147" s="176"/>
      <c r="BL1147" s="176"/>
      <c r="BM1147" s="176"/>
      <c r="BN1147" s="176"/>
      <c r="BO1147" s="176"/>
      <c r="BP1147" s="176"/>
      <c r="BQ1147" s="176"/>
      <c r="BR1147" s="176"/>
      <c r="BS1147" s="176"/>
      <c r="BT1147" s="176"/>
      <c r="BU1147" s="176"/>
      <c r="BV1147" s="176"/>
      <c r="BW1147" s="176">
        <f>224+306</f>
        <v>530</v>
      </c>
      <c r="BX1147" s="176"/>
      <c r="BY1147" s="191"/>
      <c r="BZ1147" s="191"/>
      <c r="CA1147" s="191"/>
      <c r="CC1147" s="182"/>
    </row>
    <row r="1148" spans="1:81" s="178" customFormat="1" ht="15.75" customHeight="1">
      <c r="A1148" s="226"/>
      <c r="B1148" s="227"/>
      <c r="C1148" s="227"/>
      <c r="D1148" s="227"/>
      <c r="E1148" s="227"/>
      <c r="F1148" s="227"/>
      <c r="G1148" s="229"/>
      <c r="H1148" s="229"/>
      <c r="I1148" s="175" t="s">
        <v>355</v>
      </c>
      <c r="J1148" s="175"/>
      <c r="K1148" s="175"/>
      <c r="L1148" s="175"/>
      <c r="M1148" s="176"/>
      <c r="N1148" s="176"/>
      <c r="O1148" s="176"/>
      <c r="P1148" s="176"/>
      <c r="Q1148" s="176"/>
      <c r="R1148" s="176"/>
      <c r="S1148" s="176"/>
      <c r="T1148" s="176"/>
      <c r="U1148" s="176"/>
      <c r="V1148" s="176"/>
      <c r="W1148" s="176"/>
      <c r="X1148" s="176"/>
      <c r="Y1148" s="176"/>
      <c r="Z1148" s="176"/>
      <c r="AA1148" s="176"/>
      <c r="AB1148" s="176"/>
      <c r="AC1148" s="176"/>
      <c r="AD1148" s="176"/>
      <c r="AE1148" s="176"/>
      <c r="AF1148" s="176"/>
      <c r="AG1148" s="176"/>
      <c r="AH1148" s="176"/>
      <c r="AI1148" s="176"/>
      <c r="AJ1148" s="176"/>
      <c r="AK1148" s="176"/>
      <c r="AL1148" s="176"/>
      <c r="AM1148" s="176"/>
      <c r="AN1148" s="176"/>
      <c r="AO1148" s="176"/>
      <c r="AP1148" s="176"/>
      <c r="AQ1148" s="176"/>
      <c r="AR1148" s="176"/>
      <c r="AS1148" s="176"/>
      <c r="AT1148" s="176"/>
      <c r="AU1148" s="176"/>
      <c r="AV1148" s="176"/>
      <c r="AW1148" s="176"/>
      <c r="AX1148" s="176"/>
      <c r="AY1148" s="176"/>
      <c r="AZ1148" s="176"/>
      <c r="BA1148" s="176"/>
      <c r="BB1148" s="176"/>
      <c r="BC1148" s="176"/>
      <c r="BD1148" s="176"/>
      <c r="BE1148" s="176"/>
      <c r="BF1148" s="176"/>
      <c r="BG1148" s="176"/>
      <c r="BH1148" s="176"/>
      <c r="BI1148" s="176"/>
      <c r="BJ1148" s="176"/>
      <c r="BK1148" s="176"/>
      <c r="BL1148" s="212"/>
      <c r="BM1148" s="212"/>
      <c r="BN1148" s="212"/>
      <c r="BO1148" s="212"/>
      <c r="BP1148" s="212"/>
      <c r="BQ1148" s="212"/>
      <c r="BR1148" s="212"/>
      <c r="BS1148" s="212"/>
      <c r="BT1148" s="212"/>
      <c r="BU1148" s="212"/>
      <c r="BV1148" s="212"/>
      <c r="BW1148" s="212"/>
      <c r="BX1148" s="176"/>
      <c r="BY1148" s="191"/>
      <c r="BZ1148" s="191"/>
      <c r="CA1148" s="191"/>
      <c r="CC1148" s="182"/>
    </row>
    <row r="1149" spans="1:81" s="178" customFormat="1" ht="15.75" customHeight="1">
      <c r="A1149" s="226"/>
      <c r="B1149" s="227"/>
      <c r="C1149" s="227"/>
      <c r="D1149" s="227"/>
      <c r="E1149" s="227"/>
      <c r="F1149" s="227"/>
      <c r="G1149" s="229"/>
      <c r="H1149" s="229"/>
      <c r="I1149" s="184" t="s">
        <v>362</v>
      </c>
      <c r="J1149" s="175"/>
      <c r="K1149" s="175"/>
      <c r="L1149" s="175"/>
      <c r="M1149" s="176"/>
      <c r="N1149" s="176"/>
      <c r="O1149" s="176"/>
      <c r="P1149" s="176"/>
      <c r="Q1149" s="176"/>
      <c r="R1149" s="176"/>
      <c r="S1149" s="176"/>
      <c r="T1149" s="176"/>
      <c r="U1149" s="176"/>
      <c r="V1149" s="176"/>
      <c r="W1149" s="176"/>
      <c r="X1149" s="176"/>
      <c r="Y1149" s="176"/>
      <c r="Z1149" s="176"/>
      <c r="AA1149" s="176"/>
      <c r="AB1149" s="176"/>
      <c r="AC1149" s="176"/>
      <c r="AD1149" s="176"/>
      <c r="AE1149" s="176"/>
      <c r="AF1149" s="176"/>
      <c r="AG1149" s="176"/>
      <c r="AH1149" s="176"/>
      <c r="AI1149" s="176"/>
      <c r="AJ1149" s="176"/>
      <c r="AK1149" s="176"/>
      <c r="AL1149" s="176"/>
      <c r="AM1149" s="176"/>
      <c r="AN1149" s="176"/>
      <c r="AO1149" s="176"/>
      <c r="AP1149" s="176"/>
      <c r="AQ1149" s="176"/>
      <c r="AR1149" s="176"/>
      <c r="AS1149" s="176"/>
      <c r="AT1149" s="176"/>
      <c r="AU1149" s="176"/>
      <c r="AV1149" s="176"/>
      <c r="AW1149" s="176"/>
      <c r="AX1149" s="176"/>
      <c r="AY1149" s="176"/>
      <c r="AZ1149" s="176"/>
      <c r="BA1149" s="176"/>
      <c r="BB1149" s="176"/>
      <c r="BC1149" s="176"/>
      <c r="BD1149" s="176"/>
      <c r="BE1149" s="176"/>
      <c r="BF1149" s="176"/>
      <c r="BG1149" s="176"/>
      <c r="BH1149" s="176"/>
      <c r="BI1149" s="176"/>
      <c r="BJ1149" s="176"/>
      <c r="BK1149" s="176"/>
      <c r="BL1149" s="176"/>
      <c r="BM1149" s="176"/>
      <c r="BN1149" s="176"/>
      <c r="BO1149" s="176"/>
      <c r="BP1149" s="176"/>
      <c r="BQ1149" s="176"/>
      <c r="BR1149" s="176"/>
      <c r="BS1149" s="176"/>
      <c r="BT1149" s="176"/>
      <c r="BU1149" s="176"/>
      <c r="BV1149" s="176"/>
      <c r="BW1149" s="176"/>
      <c r="BX1149" s="176"/>
      <c r="BY1149" s="191"/>
      <c r="BZ1149" s="191"/>
      <c r="CA1149" s="191"/>
      <c r="CC1149" s="182"/>
    </row>
    <row r="1150" spans="1:81" s="178" customFormat="1">
      <c r="A1150" s="226"/>
      <c r="B1150" s="227"/>
      <c r="C1150" s="227"/>
      <c r="D1150" s="227"/>
      <c r="E1150" s="227"/>
      <c r="F1150" s="227"/>
      <c r="G1150" s="229"/>
      <c r="H1150" s="229"/>
      <c r="I1150" s="190" t="s">
        <v>363</v>
      </c>
      <c r="J1150" s="190"/>
      <c r="K1150" s="190"/>
      <c r="L1150" s="190"/>
      <c r="M1150" s="176"/>
      <c r="N1150" s="176"/>
      <c r="O1150" s="176"/>
      <c r="P1150" s="176"/>
      <c r="Q1150" s="176"/>
      <c r="R1150" s="176"/>
      <c r="S1150" s="176"/>
      <c r="T1150" s="176"/>
      <c r="U1150" s="176"/>
      <c r="V1150" s="176"/>
      <c r="W1150" s="176"/>
      <c r="X1150" s="176"/>
      <c r="Y1150" s="176"/>
      <c r="Z1150" s="176"/>
      <c r="AA1150" s="176"/>
      <c r="AB1150" s="176"/>
      <c r="AC1150" s="176"/>
      <c r="AD1150" s="176"/>
      <c r="AE1150" s="176"/>
      <c r="AF1150" s="176"/>
      <c r="AG1150" s="176"/>
      <c r="AH1150" s="176"/>
      <c r="AI1150" s="176"/>
      <c r="AJ1150" s="176"/>
      <c r="AK1150" s="176"/>
      <c r="AL1150" s="176"/>
      <c r="AM1150" s="176"/>
      <c r="AN1150" s="176"/>
      <c r="AO1150" s="176"/>
      <c r="AP1150" s="176"/>
      <c r="AQ1150" s="176"/>
      <c r="AR1150" s="176"/>
      <c r="AS1150" s="176"/>
      <c r="AT1150" s="176"/>
      <c r="AU1150" s="176"/>
      <c r="AV1150" s="176"/>
      <c r="AW1150" s="176"/>
      <c r="AX1150" s="176"/>
      <c r="AY1150" s="176"/>
      <c r="AZ1150" s="176"/>
      <c r="BA1150" s="176"/>
      <c r="BB1150" s="176"/>
      <c r="BC1150" s="176"/>
      <c r="BD1150" s="176"/>
      <c r="BE1150" s="176"/>
      <c r="BF1150" s="176"/>
      <c r="BG1150" s="176"/>
      <c r="BH1150" s="176"/>
      <c r="BI1150" s="176"/>
      <c r="BJ1150" s="176"/>
      <c r="BK1150" s="176"/>
      <c r="BL1150" s="176"/>
      <c r="BM1150" s="176"/>
      <c r="BN1150" s="176"/>
      <c r="BO1150" s="176"/>
      <c r="BP1150" s="176"/>
      <c r="BQ1150" s="176"/>
      <c r="BR1150" s="176"/>
      <c r="BS1150" s="176"/>
      <c r="BT1150" s="176"/>
      <c r="BU1150" s="176"/>
      <c r="BV1150" s="176"/>
      <c r="BW1150" s="176"/>
      <c r="BX1150" s="176"/>
      <c r="BY1150" s="191"/>
      <c r="BZ1150" s="191"/>
    </row>
    <row r="1151" spans="1:81" s="178" customFormat="1">
      <c r="A1151" s="226"/>
      <c r="B1151" s="227"/>
      <c r="C1151" s="227"/>
      <c r="D1151" s="227"/>
      <c r="E1151" s="227"/>
      <c r="F1151" s="227"/>
      <c r="G1151" s="229"/>
      <c r="H1151" s="229"/>
      <c r="I1151" s="193" t="s">
        <v>373</v>
      </c>
      <c r="J1151" s="193"/>
      <c r="K1151" s="193"/>
      <c r="L1151" s="193"/>
      <c r="M1151" s="176"/>
      <c r="N1151" s="176"/>
      <c r="O1151" s="176"/>
      <c r="P1151" s="176"/>
      <c r="Q1151" s="176"/>
      <c r="R1151" s="176"/>
      <c r="S1151" s="176"/>
      <c r="T1151" s="176"/>
      <c r="U1151" s="176"/>
      <c r="V1151" s="176"/>
      <c r="W1151" s="176"/>
      <c r="X1151" s="176"/>
      <c r="Y1151" s="176"/>
      <c r="Z1151" s="176"/>
      <c r="AA1151" s="176"/>
      <c r="AB1151" s="176"/>
      <c r="AC1151" s="176"/>
      <c r="AD1151" s="176"/>
      <c r="AE1151" s="176"/>
      <c r="AF1151" s="176"/>
      <c r="AG1151" s="176"/>
      <c r="AH1151" s="176"/>
      <c r="AI1151" s="176"/>
      <c r="AJ1151" s="176"/>
      <c r="AK1151" s="176"/>
      <c r="AL1151" s="176"/>
      <c r="AM1151" s="176"/>
      <c r="AN1151" s="176"/>
      <c r="AO1151" s="176"/>
      <c r="AP1151" s="176"/>
      <c r="AQ1151" s="176"/>
      <c r="AR1151" s="176"/>
      <c r="AS1151" s="176"/>
      <c r="AT1151" s="176"/>
      <c r="AU1151" s="176"/>
      <c r="AV1151" s="176"/>
      <c r="AW1151" s="176"/>
      <c r="AX1151" s="176"/>
      <c r="AY1151" s="176"/>
      <c r="AZ1151" s="176"/>
      <c r="BA1151" s="176"/>
      <c r="BB1151" s="176"/>
      <c r="BC1151" s="176"/>
      <c r="BD1151" s="176"/>
      <c r="BE1151" s="176"/>
      <c r="BF1151" s="176"/>
      <c r="BG1151" s="176"/>
      <c r="BH1151" s="176"/>
      <c r="BI1151" s="176"/>
      <c r="BJ1151" s="176"/>
      <c r="BK1151" s="176"/>
      <c r="BL1151" s="176"/>
      <c r="BM1151" s="176"/>
      <c r="BN1151" s="176"/>
      <c r="BO1151" s="176"/>
      <c r="BP1151" s="176"/>
      <c r="BQ1151" s="176"/>
      <c r="BR1151" s="176"/>
      <c r="BS1151" s="176"/>
      <c r="BT1151" s="176"/>
      <c r="BU1151" s="176"/>
      <c r="BV1151" s="176"/>
      <c r="BW1151" s="176">
        <f>659.76-493.28</f>
        <v>166.48000000000002</v>
      </c>
      <c r="BX1151" s="176"/>
      <c r="BY1151" s="191"/>
      <c r="BZ1151" s="191"/>
    </row>
    <row r="1152" spans="1:81" s="178" customFormat="1" ht="13.9" customHeight="1">
      <c r="A1152" s="226"/>
      <c r="B1152" s="227"/>
      <c r="C1152" s="227"/>
      <c r="D1152" s="227"/>
      <c r="E1152" s="227"/>
      <c r="F1152" s="227"/>
      <c r="G1152" s="229"/>
      <c r="H1152" s="229"/>
      <c r="I1152" s="190"/>
      <c r="J1152" s="176">
        <f>SUM(J1141:J1150)-J1151</f>
        <v>0</v>
      </c>
      <c r="K1152" s="176">
        <f t="shared" ref="K1152:Y1152" si="558">SUM(K1141:K1150)-K1151</f>
        <v>0</v>
      </c>
      <c r="L1152" s="176">
        <f t="shared" si="558"/>
        <v>0</v>
      </c>
      <c r="M1152" s="176">
        <f t="shared" si="558"/>
        <v>0</v>
      </c>
      <c r="N1152" s="176">
        <f t="shared" si="558"/>
        <v>0</v>
      </c>
      <c r="O1152" s="176">
        <f t="shared" si="558"/>
        <v>0</v>
      </c>
      <c r="P1152" s="176">
        <f t="shared" si="558"/>
        <v>0</v>
      </c>
      <c r="Q1152" s="176">
        <f t="shared" si="558"/>
        <v>0</v>
      </c>
      <c r="R1152" s="176">
        <f t="shared" si="558"/>
        <v>0</v>
      </c>
      <c r="S1152" s="176">
        <f t="shared" si="558"/>
        <v>0</v>
      </c>
      <c r="T1152" s="176">
        <f t="shared" si="558"/>
        <v>0</v>
      </c>
      <c r="U1152" s="176">
        <f t="shared" si="558"/>
        <v>0</v>
      </c>
      <c r="V1152" s="176">
        <f t="shared" si="558"/>
        <v>0</v>
      </c>
      <c r="W1152" s="176">
        <f t="shared" si="558"/>
        <v>0</v>
      </c>
      <c r="X1152" s="176">
        <f t="shared" si="558"/>
        <v>0</v>
      </c>
      <c r="Y1152" s="176">
        <f t="shared" si="558"/>
        <v>0</v>
      </c>
      <c r="Z1152" s="176">
        <f>SUM(Z1141:Z1150)-Z1151</f>
        <v>0</v>
      </c>
      <c r="AA1152" s="176">
        <f t="shared" ref="AA1152:AD1152" si="559">SUM(AA1141:AA1150)-AA1151</f>
        <v>0</v>
      </c>
      <c r="AB1152" s="176">
        <f t="shared" si="559"/>
        <v>0</v>
      </c>
      <c r="AC1152" s="176">
        <f t="shared" si="559"/>
        <v>0</v>
      </c>
      <c r="AD1152" s="176">
        <f t="shared" si="559"/>
        <v>0</v>
      </c>
      <c r="AE1152" s="176">
        <f>SUM(AE1141:AE1150)-AE1151</f>
        <v>0</v>
      </c>
      <c r="AF1152" s="176">
        <f>SUM(AF1141:AF1150)-AF1151</f>
        <v>0</v>
      </c>
      <c r="AG1152" s="176">
        <f t="shared" ref="AG1152:AU1152" si="560">SUM(AG1141:AG1150)-AG1151</f>
        <v>0</v>
      </c>
      <c r="AH1152" s="176">
        <f t="shared" si="560"/>
        <v>0</v>
      </c>
      <c r="AI1152" s="176">
        <f t="shared" si="560"/>
        <v>0</v>
      </c>
      <c r="AJ1152" s="176">
        <f t="shared" si="560"/>
        <v>0</v>
      </c>
      <c r="AK1152" s="176">
        <f t="shared" si="560"/>
        <v>0</v>
      </c>
      <c r="AL1152" s="176">
        <f t="shared" si="560"/>
        <v>0</v>
      </c>
      <c r="AM1152" s="176">
        <f t="shared" si="560"/>
        <v>0</v>
      </c>
      <c r="AN1152" s="176">
        <f t="shared" si="560"/>
        <v>0</v>
      </c>
      <c r="AO1152" s="176">
        <f t="shared" si="560"/>
        <v>0</v>
      </c>
      <c r="AP1152" s="176">
        <f t="shared" si="560"/>
        <v>0</v>
      </c>
      <c r="AQ1152" s="176">
        <f t="shared" si="560"/>
        <v>0</v>
      </c>
      <c r="AR1152" s="176">
        <f t="shared" si="560"/>
        <v>0</v>
      </c>
      <c r="AS1152" s="176">
        <f t="shared" si="560"/>
        <v>0</v>
      </c>
      <c r="AT1152" s="176">
        <f t="shared" si="560"/>
        <v>0</v>
      </c>
      <c r="AU1152" s="176">
        <f t="shared" si="560"/>
        <v>0</v>
      </c>
      <c r="AV1152" s="176">
        <f>SUM(AV1141:AV1150)-AV1151</f>
        <v>0</v>
      </c>
      <c r="AW1152" s="176">
        <f t="shared" ref="AW1152:BA1152" si="561">SUM(AW1141:AW1150)-AW1151</f>
        <v>0</v>
      </c>
      <c r="AX1152" s="176">
        <f t="shared" si="561"/>
        <v>0</v>
      </c>
      <c r="AY1152" s="176">
        <f t="shared" si="561"/>
        <v>0</v>
      </c>
      <c r="AZ1152" s="176">
        <f t="shared" si="561"/>
        <v>0</v>
      </c>
      <c r="BA1152" s="176">
        <f t="shared" si="561"/>
        <v>0</v>
      </c>
      <c r="BB1152" s="176"/>
      <c r="BC1152" s="176"/>
      <c r="BD1152" s="176"/>
      <c r="BE1152" s="176"/>
      <c r="BF1152" s="176"/>
      <c r="BG1152" s="176"/>
      <c r="BH1152" s="176"/>
      <c r="BI1152" s="176"/>
      <c r="BJ1152" s="176"/>
      <c r="BK1152" s="176"/>
      <c r="BL1152" s="176"/>
      <c r="BM1152" s="176"/>
      <c r="BN1152" s="176"/>
      <c r="BO1152" s="176"/>
      <c r="BP1152" s="176"/>
      <c r="BQ1152" s="176"/>
      <c r="BR1152" s="176"/>
      <c r="BS1152" s="176"/>
      <c r="BT1152" s="176"/>
      <c r="BU1152" s="176"/>
      <c r="BV1152" s="176"/>
      <c r="BW1152" s="176">
        <f>BW1142+BW1147-BW1151</f>
        <v>1596.73</v>
      </c>
      <c r="BX1152" s="176">
        <f>SUM(BW1152)</f>
        <v>1596.73</v>
      </c>
      <c r="BY1152" s="191"/>
      <c r="BZ1152" s="191"/>
    </row>
    <row r="1153" spans="1:81" ht="15.6" customHeight="1">
      <c r="A1153" s="148" t="s">
        <v>346</v>
      </c>
      <c r="B1153" s="148" t="s">
        <v>347</v>
      </c>
      <c r="C1153" s="145" t="s">
        <v>310</v>
      </c>
      <c r="D1153" s="145" t="s">
        <v>311</v>
      </c>
      <c r="E1153" s="148" t="s">
        <v>312</v>
      </c>
      <c r="F1153" s="148" t="s">
        <v>348</v>
      </c>
      <c r="G1153" s="145" t="s">
        <v>314</v>
      </c>
      <c r="H1153" s="145" t="s">
        <v>315</v>
      </c>
      <c r="I1153" s="145" t="s">
        <v>349</v>
      </c>
      <c r="J1153" s="146">
        <v>44105</v>
      </c>
      <c r="K1153" s="146">
        <v>44136</v>
      </c>
      <c r="L1153" s="146">
        <v>44166</v>
      </c>
      <c r="M1153" s="146">
        <v>44197</v>
      </c>
      <c r="N1153" s="146">
        <v>44228</v>
      </c>
      <c r="O1153" s="146">
        <v>44256</v>
      </c>
      <c r="P1153" s="146">
        <v>44287</v>
      </c>
      <c r="Q1153" s="146">
        <v>44317</v>
      </c>
      <c r="R1153" s="146">
        <v>44348</v>
      </c>
      <c r="S1153" s="146">
        <v>44378</v>
      </c>
      <c r="T1153" s="146">
        <v>44409</v>
      </c>
      <c r="U1153" s="146">
        <v>44440</v>
      </c>
      <c r="V1153" s="146">
        <v>44470</v>
      </c>
      <c r="W1153" s="146">
        <v>44501</v>
      </c>
      <c r="X1153" s="146">
        <v>44531</v>
      </c>
      <c r="Y1153" s="146">
        <v>44562</v>
      </c>
      <c r="Z1153" s="146">
        <v>44593</v>
      </c>
      <c r="AA1153" s="146">
        <v>44621</v>
      </c>
      <c r="AB1153" s="146">
        <v>44652</v>
      </c>
      <c r="AC1153" s="146">
        <v>44682</v>
      </c>
      <c r="AD1153" s="146">
        <v>44713</v>
      </c>
      <c r="AE1153" s="146">
        <v>44743</v>
      </c>
      <c r="AF1153" s="146">
        <v>44774</v>
      </c>
      <c r="AG1153" s="146">
        <v>44805</v>
      </c>
      <c r="AH1153" s="146">
        <v>44835</v>
      </c>
      <c r="AI1153" s="146">
        <v>44866</v>
      </c>
      <c r="AJ1153" s="146">
        <v>44896</v>
      </c>
      <c r="AK1153" s="146">
        <v>44927</v>
      </c>
      <c r="AL1153" s="146">
        <v>44958</v>
      </c>
      <c r="AM1153" s="146">
        <v>44986</v>
      </c>
      <c r="AN1153" s="146">
        <v>45017</v>
      </c>
      <c r="AO1153" s="146">
        <v>45047</v>
      </c>
      <c r="AP1153" s="146">
        <v>45078</v>
      </c>
      <c r="AQ1153" s="146">
        <v>45108</v>
      </c>
      <c r="AR1153" s="146">
        <v>45139</v>
      </c>
      <c r="AS1153" s="146">
        <v>45170</v>
      </c>
      <c r="AT1153" s="146">
        <v>45200</v>
      </c>
      <c r="AU1153" s="146">
        <v>45231</v>
      </c>
      <c r="AV1153" s="146">
        <v>45261</v>
      </c>
      <c r="AW1153" s="146">
        <v>45292</v>
      </c>
      <c r="AX1153" s="146">
        <v>45323</v>
      </c>
      <c r="AY1153" s="146">
        <v>45352</v>
      </c>
      <c r="AZ1153" s="146">
        <v>45383</v>
      </c>
      <c r="BA1153" s="146">
        <v>45413</v>
      </c>
      <c r="BB1153" s="146">
        <v>45444</v>
      </c>
      <c r="BC1153" s="146">
        <v>45474</v>
      </c>
      <c r="BD1153" s="146">
        <v>45505</v>
      </c>
      <c r="BE1153" s="146">
        <v>45536</v>
      </c>
      <c r="BF1153" s="146">
        <v>45566</v>
      </c>
      <c r="BG1153" s="146">
        <v>45597</v>
      </c>
      <c r="BH1153" s="146">
        <v>45627</v>
      </c>
      <c r="BI1153" s="146">
        <v>45658</v>
      </c>
      <c r="BJ1153" s="146">
        <v>45689</v>
      </c>
      <c r="BK1153" s="146">
        <v>45717</v>
      </c>
      <c r="BL1153" s="146">
        <v>45748</v>
      </c>
      <c r="BM1153" s="146">
        <v>45778</v>
      </c>
      <c r="BN1153" s="146"/>
      <c r="BO1153" s="146"/>
      <c r="BP1153" s="146"/>
      <c r="BQ1153" s="146"/>
      <c r="BR1153" s="146"/>
      <c r="BS1153" s="146"/>
      <c r="BT1153" s="146">
        <v>45992</v>
      </c>
      <c r="BU1153" s="146">
        <v>46023</v>
      </c>
      <c r="BV1153" s="146">
        <v>46054</v>
      </c>
      <c r="BW1153" s="146">
        <v>46082</v>
      </c>
      <c r="BX1153" s="147" t="s">
        <v>13</v>
      </c>
      <c r="BY1153" s="5"/>
      <c r="BZ1153" s="5"/>
      <c r="CA1153" s="5"/>
    </row>
    <row r="1154" spans="1:81" s="178" customFormat="1" ht="15.75" customHeight="1">
      <c r="A1154" s="226">
        <v>74</v>
      </c>
      <c r="B1154" s="227" t="s">
        <v>409</v>
      </c>
      <c r="C1154" s="227" t="s">
        <v>23</v>
      </c>
      <c r="D1154" s="227" t="s">
        <v>89</v>
      </c>
      <c r="E1154" s="227" t="s">
        <v>117</v>
      </c>
      <c r="F1154" s="227" t="s">
        <v>117</v>
      </c>
      <c r="G1154" s="228">
        <v>46105</v>
      </c>
      <c r="H1154" s="228"/>
      <c r="I1154" s="175" t="s">
        <v>390</v>
      </c>
      <c r="J1154" s="175"/>
      <c r="K1154" s="175"/>
      <c r="L1154" s="175"/>
      <c r="M1154" s="176"/>
      <c r="N1154" s="176"/>
      <c r="O1154" s="176"/>
      <c r="P1154" s="176"/>
      <c r="Q1154" s="176"/>
      <c r="R1154" s="176"/>
      <c r="S1154" s="176"/>
      <c r="T1154" s="176"/>
      <c r="U1154" s="176"/>
      <c r="V1154" s="176"/>
      <c r="W1154" s="176"/>
      <c r="X1154" s="176"/>
      <c r="Y1154" s="176"/>
      <c r="Z1154" s="176"/>
      <c r="AA1154" s="176"/>
      <c r="AB1154" s="176"/>
      <c r="AC1154" s="176"/>
      <c r="AD1154" s="176"/>
      <c r="AE1154" s="176"/>
      <c r="AF1154" s="176"/>
      <c r="AG1154" s="176"/>
      <c r="AH1154" s="176"/>
      <c r="AI1154" s="176"/>
      <c r="AJ1154" s="176"/>
      <c r="AK1154" s="176"/>
      <c r="AL1154" s="176"/>
      <c r="AM1154" s="176"/>
      <c r="AN1154" s="176"/>
      <c r="AO1154" s="176"/>
      <c r="AP1154" s="176"/>
      <c r="AQ1154" s="176"/>
      <c r="AR1154" s="176"/>
      <c r="AS1154" s="176"/>
      <c r="AT1154" s="176"/>
      <c r="AU1154" s="176"/>
      <c r="AV1154" s="176"/>
      <c r="AW1154" s="176"/>
      <c r="AX1154" s="176"/>
      <c r="AY1154" s="176"/>
      <c r="AZ1154" s="176"/>
      <c r="BA1154" s="176"/>
      <c r="BB1154" s="176"/>
      <c r="BC1154" s="176"/>
      <c r="BD1154" s="176"/>
      <c r="BE1154" s="176"/>
      <c r="BF1154" s="176"/>
      <c r="BG1154" s="176"/>
      <c r="BH1154" s="176"/>
      <c r="BI1154" s="176"/>
      <c r="BJ1154" s="176"/>
      <c r="BK1154" s="176"/>
      <c r="BL1154" s="176"/>
      <c r="BM1154" s="176"/>
      <c r="BN1154" s="176"/>
      <c r="BO1154" s="176"/>
      <c r="BP1154" s="176"/>
      <c r="BQ1154" s="176"/>
      <c r="BR1154" s="176"/>
      <c r="BS1154" s="176"/>
      <c r="BT1154" s="176"/>
      <c r="BU1154" s="176"/>
      <c r="BV1154" s="176"/>
      <c r="BW1154" s="176"/>
      <c r="BX1154" s="176"/>
      <c r="BY1154" s="191"/>
      <c r="BZ1154" s="191"/>
      <c r="CA1154" s="191"/>
      <c r="CC1154" s="182"/>
    </row>
    <row r="1155" spans="1:81" s="178" customFormat="1" ht="15.75" customHeight="1">
      <c r="A1155" s="226"/>
      <c r="B1155" s="227"/>
      <c r="C1155" s="227"/>
      <c r="D1155" s="227"/>
      <c r="E1155" s="227"/>
      <c r="F1155" s="227"/>
      <c r="G1155" s="229"/>
      <c r="H1155" s="229"/>
      <c r="I1155" s="175" t="s">
        <v>351</v>
      </c>
      <c r="J1155" s="175"/>
      <c r="K1155" s="175"/>
      <c r="L1155" s="175"/>
      <c r="M1155" s="176"/>
      <c r="N1155" s="176"/>
      <c r="O1155" s="176"/>
      <c r="P1155" s="176"/>
      <c r="Q1155" s="176"/>
      <c r="R1155" s="176"/>
      <c r="S1155" s="176"/>
      <c r="T1155" s="176"/>
      <c r="U1155" s="176"/>
      <c r="V1155" s="176"/>
      <c r="W1155" s="176"/>
      <c r="X1155" s="176"/>
      <c r="Y1155" s="176"/>
      <c r="Z1155" s="176"/>
      <c r="AA1155" s="176"/>
      <c r="AB1155" s="176"/>
      <c r="AC1155" s="176"/>
      <c r="AD1155" s="176"/>
      <c r="AE1155" s="176"/>
      <c r="AF1155" s="176"/>
      <c r="AG1155" s="176"/>
      <c r="AH1155" s="176"/>
      <c r="AI1155" s="176"/>
      <c r="AJ1155" s="176"/>
      <c r="AK1155" s="176"/>
      <c r="AL1155" s="176"/>
      <c r="AM1155" s="176"/>
      <c r="AN1155" s="176"/>
      <c r="AO1155" s="176"/>
      <c r="AP1155" s="176"/>
      <c r="AQ1155" s="176"/>
      <c r="AR1155" s="176"/>
      <c r="AS1155" s="176"/>
      <c r="AT1155" s="176"/>
      <c r="AU1155" s="176"/>
      <c r="AV1155" s="176"/>
      <c r="AW1155" s="176"/>
      <c r="AX1155" s="176"/>
      <c r="AY1155" s="176"/>
      <c r="AZ1155" s="176"/>
      <c r="BA1155" s="176"/>
      <c r="BB1155" s="176"/>
      <c r="BC1155" s="176"/>
      <c r="BD1155" s="176"/>
      <c r="BE1155" s="176"/>
      <c r="BF1155" s="176"/>
      <c r="BG1155" s="176"/>
      <c r="BH1155" s="176"/>
      <c r="BI1155" s="176"/>
      <c r="BJ1155" s="176"/>
      <c r="BK1155" s="176"/>
      <c r="BL1155" s="176"/>
      <c r="BM1155" s="176"/>
      <c r="BN1155" s="176"/>
      <c r="BO1155" s="176"/>
      <c r="BP1155" s="176"/>
      <c r="BQ1155" s="176"/>
      <c r="BR1155" s="176"/>
      <c r="BS1155" s="176"/>
      <c r="BT1155" s="176"/>
      <c r="BU1155" s="176"/>
      <c r="BV1155" s="176"/>
      <c r="BW1155" s="176">
        <v>431.62</v>
      </c>
      <c r="BX1155" s="176"/>
      <c r="BY1155" s="191"/>
      <c r="BZ1155" s="191"/>
      <c r="CA1155" s="191"/>
      <c r="CC1155" s="182"/>
    </row>
    <row r="1156" spans="1:81" s="178" customFormat="1" ht="15.75" customHeight="1">
      <c r="A1156" s="226"/>
      <c r="B1156" s="227"/>
      <c r="C1156" s="227"/>
      <c r="D1156" s="227"/>
      <c r="E1156" s="227"/>
      <c r="F1156" s="227"/>
      <c r="G1156" s="229"/>
      <c r="H1156" s="229"/>
      <c r="I1156" s="175" t="s">
        <v>391</v>
      </c>
      <c r="J1156" s="175"/>
      <c r="K1156" s="175"/>
      <c r="L1156" s="175"/>
      <c r="M1156" s="176"/>
      <c r="N1156" s="176"/>
      <c r="O1156" s="176"/>
      <c r="P1156" s="176"/>
      <c r="Q1156" s="176"/>
      <c r="R1156" s="176"/>
      <c r="S1156" s="176"/>
      <c r="T1156" s="176"/>
      <c r="U1156" s="176"/>
      <c r="V1156" s="176"/>
      <c r="W1156" s="176"/>
      <c r="X1156" s="176"/>
      <c r="Y1156" s="177"/>
      <c r="Z1156" s="176"/>
      <c r="AA1156" s="176"/>
      <c r="AB1156" s="176"/>
      <c r="AC1156" s="176"/>
      <c r="AD1156" s="176"/>
      <c r="AE1156" s="176"/>
      <c r="AF1156" s="176"/>
      <c r="AG1156" s="176"/>
      <c r="AH1156" s="176"/>
      <c r="AI1156" s="176"/>
      <c r="AJ1156" s="176"/>
      <c r="AK1156" s="176"/>
      <c r="AL1156" s="176"/>
      <c r="AM1156" s="176"/>
      <c r="AN1156" s="176"/>
      <c r="AO1156" s="176"/>
      <c r="AP1156" s="176"/>
      <c r="AQ1156" s="176"/>
      <c r="AR1156" s="176"/>
      <c r="AS1156" s="176"/>
      <c r="AT1156" s="176"/>
      <c r="AU1156" s="176"/>
      <c r="AV1156" s="176"/>
      <c r="AW1156" s="176"/>
      <c r="AX1156" s="176"/>
      <c r="AY1156" s="176"/>
      <c r="AZ1156" s="176"/>
      <c r="BA1156" s="176"/>
      <c r="BB1156" s="176"/>
      <c r="BC1156" s="176"/>
      <c r="BD1156" s="176"/>
      <c r="BE1156" s="176"/>
      <c r="BF1156" s="176"/>
      <c r="BG1156" s="176"/>
      <c r="BH1156" s="176"/>
      <c r="BI1156" s="176"/>
      <c r="BJ1156" s="176"/>
      <c r="BK1156" s="176"/>
      <c r="BL1156" s="176"/>
      <c r="BM1156" s="176"/>
      <c r="BN1156" s="176"/>
      <c r="BO1156" s="176"/>
      <c r="BP1156" s="176"/>
      <c r="BQ1156" s="176"/>
      <c r="BR1156" s="176"/>
      <c r="BS1156" s="176"/>
      <c r="BT1156" s="176"/>
      <c r="BU1156" s="176"/>
      <c r="BV1156" s="176"/>
      <c r="BW1156" s="176"/>
      <c r="BX1156" s="176"/>
      <c r="BY1156" s="191"/>
      <c r="BZ1156" s="191"/>
      <c r="CA1156" s="191"/>
      <c r="CC1156" s="182"/>
    </row>
    <row r="1157" spans="1:81" s="178" customFormat="1" ht="15.75" customHeight="1">
      <c r="A1157" s="226"/>
      <c r="B1157" s="227"/>
      <c r="C1157" s="227"/>
      <c r="D1157" s="227"/>
      <c r="E1157" s="227"/>
      <c r="F1157" s="227"/>
      <c r="G1157" s="229"/>
      <c r="H1157" s="229"/>
      <c r="I1157" s="175" t="s">
        <v>351</v>
      </c>
      <c r="J1157" s="175"/>
      <c r="K1157" s="175"/>
      <c r="L1157" s="175"/>
      <c r="M1157" s="176"/>
      <c r="N1157" s="176"/>
      <c r="O1157" s="176"/>
      <c r="P1157" s="176"/>
      <c r="Q1157" s="176"/>
      <c r="R1157" s="176"/>
      <c r="S1157" s="176"/>
      <c r="T1157" s="176"/>
      <c r="U1157" s="176"/>
      <c r="V1157" s="176"/>
      <c r="W1157" s="176"/>
      <c r="X1157" s="176"/>
      <c r="Y1157" s="177"/>
      <c r="Z1157" s="176"/>
      <c r="AA1157" s="176"/>
      <c r="AB1157" s="176"/>
      <c r="AC1157" s="176"/>
      <c r="AD1157" s="176"/>
      <c r="AE1157" s="176"/>
      <c r="AF1157" s="176"/>
      <c r="AG1157" s="176"/>
      <c r="AH1157" s="176"/>
      <c r="AI1157" s="176"/>
      <c r="AJ1157" s="176"/>
      <c r="AK1157" s="176"/>
      <c r="AL1157" s="176"/>
      <c r="AM1157" s="176"/>
      <c r="AN1157" s="176"/>
      <c r="AO1157" s="176"/>
      <c r="AP1157" s="176"/>
      <c r="AQ1157" s="176"/>
      <c r="AR1157" s="176"/>
      <c r="AS1157" s="176"/>
      <c r="AT1157" s="176"/>
      <c r="AU1157" s="176"/>
      <c r="AV1157" s="176"/>
      <c r="AW1157" s="176"/>
      <c r="AX1157" s="176"/>
      <c r="AY1157" s="176"/>
      <c r="AZ1157" s="176"/>
      <c r="BA1157" s="176"/>
      <c r="BB1157" s="176"/>
      <c r="BC1157" s="176"/>
      <c r="BD1157" s="176"/>
      <c r="BE1157" s="176"/>
      <c r="BF1157" s="176"/>
      <c r="BG1157" s="176"/>
      <c r="BH1157" s="176"/>
      <c r="BI1157" s="176"/>
      <c r="BJ1157" s="176"/>
      <c r="BK1157" s="176"/>
      <c r="BL1157" s="176"/>
      <c r="BM1157" s="176"/>
      <c r="BN1157" s="176"/>
      <c r="BO1157" s="176"/>
      <c r="BP1157" s="176"/>
      <c r="BQ1157" s="176"/>
      <c r="BR1157" s="176"/>
      <c r="BS1157" s="176"/>
      <c r="BT1157" s="176"/>
      <c r="BU1157" s="176"/>
      <c r="BV1157" s="176"/>
      <c r="BW1157" s="176"/>
      <c r="BX1157" s="176"/>
      <c r="BY1157" s="191"/>
      <c r="BZ1157" s="191"/>
      <c r="CA1157" s="191"/>
      <c r="CC1157" s="182"/>
    </row>
    <row r="1158" spans="1:81" s="178" customFormat="1" ht="15.75" customHeight="1">
      <c r="A1158" s="226"/>
      <c r="B1158" s="227"/>
      <c r="C1158" s="227"/>
      <c r="D1158" s="227"/>
      <c r="E1158" s="227"/>
      <c r="F1158" s="227"/>
      <c r="G1158" s="229"/>
      <c r="H1158" s="229"/>
      <c r="I1158" s="175" t="s">
        <v>353</v>
      </c>
      <c r="J1158" s="175"/>
      <c r="K1158" s="175"/>
      <c r="L1158" s="175"/>
      <c r="M1158" s="176"/>
      <c r="N1158" s="176"/>
      <c r="O1158" s="176"/>
      <c r="P1158" s="176"/>
      <c r="Q1158" s="176"/>
      <c r="R1158" s="176"/>
      <c r="S1158" s="176"/>
      <c r="T1158" s="176"/>
      <c r="U1158" s="176"/>
      <c r="V1158" s="176"/>
      <c r="W1158" s="176"/>
      <c r="X1158" s="176"/>
      <c r="Y1158" s="176"/>
      <c r="Z1158" s="176"/>
      <c r="AA1158" s="176"/>
      <c r="AB1158" s="176"/>
      <c r="AC1158" s="176"/>
      <c r="AD1158" s="176"/>
      <c r="AE1158" s="176"/>
      <c r="AF1158" s="176"/>
      <c r="AG1158" s="176"/>
      <c r="AH1158" s="176"/>
      <c r="AI1158" s="176"/>
      <c r="AJ1158" s="176"/>
      <c r="AK1158" s="176"/>
      <c r="AL1158" s="176"/>
      <c r="AM1158" s="176"/>
      <c r="AN1158" s="176"/>
      <c r="AO1158" s="176"/>
      <c r="AP1158" s="176"/>
      <c r="AQ1158" s="176"/>
      <c r="AR1158" s="176"/>
      <c r="AS1158" s="176"/>
      <c r="AT1158" s="176"/>
      <c r="AU1158" s="176"/>
      <c r="AV1158" s="176"/>
      <c r="AW1158" s="176"/>
      <c r="AX1158" s="176"/>
      <c r="AY1158" s="176"/>
      <c r="AZ1158" s="176"/>
      <c r="BA1158" s="176"/>
      <c r="BB1158" s="176"/>
      <c r="BC1158" s="176"/>
      <c r="BD1158" s="176"/>
      <c r="BE1158" s="176"/>
      <c r="BF1158" s="176"/>
      <c r="BG1158" s="176"/>
      <c r="BH1158" s="176"/>
      <c r="BI1158" s="176"/>
      <c r="BJ1158" s="176"/>
      <c r="BK1158" s="176"/>
      <c r="BL1158" s="176"/>
      <c r="BM1158" s="176"/>
      <c r="BN1158" s="176"/>
      <c r="BO1158" s="176"/>
      <c r="BP1158" s="176"/>
      <c r="BQ1158" s="176"/>
      <c r="BR1158" s="176"/>
      <c r="BS1158" s="176"/>
      <c r="BT1158" s="176"/>
      <c r="BU1158" s="176"/>
      <c r="BV1158" s="176"/>
      <c r="BW1158" s="176"/>
      <c r="BX1158" s="176"/>
      <c r="BY1158" s="191"/>
      <c r="BZ1158" s="191"/>
      <c r="CA1158" s="191"/>
      <c r="CC1158" s="182"/>
    </row>
    <row r="1159" spans="1:81" s="178" customFormat="1" ht="15.75" customHeight="1">
      <c r="A1159" s="226"/>
      <c r="B1159" s="227"/>
      <c r="C1159" s="227"/>
      <c r="D1159" s="227"/>
      <c r="E1159" s="227"/>
      <c r="F1159" s="227"/>
      <c r="G1159" s="229"/>
      <c r="H1159" s="229"/>
      <c r="I1159" s="175" t="s">
        <v>354</v>
      </c>
      <c r="J1159" s="175"/>
      <c r="K1159" s="175"/>
      <c r="L1159" s="175"/>
      <c r="M1159" s="176"/>
      <c r="N1159" s="176"/>
      <c r="O1159" s="176"/>
      <c r="P1159" s="176"/>
      <c r="Q1159" s="176"/>
      <c r="R1159" s="176"/>
      <c r="S1159" s="176"/>
      <c r="T1159" s="176"/>
      <c r="U1159" s="176"/>
      <c r="V1159" s="176"/>
      <c r="W1159" s="176"/>
      <c r="X1159" s="176"/>
      <c r="Y1159" s="176"/>
      <c r="Z1159" s="176"/>
      <c r="AA1159" s="176"/>
      <c r="AB1159" s="176"/>
      <c r="AC1159" s="176"/>
      <c r="AD1159" s="176"/>
      <c r="AE1159" s="176"/>
      <c r="AF1159" s="176"/>
      <c r="AG1159" s="176"/>
      <c r="AH1159" s="176"/>
      <c r="AI1159" s="176"/>
      <c r="AJ1159" s="176"/>
      <c r="AK1159" s="176"/>
      <c r="AL1159" s="176"/>
      <c r="AM1159" s="176"/>
      <c r="AN1159" s="176"/>
      <c r="AO1159" s="176"/>
      <c r="AP1159" s="176"/>
      <c r="AQ1159" s="176"/>
      <c r="AR1159" s="176"/>
      <c r="AS1159" s="176"/>
      <c r="AT1159" s="176"/>
      <c r="AU1159" s="176"/>
      <c r="AV1159" s="176"/>
      <c r="AW1159" s="176"/>
      <c r="AX1159" s="176"/>
      <c r="AY1159" s="176"/>
      <c r="AZ1159" s="176"/>
      <c r="BA1159" s="176"/>
      <c r="BB1159" s="176"/>
      <c r="BC1159" s="176"/>
      <c r="BD1159" s="176"/>
      <c r="BE1159" s="176"/>
      <c r="BF1159" s="176"/>
      <c r="BG1159" s="176"/>
      <c r="BH1159" s="176"/>
      <c r="BI1159" s="176"/>
      <c r="BJ1159" s="176"/>
      <c r="BK1159" s="176"/>
      <c r="BL1159" s="176"/>
      <c r="BM1159" s="176"/>
      <c r="BN1159" s="176"/>
      <c r="BO1159" s="176"/>
      <c r="BP1159" s="176"/>
      <c r="BQ1159" s="176"/>
      <c r="BR1159" s="176"/>
      <c r="BS1159" s="176"/>
      <c r="BT1159" s="176"/>
      <c r="BU1159" s="176"/>
      <c r="BV1159" s="176"/>
      <c r="BW1159" s="176"/>
      <c r="BX1159" s="176"/>
      <c r="BY1159" s="191"/>
      <c r="BZ1159" s="191"/>
      <c r="CA1159" s="191"/>
      <c r="CC1159" s="182"/>
    </row>
    <row r="1160" spans="1:81" s="178" customFormat="1" ht="15.75" customHeight="1">
      <c r="A1160" s="226"/>
      <c r="B1160" s="227"/>
      <c r="C1160" s="227"/>
      <c r="D1160" s="227"/>
      <c r="E1160" s="227"/>
      <c r="F1160" s="227"/>
      <c r="G1160" s="229"/>
      <c r="H1160" s="229"/>
      <c r="I1160" s="175" t="s">
        <v>357</v>
      </c>
      <c r="J1160" s="175"/>
      <c r="K1160" s="175"/>
      <c r="L1160" s="175"/>
      <c r="M1160" s="176"/>
      <c r="N1160" s="176"/>
      <c r="O1160" s="176"/>
      <c r="P1160" s="176"/>
      <c r="Q1160" s="176"/>
      <c r="R1160" s="176"/>
      <c r="S1160" s="176"/>
      <c r="T1160" s="176"/>
      <c r="U1160" s="176"/>
      <c r="V1160" s="176"/>
      <c r="W1160" s="176"/>
      <c r="X1160" s="176"/>
      <c r="Y1160" s="176"/>
      <c r="Z1160" s="176"/>
      <c r="AA1160" s="176"/>
      <c r="AB1160" s="176"/>
      <c r="AC1160" s="176"/>
      <c r="AD1160" s="176"/>
      <c r="AE1160" s="176"/>
      <c r="AF1160" s="176"/>
      <c r="AG1160" s="176"/>
      <c r="AH1160" s="176"/>
      <c r="AI1160" s="176"/>
      <c r="AJ1160" s="176"/>
      <c r="AK1160" s="176"/>
      <c r="AL1160" s="176"/>
      <c r="AM1160" s="176"/>
      <c r="AN1160" s="176"/>
      <c r="AO1160" s="176"/>
      <c r="AP1160" s="176"/>
      <c r="AQ1160" s="176"/>
      <c r="AR1160" s="176"/>
      <c r="AS1160" s="176"/>
      <c r="AT1160" s="176"/>
      <c r="AU1160" s="176"/>
      <c r="AV1160" s="176"/>
      <c r="AW1160" s="176"/>
      <c r="AX1160" s="176"/>
      <c r="AY1160" s="176"/>
      <c r="AZ1160" s="176"/>
      <c r="BA1160" s="176"/>
      <c r="BB1160" s="176"/>
      <c r="BC1160" s="176"/>
      <c r="BD1160" s="176"/>
      <c r="BE1160" s="176"/>
      <c r="BF1160" s="176"/>
      <c r="BG1160" s="176"/>
      <c r="BH1160" s="176"/>
      <c r="BI1160" s="176"/>
      <c r="BJ1160" s="176"/>
      <c r="BK1160" s="176"/>
      <c r="BL1160" s="176"/>
      <c r="BM1160" s="176"/>
      <c r="BN1160" s="176"/>
      <c r="BO1160" s="176"/>
      <c r="BP1160" s="176"/>
      <c r="BQ1160" s="176"/>
      <c r="BR1160" s="176"/>
      <c r="BS1160" s="176"/>
      <c r="BT1160" s="176"/>
      <c r="BU1160" s="176"/>
      <c r="BV1160" s="176"/>
      <c r="BW1160" s="176">
        <f>62+85.33</f>
        <v>147.32999999999998</v>
      </c>
      <c r="BX1160" s="176"/>
      <c r="BY1160" s="191"/>
      <c r="BZ1160" s="191"/>
      <c r="CA1160" s="191"/>
      <c r="CC1160" s="182"/>
    </row>
    <row r="1161" spans="1:81" s="178" customFormat="1" ht="15.75" customHeight="1">
      <c r="A1161" s="226"/>
      <c r="B1161" s="227"/>
      <c r="C1161" s="227"/>
      <c r="D1161" s="227"/>
      <c r="E1161" s="227"/>
      <c r="F1161" s="227"/>
      <c r="G1161" s="229"/>
      <c r="H1161" s="229"/>
      <c r="I1161" s="175" t="s">
        <v>355</v>
      </c>
      <c r="J1161" s="175"/>
      <c r="K1161" s="175"/>
      <c r="L1161" s="175"/>
      <c r="M1161" s="176"/>
      <c r="N1161" s="176"/>
      <c r="O1161" s="176"/>
      <c r="P1161" s="176"/>
      <c r="Q1161" s="176"/>
      <c r="R1161" s="176"/>
      <c r="S1161" s="176"/>
      <c r="T1161" s="176"/>
      <c r="U1161" s="176"/>
      <c r="V1161" s="176"/>
      <c r="W1161" s="176"/>
      <c r="X1161" s="176"/>
      <c r="Y1161" s="176"/>
      <c r="Z1161" s="176"/>
      <c r="AA1161" s="176"/>
      <c r="AB1161" s="176"/>
      <c r="AC1161" s="176"/>
      <c r="AD1161" s="176"/>
      <c r="AE1161" s="176"/>
      <c r="AF1161" s="176"/>
      <c r="AG1161" s="176"/>
      <c r="AH1161" s="176"/>
      <c r="AI1161" s="176"/>
      <c r="AJ1161" s="176"/>
      <c r="AK1161" s="176"/>
      <c r="AL1161" s="176"/>
      <c r="AM1161" s="176"/>
      <c r="AN1161" s="176"/>
      <c r="AO1161" s="176"/>
      <c r="AP1161" s="176"/>
      <c r="AQ1161" s="176"/>
      <c r="AR1161" s="176"/>
      <c r="AS1161" s="176"/>
      <c r="AT1161" s="176"/>
      <c r="AU1161" s="176"/>
      <c r="AV1161" s="176"/>
      <c r="AW1161" s="176"/>
      <c r="AX1161" s="176"/>
      <c r="AY1161" s="176"/>
      <c r="AZ1161" s="176"/>
      <c r="BA1161" s="176"/>
      <c r="BB1161" s="176"/>
      <c r="BC1161" s="176"/>
      <c r="BD1161" s="176"/>
      <c r="BE1161" s="176"/>
      <c r="BF1161" s="176"/>
      <c r="BG1161" s="176"/>
      <c r="BH1161" s="176"/>
      <c r="BI1161" s="176"/>
      <c r="BJ1161" s="176"/>
      <c r="BK1161" s="176"/>
      <c r="BL1161" s="212"/>
      <c r="BM1161" s="212"/>
      <c r="BN1161" s="212"/>
      <c r="BO1161" s="212"/>
      <c r="BP1161" s="212"/>
      <c r="BQ1161" s="212"/>
      <c r="BR1161" s="212"/>
      <c r="BS1161" s="212"/>
      <c r="BT1161" s="212"/>
      <c r="BU1161" s="212"/>
      <c r="BV1161" s="212"/>
      <c r="BW1161" s="212"/>
      <c r="BX1161" s="176"/>
      <c r="BY1161" s="191"/>
      <c r="BZ1161" s="191"/>
      <c r="CA1161" s="191"/>
      <c r="CC1161" s="182"/>
    </row>
    <row r="1162" spans="1:81" s="178" customFormat="1" ht="15.75" customHeight="1">
      <c r="A1162" s="226"/>
      <c r="B1162" s="227"/>
      <c r="C1162" s="227"/>
      <c r="D1162" s="227"/>
      <c r="E1162" s="227"/>
      <c r="F1162" s="227"/>
      <c r="G1162" s="229"/>
      <c r="H1162" s="229"/>
      <c r="I1162" s="184" t="s">
        <v>362</v>
      </c>
      <c r="J1162" s="175"/>
      <c r="K1162" s="175"/>
      <c r="L1162" s="175"/>
      <c r="M1162" s="176"/>
      <c r="N1162" s="176"/>
      <c r="O1162" s="176"/>
      <c r="P1162" s="176"/>
      <c r="Q1162" s="176"/>
      <c r="R1162" s="176"/>
      <c r="S1162" s="176"/>
      <c r="T1162" s="176"/>
      <c r="U1162" s="176"/>
      <c r="V1162" s="176"/>
      <c r="W1162" s="176"/>
      <c r="X1162" s="176"/>
      <c r="Y1162" s="176"/>
      <c r="Z1162" s="176"/>
      <c r="AA1162" s="176"/>
      <c r="AB1162" s="176"/>
      <c r="AC1162" s="176"/>
      <c r="AD1162" s="176"/>
      <c r="AE1162" s="176"/>
      <c r="AF1162" s="176"/>
      <c r="AG1162" s="176"/>
      <c r="AH1162" s="176"/>
      <c r="AI1162" s="176"/>
      <c r="AJ1162" s="176"/>
      <c r="AK1162" s="176"/>
      <c r="AL1162" s="176"/>
      <c r="AM1162" s="176"/>
      <c r="AN1162" s="176"/>
      <c r="AO1162" s="176"/>
      <c r="AP1162" s="176"/>
      <c r="AQ1162" s="176"/>
      <c r="AR1162" s="176"/>
      <c r="AS1162" s="176"/>
      <c r="AT1162" s="176"/>
      <c r="AU1162" s="176"/>
      <c r="AV1162" s="176"/>
      <c r="AW1162" s="176"/>
      <c r="AX1162" s="176"/>
      <c r="AY1162" s="176"/>
      <c r="AZ1162" s="176"/>
      <c r="BA1162" s="176"/>
      <c r="BB1162" s="176"/>
      <c r="BC1162" s="176"/>
      <c r="BD1162" s="176"/>
      <c r="BE1162" s="176"/>
      <c r="BF1162" s="176"/>
      <c r="BG1162" s="176"/>
      <c r="BH1162" s="176"/>
      <c r="BI1162" s="176"/>
      <c r="BJ1162" s="176"/>
      <c r="BK1162" s="176"/>
      <c r="BL1162" s="176"/>
      <c r="BM1162" s="176"/>
      <c r="BN1162" s="176"/>
      <c r="BO1162" s="176"/>
      <c r="BP1162" s="176"/>
      <c r="BQ1162" s="176"/>
      <c r="BR1162" s="176"/>
      <c r="BS1162" s="176"/>
      <c r="BT1162" s="176"/>
      <c r="BU1162" s="176"/>
      <c r="BV1162" s="176"/>
      <c r="BW1162" s="176"/>
      <c r="BX1162" s="176"/>
      <c r="BY1162" s="191"/>
      <c r="BZ1162" s="191"/>
      <c r="CA1162" s="191"/>
      <c r="CC1162" s="182"/>
    </row>
    <row r="1163" spans="1:81" s="178" customFormat="1">
      <c r="A1163" s="226"/>
      <c r="B1163" s="227"/>
      <c r="C1163" s="227"/>
      <c r="D1163" s="227"/>
      <c r="E1163" s="227"/>
      <c r="F1163" s="227"/>
      <c r="G1163" s="229"/>
      <c r="H1163" s="229"/>
      <c r="I1163" s="190" t="s">
        <v>363</v>
      </c>
      <c r="J1163" s="190"/>
      <c r="K1163" s="190"/>
      <c r="L1163" s="190"/>
      <c r="M1163" s="176"/>
      <c r="N1163" s="176"/>
      <c r="O1163" s="176"/>
      <c r="P1163" s="176"/>
      <c r="Q1163" s="176"/>
      <c r="R1163" s="176"/>
      <c r="S1163" s="176"/>
      <c r="T1163" s="176"/>
      <c r="U1163" s="176"/>
      <c r="V1163" s="176"/>
      <c r="W1163" s="176"/>
      <c r="X1163" s="176"/>
      <c r="Y1163" s="176"/>
      <c r="Z1163" s="176"/>
      <c r="AA1163" s="176"/>
      <c r="AB1163" s="176"/>
      <c r="AC1163" s="176"/>
      <c r="AD1163" s="176"/>
      <c r="AE1163" s="176"/>
      <c r="AF1163" s="176"/>
      <c r="AG1163" s="176"/>
      <c r="AH1163" s="176"/>
      <c r="AI1163" s="176"/>
      <c r="AJ1163" s="176"/>
      <c r="AK1163" s="176"/>
      <c r="AL1163" s="176"/>
      <c r="AM1163" s="176"/>
      <c r="AN1163" s="176"/>
      <c r="AO1163" s="176"/>
      <c r="AP1163" s="176"/>
      <c r="AQ1163" s="176"/>
      <c r="AR1163" s="176"/>
      <c r="AS1163" s="176"/>
      <c r="AT1163" s="176"/>
      <c r="AU1163" s="176"/>
      <c r="AV1163" s="176"/>
      <c r="AW1163" s="176"/>
      <c r="AX1163" s="176"/>
      <c r="AY1163" s="176"/>
      <c r="AZ1163" s="176"/>
      <c r="BA1163" s="176"/>
      <c r="BB1163" s="176"/>
      <c r="BC1163" s="176"/>
      <c r="BD1163" s="176"/>
      <c r="BE1163" s="176"/>
      <c r="BF1163" s="176"/>
      <c r="BG1163" s="176"/>
      <c r="BH1163" s="176"/>
      <c r="BI1163" s="176"/>
      <c r="BJ1163" s="176"/>
      <c r="BK1163" s="176"/>
      <c r="BL1163" s="176"/>
      <c r="BM1163" s="176"/>
      <c r="BN1163" s="176"/>
      <c r="BO1163" s="176"/>
      <c r="BP1163" s="176"/>
      <c r="BQ1163" s="176"/>
      <c r="BR1163" s="176"/>
      <c r="BS1163" s="176"/>
      <c r="BT1163" s="176"/>
      <c r="BU1163" s="176"/>
      <c r="BV1163" s="176"/>
      <c r="BW1163" s="176"/>
      <c r="BX1163" s="176"/>
      <c r="BY1163" s="191"/>
      <c r="BZ1163" s="191"/>
    </row>
    <row r="1164" spans="1:81" s="178" customFormat="1">
      <c r="A1164" s="226"/>
      <c r="B1164" s="227"/>
      <c r="C1164" s="227"/>
      <c r="D1164" s="227"/>
      <c r="E1164" s="227"/>
      <c r="F1164" s="227"/>
      <c r="G1164" s="229"/>
      <c r="H1164" s="229"/>
      <c r="I1164" s="193" t="s">
        <v>373</v>
      </c>
      <c r="J1164" s="193"/>
      <c r="K1164" s="193"/>
      <c r="L1164" s="193"/>
      <c r="M1164" s="176"/>
      <c r="N1164" s="176"/>
      <c r="O1164" s="176"/>
      <c r="P1164" s="176"/>
      <c r="Q1164" s="176"/>
      <c r="R1164" s="176"/>
      <c r="S1164" s="176"/>
      <c r="T1164" s="176"/>
      <c r="U1164" s="176"/>
      <c r="V1164" s="176"/>
      <c r="W1164" s="176"/>
      <c r="X1164" s="176"/>
      <c r="Y1164" s="176"/>
      <c r="Z1164" s="176"/>
      <c r="AA1164" s="176"/>
      <c r="AB1164" s="176"/>
      <c r="AC1164" s="176"/>
      <c r="AD1164" s="176"/>
      <c r="AE1164" s="176"/>
      <c r="AF1164" s="176"/>
      <c r="AG1164" s="176"/>
      <c r="AH1164" s="176"/>
      <c r="AI1164" s="176"/>
      <c r="AJ1164" s="176"/>
      <c r="AK1164" s="176"/>
      <c r="AL1164" s="176"/>
      <c r="AM1164" s="176"/>
      <c r="AN1164" s="176"/>
      <c r="AO1164" s="176"/>
      <c r="AP1164" s="176"/>
      <c r="AQ1164" s="176"/>
      <c r="AR1164" s="176"/>
      <c r="AS1164" s="176"/>
      <c r="AT1164" s="176"/>
      <c r="AU1164" s="176"/>
      <c r="AV1164" s="176"/>
      <c r="AW1164" s="176"/>
      <c r="AX1164" s="176"/>
      <c r="AY1164" s="176"/>
      <c r="AZ1164" s="176"/>
      <c r="BA1164" s="176"/>
      <c r="BB1164" s="176"/>
      <c r="BC1164" s="176"/>
      <c r="BD1164" s="176"/>
      <c r="BE1164" s="176"/>
      <c r="BF1164" s="176"/>
      <c r="BG1164" s="176"/>
      <c r="BH1164" s="176"/>
      <c r="BI1164" s="176"/>
      <c r="BJ1164" s="176"/>
      <c r="BK1164" s="176"/>
      <c r="BL1164" s="176"/>
      <c r="BM1164" s="176"/>
      <c r="BN1164" s="176"/>
      <c r="BO1164" s="176"/>
      <c r="BP1164" s="176"/>
      <c r="BQ1164" s="176"/>
      <c r="BR1164" s="176"/>
      <c r="BS1164" s="176"/>
      <c r="BT1164" s="176"/>
      <c r="BU1164" s="176"/>
      <c r="BV1164" s="176"/>
      <c r="BW1164" s="176">
        <v>58.62</v>
      </c>
      <c r="BX1164" s="176"/>
      <c r="BY1164" s="191"/>
      <c r="BZ1164" s="191"/>
    </row>
    <row r="1165" spans="1:81" s="178" customFormat="1" ht="13.9" customHeight="1">
      <c r="A1165" s="226"/>
      <c r="B1165" s="227"/>
      <c r="C1165" s="227"/>
      <c r="D1165" s="227"/>
      <c r="E1165" s="227"/>
      <c r="F1165" s="227"/>
      <c r="G1165" s="229"/>
      <c r="H1165" s="229"/>
      <c r="I1165" s="190"/>
      <c r="J1165" s="176">
        <f>SUM(J1154:J1163)-J1164</f>
        <v>0</v>
      </c>
      <c r="K1165" s="176">
        <f t="shared" ref="K1165:Y1165" si="562">SUM(K1154:K1163)-K1164</f>
        <v>0</v>
      </c>
      <c r="L1165" s="176">
        <f t="shared" si="562"/>
        <v>0</v>
      </c>
      <c r="M1165" s="176">
        <f t="shared" si="562"/>
        <v>0</v>
      </c>
      <c r="N1165" s="176">
        <f t="shared" si="562"/>
        <v>0</v>
      </c>
      <c r="O1165" s="176">
        <f t="shared" si="562"/>
        <v>0</v>
      </c>
      <c r="P1165" s="176">
        <f t="shared" si="562"/>
        <v>0</v>
      </c>
      <c r="Q1165" s="176">
        <f t="shared" si="562"/>
        <v>0</v>
      </c>
      <c r="R1165" s="176">
        <f t="shared" si="562"/>
        <v>0</v>
      </c>
      <c r="S1165" s="176">
        <f t="shared" si="562"/>
        <v>0</v>
      </c>
      <c r="T1165" s="176">
        <f t="shared" si="562"/>
        <v>0</v>
      </c>
      <c r="U1165" s="176">
        <f t="shared" si="562"/>
        <v>0</v>
      </c>
      <c r="V1165" s="176">
        <f t="shared" si="562"/>
        <v>0</v>
      </c>
      <c r="W1165" s="176">
        <f t="shared" si="562"/>
        <v>0</v>
      </c>
      <c r="X1165" s="176">
        <f t="shared" si="562"/>
        <v>0</v>
      </c>
      <c r="Y1165" s="176">
        <f t="shared" si="562"/>
        <v>0</v>
      </c>
      <c r="Z1165" s="176">
        <f>SUM(Z1154:Z1163)-Z1164</f>
        <v>0</v>
      </c>
      <c r="AA1165" s="176">
        <f t="shared" ref="AA1165:AD1165" si="563">SUM(AA1154:AA1163)-AA1164</f>
        <v>0</v>
      </c>
      <c r="AB1165" s="176">
        <f t="shared" si="563"/>
        <v>0</v>
      </c>
      <c r="AC1165" s="176">
        <f t="shared" si="563"/>
        <v>0</v>
      </c>
      <c r="AD1165" s="176">
        <f t="shared" si="563"/>
        <v>0</v>
      </c>
      <c r="AE1165" s="176">
        <f>SUM(AE1154:AE1163)-AE1164</f>
        <v>0</v>
      </c>
      <c r="AF1165" s="176">
        <f>SUM(AF1154:AF1163)-AF1164</f>
        <v>0</v>
      </c>
      <c r="AG1165" s="176">
        <f t="shared" ref="AG1165:AU1165" si="564">SUM(AG1154:AG1163)-AG1164</f>
        <v>0</v>
      </c>
      <c r="AH1165" s="176">
        <f t="shared" si="564"/>
        <v>0</v>
      </c>
      <c r="AI1165" s="176">
        <f t="shared" si="564"/>
        <v>0</v>
      </c>
      <c r="AJ1165" s="176">
        <f t="shared" si="564"/>
        <v>0</v>
      </c>
      <c r="AK1165" s="176">
        <f t="shared" si="564"/>
        <v>0</v>
      </c>
      <c r="AL1165" s="176">
        <f t="shared" si="564"/>
        <v>0</v>
      </c>
      <c r="AM1165" s="176">
        <f t="shared" si="564"/>
        <v>0</v>
      </c>
      <c r="AN1165" s="176">
        <f t="shared" si="564"/>
        <v>0</v>
      </c>
      <c r="AO1165" s="176">
        <f t="shared" si="564"/>
        <v>0</v>
      </c>
      <c r="AP1165" s="176">
        <f t="shared" si="564"/>
        <v>0</v>
      </c>
      <c r="AQ1165" s="176">
        <f t="shared" si="564"/>
        <v>0</v>
      </c>
      <c r="AR1165" s="176">
        <f t="shared" si="564"/>
        <v>0</v>
      </c>
      <c r="AS1165" s="176">
        <f t="shared" si="564"/>
        <v>0</v>
      </c>
      <c r="AT1165" s="176">
        <f t="shared" si="564"/>
        <v>0</v>
      </c>
      <c r="AU1165" s="176">
        <f t="shared" si="564"/>
        <v>0</v>
      </c>
      <c r="AV1165" s="176">
        <f>SUM(AV1154:AV1163)-AV1164</f>
        <v>0</v>
      </c>
      <c r="AW1165" s="176">
        <f t="shared" ref="AW1165:BA1165" si="565">SUM(AW1154:AW1163)-AW1164</f>
        <v>0</v>
      </c>
      <c r="AX1165" s="176">
        <f t="shared" si="565"/>
        <v>0</v>
      </c>
      <c r="AY1165" s="176">
        <f t="shared" si="565"/>
        <v>0</v>
      </c>
      <c r="AZ1165" s="176">
        <f t="shared" si="565"/>
        <v>0</v>
      </c>
      <c r="BA1165" s="176">
        <f t="shared" si="565"/>
        <v>0</v>
      </c>
      <c r="BB1165" s="176"/>
      <c r="BC1165" s="176"/>
      <c r="BD1165" s="176"/>
      <c r="BE1165" s="176"/>
      <c r="BF1165" s="176"/>
      <c r="BG1165" s="176"/>
      <c r="BH1165" s="176"/>
      <c r="BI1165" s="176"/>
      <c r="BJ1165" s="176"/>
      <c r="BK1165" s="176"/>
      <c r="BL1165" s="176"/>
      <c r="BM1165" s="176"/>
      <c r="BN1165" s="176"/>
      <c r="BO1165" s="176"/>
      <c r="BP1165" s="176"/>
      <c r="BQ1165" s="176"/>
      <c r="BR1165" s="176"/>
      <c r="BS1165" s="176"/>
      <c r="BT1165" s="176"/>
      <c r="BU1165" s="176"/>
      <c r="BV1165" s="176"/>
      <c r="BW1165" s="176">
        <f>BW1155+BW1160-BW1164</f>
        <v>520.33000000000004</v>
      </c>
      <c r="BX1165" s="176">
        <f>SUM(BW1165)</f>
        <v>520.33000000000004</v>
      </c>
      <c r="BY1165" s="191"/>
      <c r="BZ1165" s="191"/>
    </row>
    <row r="1166" spans="1:81" ht="15.6" customHeight="1">
      <c r="A1166" s="148" t="s">
        <v>346</v>
      </c>
      <c r="B1166" s="148" t="s">
        <v>347</v>
      </c>
      <c r="C1166" s="145" t="s">
        <v>310</v>
      </c>
      <c r="D1166" s="145" t="s">
        <v>311</v>
      </c>
      <c r="E1166" s="148" t="s">
        <v>312</v>
      </c>
      <c r="F1166" s="148" t="s">
        <v>348</v>
      </c>
      <c r="G1166" s="145" t="s">
        <v>314</v>
      </c>
      <c r="H1166" s="145" t="s">
        <v>315</v>
      </c>
      <c r="I1166" s="145" t="s">
        <v>349</v>
      </c>
      <c r="J1166" s="146">
        <v>44105</v>
      </c>
      <c r="K1166" s="146">
        <v>44136</v>
      </c>
      <c r="L1166" s="146">
        <v>44166</v>
      </c>
      <c r="M1166" s="146">
        <v>44197</v>
      </c>
      <c r="N1166" s="146">
        <v>44228</v>
      </c>
      <c r="O1166" s="146">
        <v>44256</v>
      </c>
      <c r="P1166" s="146">
        <v>44287</v>
      </c>
      <c r="Q1166" s="146">
        <v>44317</v>
      </c>
      <c r="R1166" s="146">
        <v>44348</v>
      </c>
      <c r="S1166" s="146">
        <v>44378</v>
      </c>
      <c r="T1166" s="146">
        <v>44409</v>
      </c>
      <c r="U1166" s="146">
        <v>44440</v>
      </c>
      <c r="V1166" s="146">
        <v>44470</v>
      </c>
      <c r="W1166" s="146">
        <v>44501</v>
      </c>
      <c r="X1166" s="146">
        <v>44531</v>
      </c>
      <c r="Y1166" s="146">
        <v>44562</v>
      </c>
      <c r="Z1166" s="146">
        <v>44593</v>
      </c>
      <c r="AA1166" s="146">
        <v>44621</v>
      </c>
      <c r="AB1166" s="146">
        <v>44652</v>
      </c>
      <c r="AC1166" s="146">
        <v>44682</v>
      </c>
      <c r="AD1166" s="146">
        <v>44713</v>
      </c>
      <c r="AE1166" s="146">
        <v>44743</v>
      </c>
      <c r="AF1166" s="146">
        <v>44774</v>
      </c>
      <c r="AG1166" s="146">
        <v>44805</v>
      </c>
      <c r="AH1166" s="146">
        <v>44835</v>
      </c>
      <c r="AI1166" s="146">
        <v>44866</v>
      </c>
      <c r="AJ1166" s="146">
        <v>44896</v>
      </c>
      <c r="AK1166" s="146">
        <v>44927</v>
      </c>
      <c r="AL1166" s="146">
        <v>44958</v>
      </c>
      <c r="AM1166" s="146">
        <v>44986</v>
      </c>
      <c r="AN1166" s="146">
        <v>45017</v>
      </c>
      <c r="AO1166" s="146">
        <v>45047</v>
      </c>
      <c r="AP1166" s="146">
        <v>45078</v>
      </c>
      <c r="AQ1166" s="146">
        <v>45108</v>
      </c>
      <c r="AR1166" s="146">
        <v>45139</v>
      </c>
      <c r="AS1166" s="146">
        <v>45170</v>
      </c>
      <c r="AT1166" s="146">
        <v>45200</v>
      </c>
      <c r="AU1166" s="146">
        <v>45231</v>
      </c>
      <c r="AV1166" s="146">
        <v>45261</v>
      </c>
      <c r="AW1166" s="146">
        <v>45292</v>
      </c>
      <c r="AX1166" s="146">
        <v>45323</v>
      </c>
      <c r="AY1166" s="146">
        <v>45352</v>
      </c>
      <c r="AZ1166" s="146">
        <v>45383</v>
      </c>
      <c r="BA1166" s="146">
        <v>45413</v>
      </c>
      <c r="BB1166" s="146">
        <v>45444</v>
      </c>
      <c r="BC1166" s="146">
        <v>45474</v>
      </c>
      <c r="BD1166" s="146">
        <v>45505</v>
      </c>
      <c r="BE1166" s="146">
        <v>45536</v>
      </c>
      <c r="BF1166" s="146">
        <v>45566</v>
      </c>
      <c r="BG1166" s="146">
        <v>45597</v>
      </c>
      <c r="BH1166" s="146">
        <v>45627</v>
      </c>
      <c r="BI1166" s="146">
        <v>45658</v>
      </c>
      <c r="BJ1166" s="146">
        <v>45689</v>
      </c>
      <c r="BK1166" s="146">
        <v>45717</v>
      </c>
      <c r="BL1166" s="146">
        <v>45748</v>
      </c>
      <c r="BM1166" s="146">
        <v>45778</v>
      </c>
      <c r="BN1166" s="146"/>
      <c r="BO1166" s="146"/>
      <c r="BP1166" s="146"/>
      <c r="BQ1166" s="146"/>
      <c r="BR1166" s="146"/>
      <c r="BS1166" s="146"/>
      <c r="BT1166" s="146">
        <v>45992</v>
      </c>
      <c r="BU1166" s="146">
        <v>46023</v>
      </c>
      <c r="BV1166" s="146">
        <v>46054</v>
      </c>
      <c r="BW1166" s="146">
        <v>46082</v>
      </c>
      <c r="BX1166" s="147" t="s">
        <v>13</v>
      </c>
      <c r="BY1166" s="5"/>
      <c r="BZ1166" s="5"/>
      <c r="CA1166" s="5"/>
    </row>
    <row r="1167" spans="1:81" s="178" customFormat="1" ht="15.75" customHeight="1">
      <c r="A1167" s="226">
        <v>74</v>
      </c>
      <c r="B1167" s="227" t="s">
        <v>410</v>
      </c>
      <c r="C1167" s="227" t="s">
        <v>23</v>
      </c>
      <c r="D1167" s="227" t="s">
        <v>89</v>
      </c>
      <c r="E1167" s="227" t="s">
        <v>150</v>
      </c>
      <c r="F1167" s="227" t="s">
        <v>150</v>
      </c>
      <c r="G1167" s="228">
        <v>46073</v>
      </c>
      <c r="H1167" s="228"/>
      <c r="I1167" s="175" t="s">
        <v>390</v>
      </c>
      <c r="J1167" s="175"/>
      <c r="K1167" s="175"/>
      <c r="L1167" s="175"/>
      <c r="M1167" s="176"/>
      <c r="N1167" s="176"/>
      <c r="O1167" s="176"/>
      <c r="P1167" s="176"/>
      <c r="Q1167" s="176"/>
      <c r="R1167" s="176"/>
      <c r="S1167" s="176"/>
      <c r="T1167" s="176"/>
      <c r="U1167" s="176"/>
      <c r="V1167" s="176"/>
      <c r="W1167" s="176"/>
      <c r="X1167" s="176"/>
      <c r="Y1167" s="176"/>
      <c r="Z1167" s="176"/>
      <c r="AA1167" s="176"/>
      <c r="AB1167" s="176"/>
      <c r="AC1167" s="176"/>
      <c r="AD1167" s="176"/>
      <c r="AE1167" s="176"/>
      <c r="AF1167" s="176"/>
      <c r="AG1167" s="176"/>
      <c r="AH1167" s="176"/>
      <c r="AI1167" s="176"/>
      <c r="AJ1167" s="176"/>
      <c r="AK1167" s="176"/>
      <c r="AL1167" s="176"/>
      <c r="AM1167" s="176"/>
      <c r="AN1167" s="176"/>
      <c r="AO1167" s="176"/>
      <c r="AP1167" s="176"/>
      <c r="AQ1167" s="176"/>
      <c r="AR1167" s="176"/>
      <c r="AS1167" s="176"/>
      <c r="AT1167" s="176"/>
      <c r="AU1167" s="176"/>
      <c r="AV1167" s="176"/>
      <c r="AW1167" s="176"/>
      <c r="AX1167" s="176"/>
      <c r="AY1167" s="176"/>
      <c r="AZ1167" s="176"/>
      <c r="BA1167" s="176"/>
      <c r="BB1167" s="176"/>
      <c r="BC1167" s="176"/>
      <c r="BD1167" s="176"/>
      <c r="BE1167" s="176"/>
      <c r="BF1167" s="176"/>
      <c r="BG1167" s="176"/>
      <c r="BH1167" s="176"/>
      <c r="BI1167" s="176"/>
      <c r="BJ1167" s="176"/>
      <c r="BK1167" s="176"/>
      <c r="BL1167" s="176"/>
      <c r="BM1167" s="176"/>
      <c r="BN1167" s="176"/>
      <c r="BO1167" s="176"/>
      <c r="BP1167" s="176"/>
      <c r="BQ1167" s="176"/>
      <c r="BR1167" s="176"/>
      <c r="BS1167" s="176"/>
      <c r="BT1167" s="176"/>
      <c r="BU1167" s="176"/>
      <c r="BV1167" s="176"/>
      <c r="BW1167" s="176"/>
      <c r="BX1167" s="176"/>
      <c r="BY1167" s="191"/>
      <c r="BZ1167" s="191"/>
      <c r="CA1167" s="191"/>
      <c r="CC1167" s="182"/>
    </row>
    <row r="1168" spans="1:81" s="178" customFormat="1" ht="15.75" customHeight="1">
      <c r="A1168" s="226"/>
      <c r="B1168" s="227"/>
      <c r="C1168" s="227"/>
      <c r="D1168" s="227"/>
      <c r="E1168" s="227"/>
      <c r="F1168" s="227"/>
      <c r="G1168" s="229"/>
      <c r="H1168" s="229"/>
      <c r="I1168" s="175" t="s">
        <v>351</v>
      </c>
      <c r="J1168" s="175"/>
      <c r="K1168" s="175"/>
      <c r="L1168" s="175"/>
      <c r="M1168" s="176"/>
      <c r="N1168" s="176"/>
      <c r="O1168" s="176"/>
      <c r="P1168" s="176"/>
      <c r="Q1168" s="176"/>
      <c r="R1168" s="176"/>
      <c r="S1168" s="176"/>
      <c r="T1168" s="176"/>
      <c r="U1168" s="176"/>
      <c r="V1168" s="176"/>
      <c r="W1168" s="176"/>
      <c r="X1168" s="176"/>
      <c r="Y1168" s="176"/>
      <c r="Z1168" s="176"/>
      <c r="AA1168" s="176"/>
      <c r="AB1168" s="176"/>
      <c r="AC1168" s="176"/>
      <c r="AD1168" s="176"/>
      <c r="AE1168" s="176"/>
      <c r="AF1168" s="176"/>
      <c r="AG1168" s="176"/>
      <c r="AH1168" s="176"/>
      <c r="AI1168" s="176"/>
      <c r="AJ1168" s="176"/>
      <c r="AK1168" s="176"/>
      <c r="AL1168" s="176"/>
      <c r="AM1168" s="176"/>
      <c r="AN1168" s="176"/>
      <c r="AO1168" s="176"/>
      <c r="AP1168" s="176"/>
      <c r="AQ1168" s="176"/>
      <c r="AR1168" s="176"/>
      <c r="AS1168" s="176"/>
      <c r="AT1168" s="176"/>
      <c r="AU1168" s="176"/>
      <c r="AV1168" s="176"/>
      <c r="AW1168" s="176"/>
      <c r="AX1168" s="176"/>
      <c r="AY1168" s="176"/>
      <c r="AZ1168" s="176"/>
      <c r="BA1168" s="176"/>
      <c r="BB1168" s="176"/>
      <c r="BC1168" s="176"/>
      <c r="BD1168" s="176"/>
      <c r="BE1168" s="176"/>
      <c r="BF1168" s="176"/>
      <c r="BG1168" s="176"/>
      <c r="BH1168" s="176"/>
      <c r="BI1168" s="176"/>
      <c r="BJ1168" s="176"/>
      <c r="BK1168" s="176"/>
      <c r="BL1168" s="176"/>
      <c r="BM1168" s="176"/>
      <c r="BN1168" s="176"/>
      <c r="BO1168" s="176"/>
      <c r="BP1168" s="176"/>
      <c r="BQ1168" s="176"/>
      <c r="BR1168" s="176"/>
      <c r="BS1168" s="176"/>
      <c r="BT1168" s="176"/>
      <c r="BU1168" s="176"/>
      <c r="BV1168" s="176">
        <v>678.26</v>
      </c>
      <c r="BW1168" s="176">
        <v>1849.81</v>
      </c>
      <c r="BX1168" s="176"/>
      <c r="BY1168" s="191"/>
      <c r="BZ1168" s="191"/>
      <c r="CA1168" s="191"/>
      <c r="CC1168" s="182"/>
    </row>
    <row r="1169" spans="1:81" s="178" customFormat="1" ht="15.75" customHeight="1">
      <c r="A1169" s="226"/>
      <c r="B1169" s="227"/>
      <c r="C1169" s="227"/>
      <c r="D1169" s="227"/>
      <c r="E1169" s="227"/>
      <c r="F1169" s="227"/>
      <c r="G1169" s="229"/>
      <c r="H1169" s="229"/>
      <c r="I1169" s="175" t="s">
        <v>391</v>
      </c>
      <c r="J1169" s="175"/>
      <c r="K1169" s="175"/>
      <c r="L1169" s="175"/>
      <c r="M1169" s="176"/>
      <c r="N1169" s="176"/>
      <c r="O1169" s="176"/>
      <c r="P1169" s="176"/>
      <c r="Q1169" s="176"/>
      <c r="R1169" s="176"/>
      <c r="S1169" s="176"/>
      <c r="T1169" s="176"/>
      <c r="U1169" s="176"/>
      <c r="V1169" s="176"/>
      <c r="W1169" s="176"/>
      <c r="X1169" s="176"/>
      <c r="Y1169" s="177"/>
      <c r="Z1169" s="176"/>
      <c r="AA1169" s="176"/>
      <c r="AB1169" s="176"/>
      <c r="AC1169" s="176"/>
      <c r="AD1169" s="176"/>
      <c r="AE1169" s="176"/>
      <c r="AF1169" s="176"/>
      <c r="AG1169" s="176"/>
      <c r="AH1169" s="176"/>
      <c r="AI1169" s="176"/>
      <c r="AJ1169" s="176"/>
      <c r="AK1169" s="176"/>
      <c r="AL1169" s="176"/>
      <c r="AM1169" s="176"/>
      <c r="AN1169" s="176"/>
      <c r="AO1169" s="176"/>
      <c r="AP1169" s="176"/>
      <c r="AQ1169" s="176"/>
      <c r="AR1169" s="176"/>
      <c r="AS1169" s="176"/>
      <c r="AT1169" s="176"/>
      <c r="AU1169" s="176"/>
      <c r="AV1169" s="176"/>
      <c r="AW1169" s="176"/>
      <c r="AX1169" s="176"/>
      <c r="AY1169" s="176"/>
      <c r="AZ1169" s="176"/>
      <c r="BA1169" s="176"/>
      <c r="BB1169" s="176"/>
      <c r="BC1169" s="176"/>
      <c r="BD1169" s="176"/>
      <c r="BE1169" s="176"/>
      <c r="BF1169" s="176"/>
      <c r="BG1169" s="176"/>
      <c r="BH1169" s="176"/>
      <c r="BI1169" s="176"/>
      <c r="BJ1169" s="176"/>
      <c r="BK1169" s="176"/>
      <c r="BL1169" s="176"/>
      <c r="BM1169" s="176"/>
      <c r="BN1169" s="176"/>
      <c r="BO1169" s="176"/>
      <c r="BP1169" s="176"/>
      <c r="BQ1169" s="176"/>
      <c r="BR1169" s="176"/>
      <c r="BS1169" s="176"/>
      <c r="BT1169" s="176"/>
      <c r="BU1169" s="176"/>
      <c r="BV1169" s="176"/>
      <c r="BW1169" s="176"/>
      <c r="BX1169" s="176"/>
      <c r="BY1169" s="191"/>
      <c r="BZ1169" s="191"/>
      <c r="CA1169" s="191"/>
      <c r="CC1169" s="182"/>
    </row>
    <row r="1170" spans="1:81" s="178" customFormat="1" ht="15.75" customHeight="1">
      <c r="A1170" s="226"/>
      <c r="B1170" s="227"/>
      <c r="C1170" s="227"/>
      <c r="D1170" s="227"/>
      <c r="E1170" s="227"/>
      <c r="F1170" s="227"/>
      <c r="G1170" s="229"/>
      <c r="H1170" s="229"/>
      <c r="I1170" s="175" t="s">
        <v>351</v>
      </c>
      <c r="J1170" s="175"/>
      <c r="K1170" s="175"/>
      <c r="L1170" s="175"/>
      <c r="M1170" s="176"/>
      <c r="N1170" s="176"/>
      <c r="O1170" s="176"/>
      <c r="P1170" s="176"/>
      <c r="Q1170" s="176"/>
      <c r="R1170" s="176"/>
      <c r="S1170" s="176"/>
      <c r="T1170" s="176"/>
      <c r="U1170" s="176"/>
      <c r="V1170" s="176"/>
      <c r="W1170" s="176"/>
      <c r="X1170" s="176"/>
      <c r="Y1170" s="177"/>
      <c r="Z1170" s="176"/>
      <c r="AA1170" s="176"/>
      <c r="AB1170" s="176"/>
      <c r="AC1170" s="176"/>
      <c r="AD1170" s="176"/>
      <c r="AE1170" s="176"/>
      <c r="AF1170" s="176"/>
      <c r="AG1170" s="176"/>
      <c r="AH1170" s="176"/>
      <c r="AI1170" s="176"/>
      <c r="AJ1170" s="176"/>
      <c r="AK1170" s="176"/>
      <c r="AL1170" s="176"/>
      <c r="AM1170" s="176"/>
      <c r="AN1170" s="176"/>
      <c r="AO1170" s="176"/>
      <c r="AP1170" s="176"/>
      <c r="AQ1170" s="176"/>
      <c r="AR1170" s="176"/>
      <c r="AS1170" s="176"/>
      <c r="AT1170" s="176"/>
      <c r="AU1170" s="176"/>
      <c r="AV1170" s="176"/>
      <c r="AW1170" s="176"/>
      <c r="AX1170" s="176"/>
      <c r="AY1170" s="176"/>
      <c r="AZ1170" s="176"/>
      <c r="BA1170" s="176"/>
      <c r="BB1170" s="176"/>
      <c r="BC1170" s="176"/>
      <c r="BD1170" s="176"/>
      <c r="BE1170" s="176"/>
      <c r="BF1170" s="176"/>
      <c r="BG1170" s="176"/>
      <c r="BH1170" s="176"/>
      <c r="BI1170" s="176"/>
      <c r="BJ1170" s="176"/>
      <c r="BK1170" s="176"/>
      <c r="BL1170" s="176"/>
      <c r="BM1170" s="176"/>
      <c r="BN1170" s="176"/>
      <c r="BO1170" s="176"/>
      <c r="BP1170" s="176"/>
      <c r="BQ1170" s="176"/>
      <c r="BR1170" s="176"/>
      <c r="BS1170" s="176"/>
      <c r="BT1170" s="176"/>
      <c r="BU1170" s="176"/>
      <c r="BV1170" s="176"/>
      <c r="BW1170" s="176"/>
      <c r="BX1170" s="176"/>
      <c r="BY1170" s="191"/>
      <c r="BZ1170" s="191"/>
      <c r="CA1170" s="191"/>
      <c r="CC1170" s="182"/>
    </row>
    <row r="1171" spans="1:81" s="178" customFormat="1" ht="15.75" customHeight="1">
      <c r="A1171" s="226"/>
      <c r="B1171" s="227"/>
      <c r="C1171" s="227"/>
      <c r="D1171" s="227"/>
      <c r="E1171" s="227"/>
      <c r="F1171" s="227"/>
      <c r="G1171" s="229"/>
      <c r="H1171" s="229"/>
      <c r="I1171" s="175" t="s">
        <v>353</v>
      </c>
      <c r="J1171" s="175"/>
      <c r="K1171" s="175"/>
      <c r="L1171" s="175"/>
      <c r="M1171" s="176"/>
      <c r="N1171" s="176"/>
      <c r="O1171" s="176"/>
      <c r="P1171" s="176"/>
      <c r="Q1171" s="176"/>
      <c r="R1171" s="176"/>
      <c r="S1171" s="176"/>
      <c r="T1171" s="176"/>
      <c r="U1171" s="176"/>
      <c r="V1171" s="176"/>
      <c r="W1171" s="176"/>
      <c r="X1171" s="176"/>
      <c r="Y1171" s="176"/>
      <c r="Z1171" s="176"/>
      <c r="AA1171" s="176"/>
      <c r="AB1171" s="176"/>
      <c r="AC1171" s="176"/>
      <c r="AD1171" s="176"/>
      <c r="AE1171" s="176"/>
      <c r="AF1171" s="176"/>
      <c r="AG1171" s="176"/>
      <c r="AH1171" s="176"/>
      <c r="AI1171" s="176"/>
      <c r="AJ1171" s="176"/>
      <c r="AK1171" s="176"/>
      <c r="AL1171" s="176"/>
      <c r="AM1171" s="176"/>
      <c r="AN1171" s="176"/>
      <c r="AO1171" s="176"/>
      <c r="AP1171" s="176"/>
      <c r="AQ1171" s="176"/>
      <c r="AR1171" s="176"/>
      <c r="AS1171" s="176"/>
      <c r="AT1171" s="176"/>
      <c r="AU1171" s="176"/>
      <c r="AV1171" s="176"/>
      <c r="AW1171" s="176"/>
      <c r="AX1171" s="176"/>
      <c r="AY1171" s="176"/>
      <c r="AZ1171" s="176"/>
      <c r="BA1171" s="176"/>
      <c r="BB1171" s="176"/>
      <c r="BC1171" s="176"/>
      <c r="BD1171" s="176"/>
      <c r="BE1171" s="176"/>
      <c r="BF1171" s="176"/>
      <c r="BG1171" s="176"/>
      <c r="BH1171" s="176"/>
      <c r="BI1171" s="176"/>
      <c r="BJ1171" s="176"/>
      <c r="BK1171" s="176"/>
      <c r="BL1171" s="176"/>
      <c r="BM1171" s="176"/>
      <c r="BN1171" s="176"/>
      <c r="BO1171" s="176"/>
      <c r="BP1171" s="176"/>
      <c r="BQ1171" s="176"/>
      <c r="BR1171" s="176"/>
      <c r="BS1171" s="176"/>
      <c r="BT1171" s="176"/>
      <c r="BU1171" s="176"/>
      <c r="BV1171" s="176"/>
      <c r="BW1171" s="176"/>
      <c r="BX1171" s="176"/>
      <c r="BY1171" s="191"/>
      <c r="BZ1171" s="191"/>
      <c r="CA1171" s="191"/>
      <c r="CC1171" s="182"/>
    </row>
    <row r="1172" spans="1:81" s="178" customFormat="1" ht="15.75" customHeight="1">
      <c r="A1172" s="226"/>
      <c r="B1172" s="227"/>
      <c r="C1172" s="227"/>
      <c r="D1172" s="227"/>
      <c r="E1172" s="227"/>
      <c r="F1172" s="227"/>
      <c r="G1172" s="229"/>
      <c r="H1172" s="229"/>
      <c r="I1172" s="175" t="s">
        <v>354</v>
      </c>
      <c r="J1172" s="175"/>
      <c r="K1172" s="175"/>
      <c r="L1172" s="175"/>
      <c r="M1172" s="176"/>
      <c r="N1172" s="176"/>
      <c r="O1172" s="176"/>
      <c r="P1172" s="176"/>
      <c r="Q1172" s="176"/>
      <c r="R1172" s="176"/>
      <c r="S1172" s="176"/>
      <c r="T1172" s="176"/>
      <c r="U1172" s="176"/>
      <c r="V1172" s="176"/>
      <c r="W1172" s="176"/>
      <c r="X1172" s="176"/>
      <c r="Y1172" s="176"/>
      <c r="Z1172" s="176"/>
      <c r="AA1172" s="176"/>
      <c r="AB1172" s="176"/>
      <c r="AC1172" s="176"/>
      <c r="AD1172" s="176"/>
      <c r="AE1172" s="176"/>
      <c r="AF1172" s="176"/>
      <c r="AG1172" s="176"/>
      <c r="AH1172" s="176"/>
      <c r="AI1172" s="176"/>
      <c r="AJ1172" s="176"/>
      <c r="AK1172" s="176"/>
      <c r="AL1172" s="176"/>
      <c r="AM1172" s="176"/>
      <c r="AN1172" s="176"/>
      <c r="AO1172" s="176"/>
      <c r="AP1172" s="176"/>
      <c r="AQ1172" s="176"/>
      <c r="AR1172" s="176"/>
      <c r="AS1172" s="176"/>
      <c r="AT1172" s="176"/>
      <c r="AU1172" s="176"/>
      <c r="AV1172" s="176"/>
      <c r="AW1172" s="176"/>
      <c r="AX1172" s="176"/>
      <c r="AY1172" s="176"/>
      <c r="AZ1172" s="176"/>
      <c r="BA1172" s="176"/>
      <c r="BB1172" s="176"/>
      <c r="BC1172" s="176"/>
      <c r="BD1172" s="176"/>
      <c r="BE1172" s="176"/>
      <c r="BF1172" s="176"/>
      <c r="BG1172" s="176"/>
      <c r="BH1172" s="176"/>
      <c r="BI1172" s="176"/>
      <c r="BJ1172" s="176"/>
      <c r="BK1172" s="176"/>
      <c r="BL1172" s="176"/>
      <c r="BM1172" s="176"/>
      <c r="BN1172" s="176"/>
      <c r="BO1172" s="176"/>
      <c r="BP1172" s="176"/>
      <c r="BQ1172" s="176"/>
      <c r="BR1172" s="176"/>
      <c r="BS1172" s="176"/>
      <c r="BT1172" s="176"/>
      <c r="BU1172" s="176"/>
      <c r="BV1172" s="176"/>
      <c r="BW1172" s="176"/>
      <c r="BX1172" s="176"/>
      <c r="BY1172" s="191"/>
      <c r="BZ1172" s="191"/>
      <c r="CA1172" s="191"/>
      <c r="CC1172" s="182"/>
    </row>
    <row r="1173" spans="1:81" s="178" customFormat="1" ht="15.75" customHeight="1">
      <c r="A1173" s="226"/>
      <c r="B1173" s="227"/>
      <c r="C1173" s="227"/>
      <c r="D1173" s="227"/>
      <c r="E1173" s="227"/>
      <c r="F1173" s="227"/>
      <c r="G1173" s="229"/>
      <c r="H1173" s="229"/>
      <c r="I1173" s="175" t="s">
        <v>357</v>
      </c>
      <c r="J1173" s="175"/>
      <c r="K1173" s="175"/>
      <c r="L1173" s="175"/>
      <c r="M1173" s="176"/>
      <c r="N1173" s="176"/>
      <c r="O1173" s="176"/>
      <c r="P1173" s="176"/>
      <c r="Q1173" s="176"/>
      <c r="R1173" s="176"/>
      <c r="S1173" s="176"/>
      <c r="T1173" s="176"/>
      <c r="U1173" s="176"/>
      <c r="V1173" s="176"/>
      <c r="W1173" s="176"/>
      <c r="X1173" s="176"/>
      <c r="Y1173" s="176"/>
      <c r="Z1173" s="176"/>
      <c r="AA1173" s="176"/>
      <c r="AB1173" s="176"/>
      <c r="AC1173" s="176"/>
      <c r="AD1173" s="176"/>
      <c r="AE1173" s="176"/>
      <c r="AF1173" s="176"/>
      <c r="AG1173" s="176"/>
      <c r="AH1173" s="176"/>
      <c r="AI1173" s="176"/>
      <c r="AJ1173" s="176"/>
      <c r="AK1173" s="176"/>
      <c r="AL1173" s="176"/>
      <c r="AM1173" s="176"/>
      <c r="AN1173" s="176"/>
      <c r="AO1173" s="176"/>
      <c r="AP1173" s="176"/>
      <c r="AQ1173" s="176"/>
      <c r="AR1173" s="176"/>
      <c r="AS1173" s="176"/>
      <c r="AT1173" s="176"/>
      <c r="AU1173" s="176"/>
      <c r="AV1173" s="176"/>
      <c r="AW1173" s="176"/>
      <c r="AX1173" s="176"/>
      <c r="AY1173" s="176"/>
      <c r="AZ1173" s="176"/>
      <c r="BA1173" s="176"/>
      <c r="BB1173" s="176"/>
      <c r="BC1173" s="176"/>
      <c r="BD1173" s="176"/>
      <c r="BE1173" s="176"/>
      <c r="BF1173" s="176"/>
      <c r="BG1173" s="176"/>
      <c r="BH1173" s="176"/>
      <c r="BI1173" s="176"/>
      <c r="BJ1173" s="176"/>
      <c r="BK1173" s="176"/>
      <c r="BL1173" s="176"/>
      <c r="BM1173" s="176"/>
      <c r="BN1173" s="176"/>
      <c r="BO1173" s="176"/>
      <c r="BP1173" s="176"/>
      <c r="BQ1173" s="176"/>
      <c r="BR1173" s="176"/>
      <c r="BS1173" s="176"/>
      <c r="BT1173" s="176"/>
      <c r="BU1173" s="176"/>
      <c r="BV1173" s="176">
        <f>169.6+102.86</f>
        <v>272.45999999999998</v>
      </c>
      <c r="BW1173" s="176">
        <f>639.6+320</f>
        <v>959.6</v>
      </c>
      <c r="BX1173" s="176"/>
      <c r="BY1173" s="191"/>
      <c r="BZ1173" s="191"/>
      <c r="CA1173" s="191"/>
      <c r="CC1173" s="182"/>
    </row>
    <row r="1174" spans="1:81" s="178" customFormat="1" ht="15.75" customHeight="1">
      <c r="A1174" s="226"/>
      <c r="B1174" s="227"/>
      <c r="C1174" s="227"/>
      <c r="D1174" s="227"/>
      <c r="E1174" s="227"/>
      <c r="F1174" s="227"/>
      <c r="G1174" s="229"/>
      <c r="H1174" s="229"/>
      <c r="I1174" s="175" t="s">
        <v>355</v>
      </c>
      <c r="J1174" s="175"/>
      <c r="K1174" s="175"/>
      <c r="L1174" s="175"/>
      <c r="M1174" s="176"/>
      <c r="N1174" s="176"/>
      <c r="O1174" s="176"/>
      <c r="P1174" s="176"/>
      <c r="Q1174" s="176"/>
      <c r="R1174" s="176"/>
      <c r="S1174" s="176"/>
      <c r="T1174" s="176"/>
      <c r="U1174" s="176"/>
      <c r="V1174" s="176"/>
      <c r="W1174" s="176"/>
      <c r="X1174" s="176"/>
      <c r="Y1174" s="176"/>
      <c r="Z1174" s="176"/>
      <c r="AA1174" s="176"/>
      <c r="AB1174" s="176"/>
      <c r="AC1174" s="176"/>
      <c r="AD1174" s="176"/>
      <c r="AE1174" s="176"/>
      <c r="AF1174" s="176"/>
      <c r="AG1174" s="176"/>
      <c r="AH1174" s="176"/>
      <c r="AI1174" s="176"/>
      <c r="AJ1174" s="176"/>
      <c r="AK1174" s="176"/>
      <c r="AL1174" s="176"/>
      <c r="AM1174" s="176"/>
      <c r="AN1174" s="176"/>
      <c r="AO1174" s="176"/>
      <c r="AP1174" s="176"/>
      <c r="AQ1174" s="176"/>
      <c r="AR1174" s="176"/>
      <c r="AS1174" s="176"/>
      <c r="AT1174" s="176"/>
      <c r="AU1174" s="176"/>
      <c r="AV1174" s="176"/>
      <c r="AW1174" s="176"/>
      <c r="AX1174" s="176"/>
      <c r="AY1174" s="176"/>
      <c r="AZ1174" s="176"/>
      <c r="BA1174" s="176"/>
      <c r="BB1174" s="176"/>
      <c r="BC1174" s="176"/>
      <c r="BD1174" s="176"/>
      <c r="BE1174" s="176"/>
      <c r="BF1174" s="176"/>
      <c r="BG1174" s="176"/>
      <c r="BH1174" s="176"/>
      <c r="BI1174" s="176"/>
      <c r="BJ1174" s="176"/>
      <c r="BK1174" s="176"/>
      <c r="BL1174" s="212"/>
      <c r="BM1174" s="212"/>
      <c r="BN1174" s="212"/>
      <c r="BO1174" s="212"/>
      <c r="BP1174" s="212"/>
      <c r="BQ1174" s="212"/>
      <c r="BR1174" s="212"/>
      <c r="BS1174" s="212"/>
      <c r="BT1174" s="212"/>
      <c r="BU1174" s="212"/>
      <c r="BV1174" s="212"/>
      <c r="BW1174" s="212"/>
      <c r="BX1174" s="176"/>
      <c r="BY1174" s="191"/>
      <c r="BZ1174" s="191"/>
      <c r="CA1174" s="191"/>
      <c r="CC1174" s="182"/>
    </row>
    <row r="1175" spans="1:81" s="178" customFormat="1" ht="15.75" customHeight="1">
      <c r="A1175" s="226"/>
      <c r="B1175" s="227"/>
      <c r="C1175" s="227"/>
      <c r="D1175" s="227"/>
      <c r="E1175" s="227"/>
      <c r="F1175" s="227"/>
      <c r="G1175" s="229"/>
      <c r="H1175" s="229"/>
      <c r="I1175" s="184" t="s">
        <v>362</v>
      </c>
      <c r="J1175" s="175"/>
      <c r="K1175" s="175"/>
      <c r="L1175" s="175"/>
      <c r="M1175" s="176"/>
      <c r="N1175" s="176"/>
      <c r="O1175" s="176"/>
      <c r="P1175" s="176"/>
      <c r="Q1175" s="176"/>
      <c r="R1175" s="176"/>
      <c r="S1175" s="176"/>
      <c r="T1175" s="176"/>
      <c r="U1175" s="176"/>
      <c r="V1175" s="176"/>
      <c r="W1175" s="176"/>
      <c r="X1175" s="176"/>
      <c r="Y1175" s="176"/>
      <c r="Z1175" s="176"/>
      <c r="AA1175" s="176"/>
      <c r="AB1175" s="176"/>
      <c r="AC1175" s="176"/>
      <c r="AD1175" s="176"/>
      <c r="AE1175" s="176"/>
      <c r="AF1175" s="176"/>
      <c r="AG1175" s="176"/>
      <c r="AH1175" s="176"/>
      <c r="AI1175" s="176"/>
      <c r="AJ1175" s="176"/>
      <c r="AK1175" s="176"/>
      <c r="AL1175" s="176"/>
      <c r="AM1175" s="176"/>
      <c r="AN1175" s="176"/>
      <c r="AO1175" s="176"/>
      <c r="AP1175" s="176"/>
      <c r="AQ1175" s="176"/>
      <c r="AR1175" s="176"/>
      <c r="AS1175" s="176"/>
      <c r="AT1175" s="176"/>
      <c r="AU1175" s="176"/>
      <c r="AV1175" s="176"/>
      <c r="AW1175" s="176"/>
      <c r="AX1175" s="176"/>
      <c r="AY1175" s="176"/>
      <c r="AZ1175" s="176"/>
      <c r="BA1175" s="176"/>
      <c r="BB1175" s="176"/>
      <c r="BC1175" s="176"/>
      <c r="BD1175" s="176"/>
      <c r="BE1175" s="176"/>
      <c r="BF1175" s="176"/>
      <c r="BG1175" s="176"/>
      <c r="BH1175" s="176"/>
      <c r="BI1175" s="176"/>
      <c r="BJ1175" s="176"/>
      <c r="BK1175" s="176"/>
      <c r="BL1175" s="176"/>
      <c r="BM1175" s="176"/>
      <c r="BN1175" s="176"/>
      <c r="BO1175" s="176"/>
      <c r="BP1175" s="176"/>
      <c r="BQ1175" s="176"/>
      <c r="BR1175" s="176"/>
      <c r="BS1175" s="176"/>
      <c r="BT1175" s="176"/>
      <c r="BU1175" s="176"/>
      <c r="BV1175" s="176"/>
      <c r="BW1175" s="176"/>
      <c r="BX1175" s="176"/>
      <c r="BY1175" s="191"/>
      <c r="BZ1175" s="191"/>
      <c r="CA1175" s="191"/>
      <c r="CC1175" s="182"/>
    </row>
    <row r="1176" spans="1:81" s="178" customFormat="1">
      <c r="A1176" s="226"/>
      <c r="B1176" s="227"/>
      <c r="C1176" s="227"/>
      <c r="D1176" s="227"/>
      <c r="E1176" s="227"/>
      <c r="F1176" s="227"/>
      <c r="G1176" s="229"/>
      <c r="H1176" s="229"/>
      <c r="I1176" s="190" t="s">
        <v>363</v>
      </c>
      <c r="J1176" s="190"/>
      <c r="K1176" s="190"/>
      <c r="L1176" s="190"/>
      <c r="M1176" s="176"/>
      <c r="N1176" s="176"/>
      <c r="O1176" s="176"/>
      <c r="P1176" s="176"/>
      <c r="Q1176" s="176"/>
      <c r="R1176" s="176"/>
      <c r="S1176" s="176"/>
      <c r="T1176" s="176"/>
      <c r="U1176" s="176"/>
      <c r="V1176" s="176"/>
      <c r="W1176" s="176"/>
      <c r="X1176" s="176"/>
      <c r="Y1176" s="176"/>
      <c r="Z1176" s="176"/>
      <c r="AA1176" s="176"/>
      <c r="AB1176" s="176"/>
      <c r="AC1176" s="176"/>
      <c r="AD1176" s="176"/>
      <c r="AE1176" s="176"/>
      <c r="AF1176" s="176"/>
      <c r="AG1176" s="176"/>
      <c r="AH1176" s="176"/>
      <c r="AI1176" s="176"/>
      <c r="AJ1176" s="176"/>
      <c r="AK1176" s="176"/>
      <c r="AL1176" s="176"/>
      <c r="AM1176" s="176"/>
      <c r="AN1176" s="176"/>
      <c r="AO1176" s="176"/>
      <c r="AP1176" s="176"/>
      <c r="AQ1176" s="176"/>
      <c r="AR1176" s="176"/>
      <c r="AS1176" s="176"/>
      <c r="AT1176" s="176"/>
      <c r="AU1176" s="176"/>
      <c r="AV1176" s="176"/>
      <c r="AW1176" s="176"/>
      <c r="AX1176" s="176"/>
      <c r="AY1176" s="176"/>
      <c r="AZ1176" s="176"/>
      <c r="BA1176" s="176"/>
      <c r="BB1176" s="176"/>
      <c r="BC1176" s="176"/>
      <c r="BD1176" s="176"/>
      <c r="BE1176" s="176"/>
      <c r="BF1176" s="176"/>
      <c r="BG1176" s="176"/>
      <c r="BH1176" s="176"/>
      <c r="BI1176" s="176"/>
      <c r="BJ1176" s="176"/>
      <c r="BK1176" s="176"/>
      <c r="BL1176" s="176"/>
      <c r="BM1176" s="176"/>
      <c r="BN1176" s="176"/>
      <c r="BO1176" s="176"/>
      <c r="BP1176" s="176"/>
      <c r="BQ1176" s="176"/>
      <c r="BR1176" s="176"/>
      <c r="BS1176" s="176"/>
      <c r="BT1176" s="176"/>
      <c r="BU1176" s="176"/>
      <c r="BV1176" s="176"/>
      <c r="BW1176" s="176"/>
      <c r="BX1176" s="176"/>
      <c r="BY1176" s="191"/>
      <c r="BZ1176" s="191"/>
    </row>
    <row r="1177" spans="1:81" s="178" customFormat="1">
      <c r="A1177" s="226"/>
      <c r="B1177" s="227"/>
      <c r="C1177" s="227"/>
      <c r="D1177" s="227"/>
      <c r="E1177" s="227"/>
      <c r="F1177" s="227"/>
      <c r="G1177" s="229"/>
      <c r="H1177" s="229"/>
      <c r="I1177" s="193" t="s">
        <v>373</v>
      </c>
      <c r="J1177" s="193"/>
      <c r="K1177" s="193"/>
      <c r="L1177" s="193"/>
      <c r="M1177" s="176"/>
      <c r="N1177" s="176"/>
      <c r="O1177" s="176"/>
      <c r="P1177" s="176"/>
      <c r="Q1177" s="176"/>
      <c r="R1177" s="176"/>
      <c r="S1177" s="176"/>
      <c r="T1177" s="176"/>
      <c r="U1177" s="176"/>
      <c r="V1177" s="176"/>
      <c r="W1177" s="176"/>
      <c r="X1177" s="176"/>
      <c r="Y1177" s="176"/>
      <c r="Z1177" s="176"/>
      <c r="AA1177" s="176"/>
      <c r="AB1177" s="176"/>
      <c r="AC1177" s="176"/>
      <c r="AD1177" s="176"/>
      <c r="AE1177" s="176"/>
      <c r="AF1177" s="176"/>
      <c r="AG1177" s="176"/>
      <c r="AH1177" s="176"/>
      <c r="AI1177" s="176"/>
      <c r="AJ1177" s="176"/>
      <c r="AK1177" s="176"/>
      <c r="AL1177" s="176"/>
      <c r="AM1177" s="176"/>
      <c r="AN1177" s="176"/>
      <c r="AO1177" s="176"/>
      <c r="AP1177" s="176"/>
      <c r="AQ1177" s="176"/>
      <c r="AR1177" s="176"/>
      <c r="AS1177" s="176"/>
      <c r="AT1177" s="176"/>
      <c r="AU1177" s="176"/>
      <c r="AV1177" s="176"/>
      <c r="AW1177" s="176"/>
      <c r="AX1177" s="176"/>
      <c r="AY1177" s="176"/>
      <c r="AZ1177" s="176"/>
      <c r="BA1177" s="176"/>
      <c r="BB1177" s="176"/>
      <c r="BC1177" s="176"/>
      <c r="BD1177" s="176"/>
      <c r="BE1177" s="176"/>
      <c r="BF1177" s="176"/>
      <c r="BG1177" s="176"/>
      <c r="BH1177" s="176"/>
      <c r="BI1177" s="176"/>
      <c r="BJ1177" s="176"/>
      <c r="BK1177" s="176"/>
      <c r="BL1177" s="176"/>
      <c r="BM1177" s="176"/>
      <c r="BN1177" s="176"/>
      <c r="BO1177" s="176"/>
      <c r="BP1177" s="176"/>
      <c r="BQ1177" s="176"/>
      <c r="BR1177" s="176"/>
      <c r="BS1177" s="176"/>
      <c r="BT1177" s="176"/>
      <c r="BU1177" s="176"/>
      <c r="BV1177" s="176">
        <v>91.56</v>
      </c>
      <c r="BW1177" s="176">
        <f>1101.59-739.92</f>
        <v>361.66999999999996</v>
      </c>
      <c r="BX1177" s="176"/>
      <c r="BY1177" s="191"/>
      <c r="BZ1177" s="191"/>
    </row>
    <row r="1178" spans="1:81" s="178" customFormat="1" ht="13.9" customHeight="1">
      <c r="A1178" s="226"/>
      <c r="B1178" s="227"/>
      <c r="C1178" s="227"/>
      <c r="D1178" s="227"/>
      <c r="E1178" s="227"/>
      <c r="F1178" s="227"/>
      <c r="G1178" s="229"/>
      <c r="H1178" s="229"/>
      <c r="I1178" s="190"/>
      <c r="J1178" s="176">
        <f>SUM(J1167:J1176)-J1177</f>
        <v>0</v>
      </c>
      <c r="K1178" s="176">
        <f t="shared" ref="K1178:Y1178" si="566">SUM(K1167:K1176)-K1177</f>
        <v>0</v>
      </c>
      <c r="L1178" s="176">
        <f t="shared" si="566"/>
        <v>0</v>
      </c>
      <c r="M1178" s="176">
        <f t="shared" si="566"/>
        <v>0</v>
      </c>
      <c r="N1178" s="176">
        <f t="shared" si="566"/>
        <v>0</v>
      </c>
      <c r="O1178" s="176">
        <f t="shared" si="566"/>
        <v>0</v>
      </c>
      <c r="P1178" s="176">
        <f t="shared" si="566"/>
        <v>0</v>
      </c>
      <c r="Q1178" s="176">
        <f t="shared" si="566"/>
        <v>0</v>
      </c>
      <c r="R1178" s="176">
        <f t="shared" si="566"/>
        <v>0</v>
      </c>
      <c r="S1178" s="176">
        <f t="shared" si="566"/>
        <v>0</v>
      </c>
      <c r="T1178" s="176">
        <f t="shared" si="566"/>
        <v>0</v>
      </c>
      <c r="U1178" s="176">
        <f t="shared" si="566"/>
        <v>0</v>
      </c>
      <c r="V1178" s="176">
        <f t="shared" si="566"/>
        <v>0</v>
      </c>
      <c r="W1178" s="176">
        <f t="shared" si="566"/>
        <v>0</v>
      </c>
      <c r="X1178" s="176">
        <f t="shared" si="566"/>
        <v>0</v>
      </c>
      <c r="Y1178" s="176">
        <f t="shared" si="566"/>
        <v>0</v>
      </c>
      <c r="Z1178" s="176">
        <f>SUM(Z1167:Z1176)-Z1177</f>
        <v>0</v>
      </c>
      <c r="AA1178" s="176">
        <f t="shared" ref="AA1178:AD1178" si="567">SUM(AA1167:AA1176)-AA1177</f>
        <v>0</v>
      </c>
      <c r="AB1178" s="176">
        <f t="shared" si="567"/>
        <v>0</v>
      </c>
      <c r="AC1178" s="176">
        <f t="shared" si="567"/>
        <v>0</v>
      </c>
      <c r="AD1178" s="176">
        <f t="shared" si="567"/>
        <v>0</v>
      </c>
      <c r="AE1178" s="176">
        <f>SUM(AE1167:AE1176)-AE1177</f>
        <v>0</v>
      </c>
      <c r="AF1178" s="176">
        <f>SUM(AF1167:AF1176)-AF1177</f>
        <v>0</v>
      </c>
      <c r="AG1178" s="176">
        <f t="shared" ref="AG1178:AU1178" si="568">SUM(AG1167:AG1176)-AG1177</f>
        <v>0</v>
      </c>
      <c r="AH1178" s="176">
        <f t="shared" si="568"/>
        <v>0</v>
      </c>
      <c r="AI1178" s="176">
        <f t="shared" si="568"/>
        <v>0</v>
      </c>
      <c r="AJ1178" s="176">
        <f t="shared" si="568"/>
        <v>0</v>
      </c>
      <c r="AK1178" s="176">
        <f t="shared" si="568"/>
        <v>0</v>
      </c>
      <c r="AL1178" s="176">
        <f t="shared" si="568"/>
        <v>0</v>
      </c>
      <c r="AM1178" s="176">
        <f t="shared" si="568"/>
        <v>0</v>
      </c>
      <c r="AN1178" s="176">
        <f t="shared" si="568"/>
        <v>0</v>
      </c>
      <c r="AO1178" s="176">
        <f t="shared" si="568"/>
        <v>0</v>
      </c>
      <c r="AP1178" s="176">
        <f t="shared" si="568"/>
        <v>0</v>
      </c>
      <c r="AQ1178" s="176">
        <f t="shared" si="568"/>
        <v>0</v>
      </c>
      <c r="AR1178" s="176">
        <f t="shared" si="568"/>
        <v>0</v>
      </c>
      <c r="AS1178" s="176">
        <f t="shared" si="568"/>
        <v>0</v>
      </c>
      <c r="AT1178" s="176">
        <f t="shared" si="568"/>
        <v>0</v>
      </c>
      <c r="AU1178" s="176">
        <f t="shared" si="568"/>
        <v>0</v>
      </c>
      <c r="AV1178" s="176">
        <f>SUM(AV1167:AV1176)-AV1177</f>
        <v>0</v>
      </c>
      <c r="AW1178" s="176">
        <f t="shared" ref="AW1178:BA1178" si="569">SUM(AW1167:AW1176)-AW1177</f>
        <v>0</v>
      </c>
      <c r="AX1178" s="176">
        <f t="shared" si="569"/>
        <v>0</v>
      </c>
      <c r="AY1178" s="176">
        <f t="shared" si="569"/>
        <v>0</v>
      </c>
      <c r="AZ1178" s="176">
        <f t="shared" si="569"/>
        <v>0</v>
      </c>
      <c r="BA1178" s="176">
        <f t="shared" si="569"/>
        <v>0</v>
      </c>
      <c r="BB1178" s="176"/>
      <c r="BC1178" s="176"/>
      <c r="BD1178" s="176"/>
      <c r="BE1178" s="176"/>
      <c r="BF1178" s="176"/>
      <c r="BG1178" s="176"/>
      <c r="BH1178" s="176"/>
      <c r="BI1178" s="176"/>
      <c r="BJ1178" s="176"/>
      <c r="BK1178" s="176"/>
      <c r="BL1178" s="176"/>
      <c r="BM1178" s="176"/>
      <c r="BN1178" s="176"/>
      <c r="BO1178" s="176"/>
      <c r="BP1178" s="176"/>
      <c r="BQ1178" s="176"/>
      <c r="BR1178" s="176"/>
      <c r="BS1178" s="176"/>
      <c r="BT1178" s="176"/>
      <c r="BU1178" s="176"/>
      <c r="BV1178" s="176">
        <f>BV1168+BV1173-BV1177</f>
        <v>859.16000000000008</v>
      </c>
      <c r="BW1178" s="176">
        <f>BW1168+BW1173-BW1177</f>
        <v>2447.7399999999998</v>
      </c>
      <c r="BX1178" s="176">
        <f>SUM(BV1178:BW1178)</f>
        <v>3306.8999999999996</v>
      </c>
      <c r="BY1178" s="191"/>
      <c r="BZ1178" s="191"/>
    </row>
    <row r="1179" spans="1:81" ht="15.6" customHeight="1">
      <c r="A1179" s="148" t="s">
        <v>346</v>
      </c>
      <c r="B1179" s="148" t="s">
        <v>347</v>
      </c>
      <c r="C1179" s="145" t="s">
        <v>310</v>
      </c>
      <c r="D1179" s="145" t="s">
        <v>311</v>
      </c>
      <c r="E1179" s="148" t="s">
        <v>312</v>
      </c>
      <c r="F1179" s="148" t="s">
        <v>348</v>
      </c>
      <c r="G1179" s="145" t="s">
        <v>314</v>
      </c>
      <c r="H1179" s="145" t="s">
        <v>315</v>
      </c>
      <c r="I1179" s="145" t="s">
        <v>349</v>
      </c>
      <c r="J1179" s="146">
        <v>44105</v>
      </c>
      <c r="K1179" s="146">
        <v>44136</v>
      </c>
      <c r="L1179" s="146">
        <v>44166</v>
      </c>
      <c r="M1179" s="146">
        <v>44197</v>
      </c>
      <c r="N1179" s="146">
        <v>44228</v>
      </c>
      <c r="O1179" s="146">
        <v>44256</v>
      </c>
      <c r="P1179" s="146">
        <v>44287</v>
      </c>
      <c r="Q1179" s="146">
        <v>44317</v>
      </c>
      <c r="R1179" s="146">
        <v>44348</v>
      </c>
      <c r="S1179" s="146">
        <v>44378</v>
      </c>
      <c r="T1179" s="146">
        <v>44409</v>
      </c>
      <c r="U1179" s="146">
        <v>44440</v>
      </c>
      <c r="V1179" s="146">
        <v>44470</v>
      </c>
      <c r="W1179" s="146">
        <v>44501</v>
      </c>
      <c r="X1179" s="146">
        <v>44531</v>
      </c>
      <c r="Y1179" s="146">
        <v>44562</v>
      </c>
      <c r="Z1179" s="146">
        <v>44593</v>
      </c>
      <c r="AA1179" s="146">
        <v>44621</v>
      </c>
      <c r="AB1179" s="146">
        <v>44652</v>
      </c>
      <c r="AC1179" s="146">
        <v>44682</v>
      </c>
      <c r="AD1179" s="146">
        <v>44713</v>
      </c>
      <c r="AE1179" s="146">
        <v>44743</v>
      </c>
      <c r="AF1179" s="146">
        <v>44774</v>
      </c>
      <c r="AG1179" s="146">
        <v>44805</v>
      </c>
      <c r="AH1179" s="146">
        <v>44835</v>
      </c>
      <c r="AI1179" s="146">
        <v>44866</v>
      </c>
      <c r="AJ1179" s="146">
        <v>44896</v>
      </c>
      <c r="AK1179" s="146">
        <v>44927</v>
      </c>
      <c r="AL1179" s="146">
        <v>44958</v>
      </c>
      <c r="AM1179" s="146">
        <v>44986</v>
      </c>
      <c r="AN1179" s="146">
        <v>45017</v>
      </c>
      <c r="AO1179" s="146">
        <v>45047</v>
      </c>
      <c r="AP1179" s="146">
        <v>45078</v>
      </c>
      <c r="AQ1179" s="146">
        <v>45108</v>
      </c>
      <c r="AR1179" s="146">
        <v>45139</v>
      </c>
      <c r="AS1179" s="146">
        <v>45170</v>
      </c>
      <c r="AT1179" s="146">
        <v>45200</v>
      </c>
      <c r="AU1179" s="146">
        <v>45231</v>
      </c>
      <c r="AV1179" s="146">
        <v>45261</v>
      </c>
      <c r="AW1179" s="146">
        <v>45292</v>
      </c>
      <c r="AX1179" s="146">
        <v>45323</v>
      </c>
      <c r="AY1179" s="146">
        <v>45352</v>
      </c>
      <c r="AZ1179" s="146">
        <v>45383</v>
      </c>
      <c r="BA1179" s="146">
        <v>45413</v>
      </c>
      <c r="BB1179" s="146">
        <v>45444</v>
      </c>
      <c r="BC1179" s="146">
        <v>45474</v>
      </c>
      <c r="BD1179" s="146">
        <v>45505</v>
      </c>
      <c r="BE1179" s="146">
        <v>45536</v>
      </c>
      <c r="BF1179" s="146">
        <v>45566</v>
      </c>
      <c r="BG1179" s="146">
        <v>45597</v>
      </c>
      <c r="BH1179" s="146">
        <v>45627</v>
      </c>
      <c r="BI1179" s="146">
        <v>45658</v>
      </c>
      <c r="BJ1179" s="146">
        <v>45689</v>
      </c>
      <c r="BK1179" s="146">
        <v>45717</v>
      </c>
      <c r="BL1179" s="146">
        <v>45748</v>
      </c>
      <c r="BM1179" s="146">
        <v>45778</v>
      </c>
      <c r="BN1179" s="146"/>
      <c r="BO1179" s="146"/>
      <c r="BP1179" s="146"/>
      <c r="BQ1179" s="146"/>
      <c r="BR1179" s="146"/>
      <c r="BS1179" s="146"/>
      <c r="BT1179" s="146">
        <v>45992</v>
      </c>
      <c r="BU1179" s="146">
        <v>46023</v>
      </c>
      <c r="BV1179" s="146">
        <v>46054</v>
      </c>
      <c r="BW1179" s="146">
        <v>46082</v>
      </c>
      <c r="BX1179" s="147" t="s">
        <v>13</v>
      </c>
      <c r="BY1179" s="5"/>
      <c r="BZ1179" s="5"/>
      <c r="CA1179" s="5"/>
    </row>
    <row r="1180" spans="1:81" s="178" customFormat="1" ht="15.75" customHeight="1">
      <c r="A1180" s="226">
        <v>74</v>
      </c>
      <c r="B1180" s="227" t="s">
        <v>411</v>
      </c>
      <c r="C1180" s="227" t="s">
        <v>23</v>
      </c>
      <c r="D1180" s="227" t="s">
        <v>89</v>
      </c>
      <c r="E1180" s="227" t="s">
        <v>150</v>
      </c>
      <c r="F1180" s="227" t="s">
        <v>150</v>
      </c>
      <c r="G1180" s="228">
        <v>46073</v>
      </c>
      <c r="H1180" s="228"/>
      <c r="I1180" s="175" t="s">
        <v>390</v>
      </c>
      <c r="J1180" s="175"/>
      <c r="K1180" s="175"/>
      <c r="L1180" s="175"/>
      <c r="M1180" s="176"/>
      <c r="N1180" s="176"/>
      <c r="O1180" s="176"/>
      <c r="P1180" s="176"/>
      <c r="Q1180" s="176"/>
      <c r="R1180" s="176"/>
      <c r="S1180" s="176"/>
      <c r="T1180" s="176"/>
      <c r="U1180" s="176"/>
      <c r="V1180" s="176"/>
      <c r="W1180" s="176"/>
      <c r="X1180" s="176"/>
      <c r="Y1180" s="176"/>
      <c r="Z1180" s="176"/>
      <c r="AA1180" s="176"/>
      <c r="AB1180" s="176"/>
      <c r="AC1180" s="176"/>
      <c r="AD1180" s="176"/>
      <c r="AE1180" s="176"/>
      <c r="AF1180" s="176"/>
      <c r="AG1180" s="176"/>
      <c r="AH1180" s="176"/>
      <c r="AI1180" s="176"/>
      <c r="AJ1180" s="176"/>
      <c r="AK1180" s="176"/>
      <c r="AL1180" s="176"/>
      <c r="AM1180" s="176"/>
      <c r="AN1180" s="176"/>
      <c r="AO1180" s="176"/>
      <c r="AP1180" s="176"/>
      <c r="AQ1180" s="176"/>
      <c r="AR1180" s="176"/>
      <c r="AS1180" s="176"/>
      <c r="AT1180" s="176"/>
      <c r="AU1180" s="176"/>
      <c r="AV1180" s="176"/>
      <c r="AW1180" s="176"/>
      <c r="AX1180" s="176"/>
      <c r="AY1180" s="176"/>
      <c r="AZ1180" s="176"/>
      <c r="BA1180" s="176"/>
      <c r="BB1180" s="176"/>
      <c r="BC1180" s="176"/>
      <c r="BD1180" s="176"/>
      <c r="BE1180" s="176"/>
      <c r="BF1180" s="176"/>
      <c r="BG1180" s="176"/>
      <c r="BH1180" s="176"/>
      <c r="BI1180" s="176"/>
      <c r="BJ1180" s="176"/>
      <c r="BK1180" s="176"/>
      <c r="BL1180" s="176"/>
      <c r="BM1180" s="176"/>
      <c r="BN1180" s="176"/>
      <c r="BO1180" s="176"/>
      <c r="BP1180" s="176"/>
      <c r="BQ1180" s="176"/>
      <c r="BR1180" s="176"/>
      <c r="BS1180" s="176"/>
      <c r="BT1180" s="176"/>
      <c r="BU1180" s="176"/>
      <c r="BV1180" s="176"/>
      <c r="BW1180" s="176"/>
      <c r="BX1180" s="176"/>
      <c r="BY1180" s="191"/>
      <c r="BZ1180" s="191"/>
      <c r="CA1180" s="191"/>
      <c r="CC1180" s="182"/>
    </row>
    <row r="1181" spans="1:81" s="178" customFormat="1" ht="15.75" customHeight="1">
      <c r="A1181" s="226"/>
      <c r="B1181" s="227"/>
      <c r="C1181" s="227"/>
      <c r="D1181" s="227"/>
      <c r="E1181" s="227"/>
      <c r="F1181" s="227"/>
      <c r="G1181" s="229"/>
      <c r="H1181" s="229"/>
      <c r="I1181" s="175" t="s">
        <v>351</v>
      </c>
      <c r="J1181" s="175"/>
      <c r="K1181" s="175"/>
      <c r="L1181" s="175"/>
      <c r="M1181" s="176"/>
      <c r="N1181" s="176"/>
      <c r="O1181" s="176"/>
      <c r="P1181" s="176"/>
      <c r="Q1181" s="176"/>
      <c r="R1181" s="176"/>
      <c r="S1181" s="176"/>
      <c r="T1181" s="176"/>
      <c r="U1181" s="176"/>
      <c r="V1181" s="176"/>
      <c r="W1181" s="176"/>
      <c r="X1181" s="176"/>
      <c r="Y1181" s="176"/>
      <c r="Z1181" s="176"/>
      <c r="AA1181" s="176"/>
      <c r="AB1181" s="176"/>
      <c r="AC1181" s="176"/>
      <c r="AD1181" s="176"/>
      <c r="AE1181" s="176"/>
      <c r="AF1181" s="176"/>
      <c r="AG1181" s="176"/>
      <c r="AH1181" s="176"/>
      <c r="AI1181" s="176"/>
      <c r="AJ1181" s="176"/>
      <c r="AK1181" s="176"/>
      <c r="AL1181" s="176"/>
      <c r="AM1181" s="176"/>
      <c r="AN1181" s="176"/>
      <c r="AO1181" s="176"/>
      <c r="AP1181" s="176"/>
      <c r="AQ1181" s="176"/>
      <c r="AR1181" s="176"/>
      <c r="AS1181" s="176"/>
      <c r="AT1181" s="176"/>
      <c r="AU1181" s="176"/>
      <c r="AV1181" s="176"/>
      <c r="AW1181" s="176"/>
      <c r="AX1181" s="176"/>
      <c r="AY1181" s="176"/>
      <c r="AZ1181" s="176"/>
      <c r="BA1181" s="176"/>
      <c r="BB1181" s="176"/>
      <c r="BC1181" s="176"/>
      <c r="BD1181" s="176"/>
      <c r="BE1181" s="176"/>
      <c r="BF1181" s="176"/>
      <c r="BG1181" s="176"/>
      <c r="BH1181" s="176"/>
      <c r="BI1181" s="176"/>
      <c r="BJ1181" s="176"/>
      <c r="BK1181" s="176"/>
      <c r="BL1181" s="176"/>
      <c r="BM1181" s="176"/>
      <c r="BN1181" s="176"/>
      <c r="BO1181" s="176"/>
      <c r="BP1181" s="176"/>
      <c r="BQ1181" s="176"/>
      <c r="BR1181" s="176"/>
      <c r="BS1181" s="176"/>
      <c r="BT1181" s="176"/>
      <c r="BU1181" s="176"/>
      <c r="BV1181" s="176">
        <v>678.26</v>
      </c>
      <c r="BW1181" s="176">
        <v>1849.81</v>
      </c>
      <c r="BX1181" s="176"/>
      <c r="BY1181" s="191"/>
      <c r="BZ1181" s="191"/>
      <c r="CA1181" s="191"/>
      <c r="CC1181" s="182"/>
    </row>
    <row r="1182" spans="1:81" s="178" customFormat="1" ht="15.75" customHeight="1">
      <c r="A1182" s="226"/>
      <c r="B1182" s="227"/>
      <c r="C1182" s="227"/>
      <c r="D1182" s="227"/>
      <c r="E1182" s="227"/>
      <c r="F1182" s="227"/>
      <c r="G1182" s="229"/>
      <c r="H1182" s="229"/>
      <c r="I1182" s="175" t="s">
        <v>391</v>
      </c>
      <c r="J1182" s="175"/>
      <c r="K1182" s="175"/>
      <c r="L1182" s="175"/>
      <c r="M1182" s="176"/>
      <c r="N1182" s="176"/>
      <c r="O1182" s="176"/>
      <c r="P1182" s="176"/>
      <c r="Q1182" s="176"/>
      <c r="R1182" s="176"/>
      <c r="S1182" s="176"/>
      <c r="T1182" s="176"/>
      <c r="U1182" s="176"/>
      <c r="V1182" s="176"/>
      <c r="W1182" s="176"/>
      <c r="X1182" s="176"/>
      <c r="Y1182" s="177"/>
      <c r="Z1182" s="176"/>
      <c r="AA1182" s="176"/>
      <c r="AB1182" s="176"/>
      <c r="AC1182" s="176"/>
      <c r="AD1182" s="176"/>
      <c r="AE1182" s="176"/>
      <c r="AF1182" s="176"/>
      <c r="AG1182" s="176"/>
      <c r="AH1182" s="176"/>
      <c r="AI1182" s="176"/>
      <c r="AJ1182" s="176"/>
      <c r="AK1182" s="176"/>
      <c r="AL1182" s="176"/>
      <c r="AM1182" s="176"/>
      <c r="AN1182" s="176"/>
      <c r="AO1182" s="176"/>
      <c r="AP1182" s="176"/>
      <c r="AQ1182" s="176"/>
      <c r="AR1182" s="176"/>
      <c r="AS1182" s="176"/>
      <c r="AT1182" s="176"/>
      <c r="AU1182" s="176"/>
      <c r="AV1182" s="176"/>
      <c r="AW1182" s="176"/>
      <c r="AX1182" s="176"/>
      <c r="AY1182" s="176"/>
      <c r="AZ1182" s="176"/>
      <c r="BA1182" s="176"/>
      <c r="BB1182" s="176"/>
      <c r="BC1182" s="176"/>
      <c r="BD1182" s="176"/>
      <c r="BE1182" s="176"/>
      <c r="BF1182" s="176"/>
      <c r="BG1182" s="176"/>
      <c r="BH1182" s="176"/>
      <c r="BI1182" s="176"/>
      <c r="BJ1182" s="176"/>
      <c r="BK1182" s="176"/>
      <c r="BL1182" s="176"/>
      <c r="BM1182" s="176"/>
      <c r="BN1182" s="176"/>
      <c r="BO1182" s="176"/>
      <c r="BP1182" s="176"/>
      <c r="BQ1182" s="176"/>
      <c r="BR1182" s="176"/>
      <c r="BS1182" s="176"/>
      <c r="BT1182" s="176"/>
      <c r="BU1182" s="176"/>
      <c r="BV1182" s="176"/>
      <c r="BW1182" s="176"/>
      <c r="BX1182" s="176"/>
      <c r="BY1182" s="191"/>
      <c r="BZ1182" s="191"/>
      <c r="CA1182" s="191"/>
      <c r="CC1182" s="182"/>
    </row>
    <row r="1183" spans="1:81" s="178" customFormat="1" ht="15.75" customHeight="1">
      <c r="A1183" s="226"/>
      <c r="B1183" s="227"/>
      <c r="C1183" s="227"/>
      <c r="D1183" s="227"/>
      <c r="E1183" s="227"/>
      <c r="F1183" s="227"/>
      <c r="G1183" s="229"/>
      <c r="H1183" s="229"/>
      <c r="I1183" s="175" t="s">
        <v>351</v>
      </c>
      <c r="J1183" s="175"/>
      <c r="K1183" s="175"/>
      <c r="L1183" s="175"/>
      <c r="M1183" s="176"/>
      <c r="N1183" s="176"/>
      <c r="O1183" s="176"/>
      <c r="P1183" s="176"/>
      <c r="Q1183" s="176"/>
      <c r="R1183" s="176"/>
      <c r="S1183" s="176"/>
      <c r="T1183" s="176"/>
      <c r="U1183" s="176"/>
      <c r="V1183" s="176"/>
      <c r="W1183" s="176"/>
      <c r="X1183" s="176"/>
      <c r="Y1183" s="177"/>
      <c r="Z1183" s="176"/>
      <c r="AA1183" s="176"/>
      <c r="AB1183" s="176"/>
      <c r="AC1183" s="176"/>
      <c r="AD1183" s="176"/>
      <c r="AE1183" s="176"/>
      <c r="AF1183" s="176"/>
      <c r="AG1183" s="176"/>
      <c r="AH1183" s="176"/>
      <c r="AI1183" s="176"/>
      <c r="AJ1183" s="176"/>
      <c r="AK1183" s="176"/>
      <c r="AL1183" s="176"/>
      <c r="AM1183" s="176"/>
      <c r="AN1183" s="176"/>
      <c r="AO1183" s="176"/>
      <c r="AP1183" s="176"/>
      <c r="AQ1183" s="176"/>
      <c r="AR1183" s="176"/>
      <c r="AS1183" s="176"/>
      <c r="AT1183" s="176"/>
      <c r="AU1183" s="176"/>
      <c r="AV1183" s="176"/>
      <c r="AW1183" s="176"/>
      <c r="AX1183" s="176"/>
      <c r="AY1183" s="176"/>
      <c r="AZ1183" s="176"/>
      <c r="BA1183" s="176"/>
      <c r="BB1183" s="176"/>
      <c r="BC1183" s="176"/>
      <c r="BD1183" s="176"/>
      <c r="BE1183" s="176"/>
      <c r="BF1183" s="176"/>
      <c r="BG1183" s="176"/>
      <c r="BH1183" s="176"/>
      <c r="BI1183" s="176"/>
      <c r="BJ1183" s="176"/>
      <c r="BK1183" s="176"/>
      <c r="BL1183" s="176"/>
      <c r="BM1183" s="176"/>
      <c r="BN1183" s="176"/>
      <c r="BO1183" s="176"/>
      <c r="BP1183" s="176"/>
      <c r="BQ1183" s="176"/>
      <c r="BR1183" s="176"/>
      <c r="BS1183" s="176"/>
      <c r="BT1183" s="176"/>
      <c r="BU1183" s="176"/>
      <c r="BV1183" s="176"/>
      <c r="BW1183" s="176"/>
      <c r="BX1183" s="176"/>
      <c r="BY1183" s="191"/>
      <c r="BZ1183" s="191"/>
      <c r="CA1183" s="191"/>
      <c r="CC1183" s="182"/>
    </row>
    <row r="1184" spans="1:81" s="178" customFormat="1" ht="15.75" customHeight="1">
      <c r="A1184" s="226"/>
      <c r="B1184" s="227"/>
      <c r="C1184" s="227"/>
      <c r="D1184" s="227"/>
      <c r="E1184" s="227"/>
      <c r="F1184" s="227"/>
      <c r="G1184" s="229"/>
      <c r="H1184" s="229"/>
      <c r="I1184" s="175" t="s">
        <v>353</v>
      </c>
      <c r="J1184" s="175"/>
      <c r="K1184" s="175"/>
      <c r="L1184" s="175"/>
      <c r="M1184" s="176"/>
      <c r="N1184" s="176"/>
      <c r="O1184" s="176"/>
      <c r="P1184" s="176"/>
      <c r="Q1184" s="176"/>
      <c r="R1184" s="176"/>
      <c r="S1184" s="176"/>
      <c r="T1184" s="176"/>
      <c r="U1184" s="176"/>
      <c r="V1184" s="176"/>
      <c r="W1184" s="176"/>
      <c r="X1184" s="176"/>
      <c r="Y1184" s="176"/>
      <c r="Z1184" s="176"/>
      <c r="AA1184" s="176"/>
      <c r="AB1184" s="176"/>
      <c r="AC1184" s="176"/>
      <c r="AD1184" s="176"/>
      <c r="AE1184" s="176"/>
      <c r="AF1184" s="176"/>
      <c r="AG1184" s="176"/>
      <c r="AH1184" s="176"/>
      <c r="AI1184" s="176"/>
      <c r="AJ1184" s="176"/>
      <c r="AK1184" s="176"/>
      <c r="AL1184" s="176"/>
      <c r="AM1184" s="176"/>
      <c r="AN1184" s="176"/>
      <c r="AO1184" s="176"/>
      <c r="AP1184" s="176"/>
      <c r="AQ1184" s="176"/>
      <c r="AR1184" s="176"/>
      <c r="AS1184" s="176"/>
      <c r="AT1184" s="176"/>
      <c r="AU1184" s="176"/>
      <c r="AV1184" s="176"/>
      <c r="AW1184" s="176"/>
      <c r="AX1184" s="176"/>
      <c r="AY1184" s="176"/>
      <c r="AZ1184" s="176"/>
      <c r="BA1184" s="176"/>
      <c r="BB1184" s="176"/>
      <c r="BC1184" s="176"/>
      <c r="BD1184" s="176"/>
      <c r="BE1184" s="176"/>
      <c r="BF1184" s="176"/>
      <c r="BG1184" s="176"/>
      <c r="BH1184" s="176"/>
      <c r="BI1184" s="176"/>
      <c r="BJ1184" s="176"/>
      <c r="BK1184" s="176"/>
      <c r="BL1184" s="176"/>
      <c r="BM1184" s="176"/>
      <c r="BN1184" s="176"/>
      <c r="BO1184" s="176"/>
      <c r="BP1184" s="176"/>
      <c r="BQ1184" s="176"/>
      <c r="BR1184" s="176"/>
      <c r="BS1184" s="176"/>
      <c r="BT1184" s="176"/>
      <c r="BU1184" s="176"/>
      <c r="BV1184" s="176"/>
      <c r="BW1184" s="176"/>
      <c r="BX1184" s="176"/>
      <c r="BY1184" s="191"/>
      <c r="BZ1184" s="191"/>
      <c r="CA1184" s="191"/>
      <c r="CC1184" s="182"/>
    </row>
    <row r="1185" spans="1:81" s="178" customFormat="1" ht="15.75" customHeight="1">
      <c r="A1185" s="226"/>
      <c r="B1185" s="227"/>
      <c r="C1185" s="227"/>
      <c r="D1185" s="227"/>
      <c r="E1185" s="227"/>
      <c r="F1185" s="227"/>
      <c r="G1185" s="229"/>
      <c r="H1185" s="229"/>
      <c r="I1185" s="175" t="s">
        <v>354</v>
      </c>
      <c r="J1185" s="175"/>
      <c r="K1185" s="175"/>
      <c r="L1185" s="175"/>
      <c r="M1185" s="176"/>
      <c r="N1185" s="176"/>
      <c r="O1185" s="176"/>
      <c r="P1185" s="176"/>
      <c r="Q1185" s="176"/>
      <c r="R1185" s="176"/>
      <c r="S1185" s="176"/>
      <c r="T1185" s="176"/>
      <c r="U1185" s="176"/>
      <c r="V1185" s="176"/>
      <c r="W1185" s="176"/>
      <c r="X1185" s="176"/>
      <c r="Y1185" s="176"/>
      <c r="Z1185" s="176"/>
      <c r="AA1185" s="176"/>
      <c r="AB1185" s="176"/>
      <c r="AC1185" s="176"/>
      <c r="AD1185" s="176"/>
      <c r="AE1185" s="176"/>
      <c r="AF1185" s="176"/>
      <c r="AG1185" s="176"/>
      <c r="AH1185" s="176"/>
      <c r="AI1185" s="176"/>
      <c r="AJ1185" s="176"/>
      <c r="AK1185" s="176"/>
      <c r="AL1185" s="176"/>
      <c r="AM1185" s="176"/>
      <c r="AN1185" s="176"/>
      <c r="AO1185" s="176"/>
      <c r="AP1185" s="176"/>
      <c r="AQ1185" s="176"/>
      <c r="AR1185" s="176"/>
      <c r="AS1185" s="176"/>
      <c r="AT1185" s="176"/>
      <c r="AU1185" s="176"/>
      <c r="AV1185" s="176"/>
      <c r="AW1185" s="176"/>
      <c r="AX1185" s="176"/>
      <c r="AY1185" s="176"/>
      <c r="AZ1185" s="176"/>
      <c r="BA1185" s="176"/>
      <c r="BB1185" s="176"/>
      <c r="BC1185" s="176"/>
      <c r="BD1185" s="176"/>
      <c r="BE1185" s="176"/>
      <c r="BF1185" s="176"/>
      <c r="BG1185" s="176"/>
      <c r="BH1185" s="176"/>
      <c r="BI1185" s="176"/>
      <c r="BJ1185" s="176"/>
      <c r="BK1185" s="176"/>
      <c r="BL1185" s="176"/>
      <c r="BM1185" s="176"/>
      <c r="BN1185" s="176"/>
      <c r="BO1185" s="176"/>
      <c r="BP1185" s="176"/>
      <c r="BQ1185" s="176"/>
      <c r="BR1185" s="176"/>
      <c r="BS1185" s="176"/>
      <c r="BT1185" s="176"/>
      <c r="BU1185" s="176"/>
      <c r="BV1185" s="176"/>
      <c r="BW1185" s="176"/>
      <c r="BX1185" s="176"/>
      <c r="BY1185" s="191"/>
      <c r="BZ1185" s="191"/>
      <c r="CA1185" s="191"/>
      <c r="CC1185" s="182"/>
    </row>
    <row r="1186" spans="1:81" s="178" customFormat="1" ht="15.75" customHeight="1">
      <c r="A1186" s="226"/>
      <c r="B1186" s="227"/>
      <c r="C1186" s="227"/>
      <c r="D1186" s="227"/>
      <c r="E1186" s="227"/>
      <c r="F1186" s="227"/>
      <c r="G1186" s="229"/>
      <c r="H1186" s="229"/>
      <c r="I1186" s="175" t="s">
        <v>357</v>
      </c>
      <c r="J1186" s="175"/>
      <c r="K1186" s="175"/>
      <c r="L1186" s="175"/>
      <c r="M1186" s="176"/>
      <c r="N1186" s="176"/>
      <c r="O1186" s="176"/>
      <c r="P1186" s="176"/>
      <c r="Q1186" s="176"/>
      <c r="R1186" s="176"/>
      <c r="S1186" s="176"/>
      <c r="T1186" s="176"/>
      <c r="U1186" s="176"/>
      <c r="V1186" s="176"/>
      <c r="W1186" s="176"/>
      <c r="X1186" s="176"/>
      <c r="Y1186" s="176"/>
      <c r="Z1186" s="176"/>
      <c r="AA1186" s="176"/>
      <c r="AB1186" s="176"/>
      <c r="AC1186" s="176"/>
      <c r="AD1186" s="176"/>
      <c r="AE1186" s="176"/>
      <c r="AF1186" s="176"/>
      <c r="AG1186" s="176"/>
      <c r="AH1186" s="176"/>
      <c r="AI1186" s="176"/>
      <c r="AJ1186" s="176"/>
      <c r="AK1186" s="176"/>
      <c r="AL1186" s="176"/>
      <c r="AM1186" s="176"/>
      <c r="AN1186" s="176"/>
      <c r="AO1186" s="176"/>
      <c r="AP1186" s="176"/>
      <c r="AQ1186" s="176"/>
      <c r="AR1186" s="176"/>
      <c r="AS1186" s="176"/>
      <c r="AT1186" s="176"/>
      <c r="AU1186" s="176"/>
      <c r="AV1186" s="176"/>
      <c r="AW1186" s="176"/>
      <c r="AX1186" s="176"/>
      <c r="AY1186" s="176"/>
      <c r="AZ1186" s="176"/>
      <c r="BA1186" s="176"/>
      <c r="BB1186" s="176"/>
      <c r="BC1186" s="176"/>
      <c r="BD1186" s="176"/>
      <c r="BE1186" s="176"/>
      <c r="BF1186" s="176"/>
      <c r="BG1186" s="176"/>
      <c r="BH1186" s="176"/>
      <c r="BI1186" s="176"/>
      <c r="BJ1186" s="176"/>
      <c r="BK1186" s="176"/>
      <c r="BL1186" s="176"/>
      <c r="BM1186" s="176"/>
      <c r="BN1186" s="176"/>
      <c r="BO1186" s="176"/>
      <c r="BP1186" s="176"/>
      <c r="BQ1186" s="176"/>
      <c r="BR1186" s="176"/>
      <c r="BS1186" s="176"/>
      <c r="BT1186" s="176"/>
      <c r="BU1186" s="176"/>
      <c r="BV1186" s="176">
        <f>103.6+102.86</f>
        <v>206.45999999999998</v>
      </c>
      <c r="BW1186" s="176">
        <f>353.6+320</f>
        <v>673.6</v>
      </c>
      <c r="BX1186" s="176"/>
      <c r="BY1186" s="191"/>
      <c r="BZ1186" s="191"/>
      <c r="CA1186" s="191"/>
      <c r="CC1186" s="182"/>
    </row>
    <row r="1187" spans="1:81" s="178" customFormat="1" ht="15.75" customHeight="1">
      <c r="A1187" s="226"/>
      <c r="B1187" s="227"/>
      <c r="C1187" s="227"/>
      <c r="D1187" s="227"/>
      <c r="E1187" s="227"/>
      <c r="F1187" s="227"/>
      <c r="G1187" s="229"/>
      <c r="H1187" s="229"/>
      <c r="I1187" s="175" t="s">
        <v>355</v>
      </c>
      <c r="J1187" s="175"/>
      <c r="K1187" s="175"/>
      <c r="L1187" s="175"/>
      <c r="M1187" s="176"/>
      <c r="N1187" s="176"/>
      <c r="O1187" s="176"/>
      <c r="P1187" s="176"/>
      <c r="Q1187" s="176"/>
      <c r="R1187" s="176"/>
      <c r="S1187" s="176"/>
      <c r="T1187" s="176"/>
      <c r="U1187" s="176"/>
      <c r="V1187" s="176"/>
      <c r="W1187" s="176"/>
      <c r="X1187" s="176"/>
      <c r="Y1187" s="176"/>
      <c r="Z1187" s="176"/>
      <c r="AA1187" s="176"/>
      <c r="AB1187" s="176"/>
      <c r="AC1187" s="176"/>
      <c r="AD1187" s="176"/>
      <c r="AE1187" s="176"/>
      <c r="AF1187" s="176"/>
      <c r="AG1187" s="176"/>
      <c r="AH1187" s="176"/>
      <c r="AI1187" s="176"/>
      <c r="AJ1187" s="176"/>
      <c r="AK1187" s="176"/>
      <c r="AL1187" s="176"/>
      <c r="AM1187" s="176"/>
      <c r="AN1187" s="176"/>
      <c r="AO1187" s="176"/>
      <c r="AP1187" s="176"/>
      <c r="AQ1187" s="176"/>
      <c r="AR1187" s="176"/>
      <c r="AS1187" s="176"/>
      <c r="AT1187" s="176"/>
      <c r="AU1187" s="176"/>
      <c r="AV1187" s="176"/>
      <c r="AW1187" s="176"/>
      <c r="AX1187" s="176"/>
      <c r="AY1187" s="176"/>
      <c r="AZ1187" s="176"/>
      <c r="BA1187" s="176"/>
      <c r="BB1187" s="176"/>
      <c r="BC1187" s="176"/>
      <c r="BD1187" s="176"/>
      <c r="BE1187" s="176"/>
      <c r="BF1187" s="176"/>
      <c r="BG1187" s="176"/>
      <c r="BH1187" s="176"/>
      <c r="BI1187" s="176"/>
      <c r="BJ1187" s="176"/>
      <c r="BK1187" s="176"/>
      <c r="BL1187" s="212"/>
      <c r="BM1187" s="212"/>
      <c r="BN1187" s="212"/>
      <c r="BO1187" s="212"/>
      <c r="BP1187" s="212"/>
      <c r="BQ1187" s="212"/>
      <c r="BR1187" s="212"/>
      <c r="BS1187" s="212"/>
      <c r="BT1187" s="212"/>
      <c r="BU1187" s="212"/>
      <c r="BV1187" s="212"/>
      <c r="BW1187" s="212"/>
      <c r="BX1187" s="176"/>
      <c r="BY1187" s="191"/>
      <c r="BZ1187" s="191"/>
      <c r="CA1187" s="191"/>
      <c r="CC1187" s="182"/>
    </row>
    <row r="1188" spans="1:81" s="178" customFormat="1" ht="15.75" customHeight="1">
      <c r="A1188" s="226"/>
      <c r="B1188" s="227"/>
      <c r="C1188" s="227"/>
      <c r="D1188" s="227"/>
      <c r="E1188" s="227"/>
      <c r="F1188" s="227"/>
      <c r="G1188" s="229"/>
      <c r="H1188" s="229"/>
      <c r="I1188" s="184" t="s">
        <v>362</v>
      </c>
      <c r="J1188" s="175"/>
      <c r="K1188" s="175"/>
      <c r="L1188" s="175"/>
      <c r="M1188" s="176"/>
      <c r="N1188" s="176"/>
      <c r="O1188" s="176"/>
      <c r="P1188" s="176"/>
      <c r="Q1188" s="176"/>
      <c r="R1188" s="176"/>
      <c r="S1188" s="176"/>
      <c r="T1188" s="176"/>
      <c r="U1188" s="176"/>
      <c r="V1188" s="176"/>
      <c r="W1188" s="176"/>
      <c r="X1188" s="176"/>
      <c r="Y1188" s="176"/>
      <c r="Z1188" s="176"/>
      <c r="AA1188" s="176"/>
      <c r="AB1188" s="176"/>
      <c r="AC1188" s="176"/>
      <c r="AD1188" s="176"/>
      <c r="AE1188" s="176"/>
      <c r="AF1188" s="176"/>
      <c r="AG1188" s="176"/>
      <c r="AH1188" s="176"/>
      <c r="AI1188" s="176"/>
      <c r="AJ1188" s="176"/>
      <c r="AK1188" s="176"/>
      <c r="AL1188" s="176"/>
      <c r="AM1188" s="176"/>
      <c r="AN1188" s="176"/>
      <c r="AO1188" s="176"/>
      <c r="AP1188" s="176"/>
      <c r="AQ1188" s="176"/>
      <c r="AR1188" s="176"/>
      <c r="AS1188" s="176"/>
      <c r="AT1188" s="176"/>
      <c r="AU1188" s="176"/>
      <c r="AV1188" s="176"/>
      <c r="AW1188" s="176"/>
      <c r="AX1188" s="176"/>
      <c r="AY1188" s="176"/>
      <c r="AZ1188" s="176"/>
      <c r="BA1188" s="176"/>
      <c r="BB1188" s="176"/>
      <c r="BC1188" s="176"/>
      <c r="BD1188" s="176"/>
      <c r="BE1188" s="176"/>
      <c r="BF1188" s="176"/>
      <c r="BG1188" s="176"/>
      <c r="BH1188" s="176"/>
      <c r="BI1188" s="176"/>
      <c r="BJ1188" s="176"/>
      <c r="BK1188" s="176"/>
      <c r="BL1188" s="176"/>
      <c r="BM1188" s="176"/>
      <c r="BN1188" s="176"/>
      <c r="BO1188" s="176"/>
      <c r="BP1188" s="176"/>
      <c r="BQ1188" s="176"/>
      <c r="BR1188" s="176"/>
      <c r="BS1188" s="176"/>
      <c r="BT1188" s="176"/>
      <c r="BU1188" s="176"/>
      <c r="BV1188" s="176"/>
      <c r="BW1188" s="176"/>
      <c r="BX1188" s="176"/>
      <c r="BY1188" s="191"/>
      <c r="BZ1188" s="191"/>
      <c r="CA1188" s="191"/>
      <c r="CC1188" s="182"/>
    </row>
    <row r="1189" spans="1:81" s="178" customFormat="1">
      <c r="A1189" s="226"/>
      <c r="B1189" s="227"/>
      <c r="C1189" s="227"/>
      <c r="D1189" s="227"/>
      <c r="E1189" s="227"/>
      <c r="F1189" s="227"/>
      <c r="G1189" s="229"/>
      <c r="H1189" s="229"/>
      <c r="I1189" s="190" t="s">
        <v>363</v>
      </c>
      <c r="J1189" s="190"/>
      <c r="K1189" s="190"/>
      <c r="L1189" s="190"/>
      <c r="M1189" s="176"/>
      <c r="N1189" s="176"/>
      <c r="O1189" s="176"/>
      <c r="P1189" s="176"/>
      <c r="Q1189" s="176"/>
      <c r="R1189" s="176"/>
      <c r="S1189" s="176"/>
      <c r="T1189" s="176"/>
      <c r="U1189" s="176"/>
      <c r="V1189" s="176"/>
      <c r="W1189" s="176"/>
      <c r="X1189" s="176"/>
      <c r="Y1189" s="176"/>
      <c r="Z1189" s="176"/>
      <c r="AA1189" s="176"/>
      <c r="AB1189" s="176"/>
      <c r="AC1189" s="176"/>
      <c r="AD1189" s="176"/>
      <c r="AE1189" s="176"/>
      <c r="AF1189" s="176"/>
      <c r="AG1189" s="176"/>
      <c r="AH1189" s="176"/>
      <c r="AI1189" s="176"/>
      <c r="AJ1189" s="176"/>
      <c r="AK1189" s="176"/>
      <c r="AL1189" s="176"/>
      <c r="AM1189" s="176"/>
      <c r="AN1189" s="176"/>
      <c r="AO1189" s="176"/>
      <c r="AP1189" s="176"/>
      <c r="AQ1189" s="176"/>
      <c r="AR1189" s="176"/>
      <c r="AS1189" s="176"/>
      <c r="AT1189" s="176"/>
      <c r="AU1189" s="176"/>
      <c r="AV1189" s="176"/>
      <c r="AW1189" s="176"/>
      <c r="AX1189" s="176"/>
      <c r="AY1189" s="176"/>
      <c r="AZ1189" s="176"/>
      <c r="BA1189" s="176"/>
      <c r="BB1189" s="176"/>
      <c r="BC1189" s="176"/>
      <c r="BD1189" s="176"/>
      <c r="BE1189" s="176"/>
      <c r="BF1189" s="176"/>
      <c r="BG1189" s="176"/>
      <c r="BH1189" s="176"/>
      <c r="BI1189" s="176"/>
      <c r="BJ1189" s="176"/>
      <c r="BK1189" s="176"/>
      <c r="BL1189" s="176"/>
      <c r="BM1189" s="176"/>
      <c r="BN1189" s="176"/>
      <c r="BO1189" s="176"/>
      <c r="BP1189" s="176"/>
      <c r="BQ1189" s="176"/>
      <c r="BR1189" s="176"/>
      <c r="BS1189" s="176"/>
      <c r="BT1189" s="176"/>
      <c r="BU1189" s="176"/>
      <c r="BV1189" s="176"/>
      <c r="BW1189" s="176"/>
      <c r="BX1189" s="176"/>
      <c r="BY1189" s="191"/>
      <c r="BZ1189" s="191"/>
    </row>
    <row r="1190" spans="1:81" s="178" customFormat="1">
      <c r="A1190" s="226"/>
      <c r="B1190" s="227"/>
      <c r="C1190" s="227"/>
      <c r="D1190" s="227"/>
      <c r="E1190" s="227"/>
      <c r="F1190" s="227"/>
      <c r="G1190" s="229"/>
      <c r="H1190" s="229"/>
      <c r="I1190" s="193" t="s">
        <v>373</v>
      </c>
      <c r="J1190" s="193"/>
      <c r="K1190" s="193"/>
      <c r="L1190" s="193"/>
      <c r="M1190" s="176"/>
      <c r="N1190" s="176"/>
      <c r="O1190" s="176"/>
      <c r="P1190" s="176"/>
      <c r="Q1190" s="176"/>
      <c r="R1190" s="176"/>
      <c r="S1190" s="176"/>
      <c r="T1190" s="176"/>
      <c r="U1190" s="176"/>
      <c r="V1190" s="176"/>
      <c r="W1190" s="176"/>
      <c r="X1190" s="176"/>
      <c r="Y1190" s="176"/>
      <c r="Z1190" s="176"/>
      <c r="AA1190" s="176"/>
      <c r="AB1190" s="176"/>
      <c r="AC1190" s="176"/>
      <c r="AD1190" s="176"/>
      <c r="AE1190" s="176"/>
      <c r="AF1190" s="176"/>
      <c r="AG1190" s="176"/>
      <c r="AH1190" s="176"/>
      <c r="AI1190" s="176"/>
      <c r="AJ1190" s="176"/>
      <c r="AK1190" s="176"/>
      <c r="AL1190" s="176"/>
      <c r="AM1190" s="176"/>
      <c r="AN1190" s="176"/>
      <c r="AO1190" s="176"/>
      <c r="AP1190" s="176"/>
      <c r="AQ1190" s="176"/>
      <c r="AR1190" s="176"/>
      <c r="AS1190" s="176"/>
      <c r="AT1190" s="176"/>
      <c r="AU1190" s="176"/>
      <c r="AV1190" s="176"/>
      <c r="AW1190" s="176"/>
      <c r="AX1190" s="176"/>
      <c r="AY1190" s="176"/>
      <c r="AZ1190" s="176"/>
      <c r="BA1190" s="176"/>
      <c r="BB1190" s="176"/>
      <c r="BC1190" s="176"/>
      <c r="BD1190" s="176"/>
      <c r="BE1190" s="176"/>
      <c r="BF1190" s="176"/>
      <c r="BG1190" s="176"/>
      <c r="BH1190" s="176"/>
      <c r="BI1190" s="176"/>
      <c r="BJ1190" s="176"/>
      <c r="BK1190" s="176"/>
      <c r="BL1190" s="176"/>
      <c r="BM1190" s="176"/>
      <c r="BN1190" s="176"/>
      <c r="BO1190" s="176"/>
      <c r="BP1190" s="176"/>
      <c r="BQ1190" s="176"/>
      <c r="BR1190" s="176"/>
      <c r="BS1190" s="176"/>
      <c r="BT1190" s="176"/>
      <c r="BU1190" s="176"/>
      <c r="BV1190" s="176">
        <v>91.56</v>
      </c>
      <c r="BW1190" s="176">
        <f>993.07-739.92</f>
        <v>253.15000000000009</v>
      </c>
      <c r="BX1190" s="176"/>
      <c r="BY1190" s="191"/>
      <c r="BZ1190" s="191"/>
    </row>
    <row r="1191" spans="1:81" s="178" customFormat="1" ht="13.9" customHeight="1">
      <c r="A1191" s="226"/>
      <c r="B1191" s="227"/>
      <c r="C1191" s="227"/>
      <c r="D1191" s="227"/>
      <c r="E1191" s="227"/>
      <c r="F1191" s="227"/>
      <c r="G1191" s="229"/>
      <c r="H1191" s="229"/>
      <c r="I1191" s="190"/>
      <c r="J1191" s="176">
        <f>SUM(J1180:J1189)-J1190</f>
        <v>0</v>
      </c>
      <c r="K1191" s="176">
        <f t="shared" ref="K1191:Y1191" si="570">SUM(K1180:K1189)-K1190</f>
        <v>0</v>
      </c>
      <c r="L1191" s="176">
        <f t="shared" si="570"/>
        <v>0</v>
      </c>
      <c r="M1191" s="176">
        <f t="shared" si="570"/>
        <v>0</v>
      </c>
      <c r="N1191" s="176">
        <f t="shared" si="570"/>
        <v>0</v>
      </c>
      <c r="O1191" s="176">
        <f t="shared" si="570"/>
        <v>0</v>
      </c>
      <c r="P1191" s="176">
        <f t="shared" si="570"/>
        <v>0</v>
      </c>
      <c r="Q1191" s="176">
        <f t="shared" si="570"/>
        <v>0</v>
      </c>
      <c r="R1191" s="176">
        <f t="shared" si="570"/>
        <v>0</v>
      </c>
      <c r="S1191" s="176">
        <f t="shared" si="570"/>
        <v>0</v>
      </c>
      <c r="T1191" s="176">
        <f t="shared" si="570"/>
        <v>0</v>
      </c>
      <c r="U1191" s="176">
        <f t="shared" si="570"/>
        <v>0</v>
      </c>
      <c r="V1191" s="176">
        <f t="shared" si="570"/>
        <v>0</v>
      </c>
      <c r="W1191" s="176">
        <f t="shared" si="570"/>
        <v>0</v>
      </c>
      <c r="X1191" s="176">
        <f t="shared" si="570"/>
        <v>0</v>
      </c>
      <c r="Y1191" s="176">
        <f t="shared" si="570"/>
        <v>0</v>
      </c>
      <c r="Z1191" s="176">
        <f>SUM(Z1180:Z1189)-Z1190</f>
        <v>0</v>
      </c>
      <c r="AA1191" s="176">
        <f t="shared" ref="AA1191:AD1191" si="571">SUM(AA1180:AA1189)-AA1190</f>
        <v>0</v>
      </c>
      <c r="AB1191" s="176">
        <f t="shared" si="571"/>
        <v>0</v>
      </c>
      <c r="AC1191" s="176">
        <f t="shared" si="571"/>
        <v>0</v>
      </c>
      <c r="AD1191" s="176">
        <f t="shared" si="571"/>
        <v>0</v>
      </c>
      <c r="AE1191" s="176">
        <f>SUM(AE1180:AE1189)-AE1190</f>
        <v>0</v>
      </c>
      <c r="AF1191" s="176">
        <f>SUM(AF1180:AF1189)-AF1190</f>
        <v>0</v>
      </c>
      <c r="AG1191" s="176">
        <f t="shared" ref="AG1191:AU1191" si="572">SUM(AG1180:AG1189)-AG1190</f>
        <v>0</v>
      </c>
      <c r="AH1191" s="176">
        <f t="shared" si="572"/>
        <v>0</v>
      </c>
      <c r="AI1191" s="176">
        <f t="shared" si="572"/>
        <v>0</v>
      </c>
      <c r="AJ1191" s="176">
        <f t="shared" si="572"/>
        <v>0</v>
      </c>
      <c r="AK1191" s="176">
        <f t="shared" si="572"/>
        <v>0</v>
      </c>
      <c r="AL1191" s="176">
        <f t="shared" si="572"/>
        <v>0</v>
      </c>
      <c r="AM1191" s="176">
        <f t="shared" si="572"/>
        <v>0</v>
      </c>
      <c r="AN1191" s="176">
        <f t="shared" si="572"/>
        <v>0</v>
      </c>
      <c r="AO1191" s="176">
        <f t="shared" si="572"/>
        <v>0</v>
      </c>
      <c r="AP1191" s="176">
        <f t="shared" si="572"/>
        <v>0</v>
      </c>
      <c r="AQ1191" s="176">
        <f t="shared" si="572"/>
        <v>0</v>
      </c>
      <c r="AR1191" s="176">
        <f t="shared" si="572"/>
        <v>0</v>
      </c>
      <c r="AS1191" s="176">
        <f t="shared" si="572"/>
        <v>0</v>
      </c>
      <c r="AT1191" s="176">
        <f t="shared" si="572"/>
        <v>0</v>
      </c>
      <c r="AU1191" s="176">
        <f t="shared" si="572"/>
        <v>0</v>
      </c>
      <c r="AV1191" s="176">
        <f>SUM(AV1180:AV1189)-AV1190</f>
        <v>0</v>
      </c>
      <c r="AW1191" s="176">
        <f t="shared" ref="AW1191:BA1191" si="573">SUM(AW1180:AW1189)-AW1190</f>
        <v>0</v>
      </c>
      <c r="AX1191" s="176">
        <f t="shared" si="573"/>
        <v>0</v>
      </c>
      <c r="AY1191" s="176">
        <f t="shared" si="573"/>
        <v>0</v>
      </c>
      <c r="AZ1191" s="176">
        <f t="shared" si="573"/>
        <v>0</v>
      </c>
      <c r="BA1191" s="176">
        <f t="shared" si="573"/>
        <v>0</v>
      </c>
      <c r="BB1191" s="176"/>
      <c r="BC1191" s="176"/>
      <c r="BD1191" s="176"/>
      <c r="BE1191" s="176"/>
      <c r="BF1191" s="176"/>
      <c r="BG1191" s="176"/>
      <c r="BH1191" s="176"/>
      <c r="BI1191" s="176"/>
      <c r="BJ1191" s="176"/>
      <c r="BK1191" s="176"/>
      <c r="BL1191" s="176"/>
      <c r="BM1191" s="176"/>
      <c r="BN1191" s="176"/>
      <c r="BO1191" s="176"/>
      <c r="BP1191" s="176"/>
      <c r="BQ1191" s="176"/>
      <c r="BR1191" s="176"/>
      <c r="BS1191" s="176"/>
      <c r="BT1191" s="176"/>
      <c r="BU1191" s="176"/>
      <c r="BV1191" s="176">
        <f>BV1181+BV1186-BV1190</f>
        <v>793.16000000000008</v>
      </c>
      <c r="BW1191" s="176">
        <f>BW1181+BW1186-BW1190</f>
        <v>2270.2599999999998</v>
      </c>
      <c r="BX1191" s="176">
        <f>SUM(BV1191:BW1191)</f>
        <v>3063.42</v>
      </c>
      <c r="BY1191" s="191"/>
      <c r="BZ1191" s="191"/>
    </row>
    <row r="1192" spans="1:81" ht="15.6" customHeight="1">
      <c r="A1192" s="148" t="s">
        <v>346</v>
      </c>
      <c r="B1192" s="148" t="s">
        <v>347</v>
      </c>
      <c r="C1192" s="145" t="s">
        <v>310</v>
      </c>
      <c r="D1192" s="145" t="s">
        <v>311</v>
      </c>
      <c r="E1192" s="148" t="s">
        <v>312</v>
      </c>
      <c r="F1192" s="148" t="s">
        <v>348</v>
      </c>
      <c r="G1192" s="145" t="s">
        <v>314</v>
      </c>
      <c r="H1192" s="145" t="s">
        <v>315</v>
      </c>
      <c r="I1192" s="145" t="s">
        <v>349</v>
      </c>
      <c r="J1192" s="146">
        <v>44105</v>
      </c>
      <c r="K1192" s="146">
        <v>44136</v>
      </c>
      <c r="L1192" s="146">
        <v>44166</v>
      </c>
      <c r="M1192" s="146">
        <v>44197</v>
      </c>
      <c r="N1192" s="146">
        <v>44228</v>
      </c>
      <c r="O1192" s="146">
        <v>44256</v>
      </c>
      <c r="P1192" s="146">
        <v>44287</v>
      </c>
      <c r="Q1192" s="146">
        <v>44317</v>
      </c>
      <c r="R1192" s="146">
        <v>44348</v>
      </c>
      <c r="S1192" s="146">
        <v>44378</v>
      </c>
      <c r="T1192" s="146">
        <v>44409</v>
      </c>
      <c r="U1192" s="146">
        <v>44440</v>
      </c>
      <c r="V1192" s="146">
        <v>44470</v>
      </c>
      <c r="W1192" s="146">
        <v>44501</v>
      </c>
      <c r="X1192" s="146">
        <v>44531</v>
      </c>
      <c r="Y1192" s="146">
        <v>44562</v>
      </c>
      <c r="Z1192" s="146">
        <v>44593</v>
      </c>
      <c r="AA1192" s="146">
        <v>44621</v>
      </c>
      <c r="AB1192" s="146">
        <v>44652</v>
      </c>
      <c r="AC1192" s="146">
        <v>44682</v>
      </c>
      <c r="AD1192" s="146">
        <v>44713</v>
      </c>
      <c r="AE1192" s="146">
        <v>44743</v>
      </c>
      <c r="AF1192" s="146">
        <v>44774</v>
      </c>
      <c r="AG1192" s="146">
        <v>44805</v>
      </c>
      <c r="AH1192" s="146">
        <v>44835</v>
      </c>
      <c r="AI1192" s="146">
        <v>44866</v>
      </c>
      <c r="AJ1192" s="146">
        <v>44896</v>
      </c>
      <c r="AK1192" s="146">
        <v>44927</v>
      </c>
      <c r="AL1192" s="146">
        <v>44958</v>
      </c>
      <c r="AM1192" s="146">
        <v>44986</v>
      </c>
      <c r="AN1192" s="146">
        <v>45017</v>
      </c>
      <c r="AO1192" s="146">
        <v>45047</v>
      </c>
      <c r="AP1192" s="146">
        <v>45078</v>
      </c>
      <c r="AQ1192" s="146">
        <v>45108</v>
      </c>
      <c r="AR1192" s="146">
        <v>45139</v>
      </c>
      <c r="AS1192" s="146">
        <v>45170</v>
      </c>
      <c r="AT1192" s="146">
        <v>45200</v>
      </c>
      <c r="AU1192" s="146">
        <v>45231</v>
      </c>
      <c r="AV1192" s="146">
        <v>45261</v>
      </c>
      <c r="AW1192" s="146">
        <v>45292</v>
      </c>
      <c r="AX1192" s="146">
        <v>45323</v>
      </c>
      <c r="AY1192" s="146">
        <v>45352</v>
      </c>
      <c r="AZ1192" s="146">
        <v>45383</v>
      </c>
      <c r="BA1192" s="146">
        <v>45413</v>
      </c>
      <c r="BB1192" s="146">
        <v>45444</v>
      </c>
      <c r="BC1192" s="146">
        <v>45474</v>
      </c>
      <c r="BD1192" s="146">
        <v>45505</v>
      </c>
      <c r="BE1192" s="146">
        <v>45536</v>
      </c>
      <c r="BF1192" s="146">
        <v>45566</v>
      </c>
      <c r="BG1192" s="146">
        <v>45597</v>
      </c>
      <c r="BH1192" s="146">
        <v>45627</v>
      </c>
      <c r="BI1192" s="146">
        <v>45658</v>
      </c>
      <c r="BJ1192" s="146">
        <v>45689</v>
      </c>
      <c r="BK1192" s="146">
        <v>45717</v>
      </c>
      <c r="BL1192" s="146">
        <v>45748</v>
      </c>
      <c r="BM1192" s="146">
        <v>45778</v>
      </c>
      <c r="BN1192" s="146"/>
      <c r="BO1192" s="146"/>
      <c r="BP1192" s="146"/>
      <c r="BQ1192" s="146"/>
      <c r="BR1192" s="146"/>
      <c r="BS1192" s="146"/>
      <c r="BT1192" s="146">
        <v>45992</v>
      </c>
      <c r="BU1192" s="146">
        <v>46023</v>
      </c>
      <c r="BV1192" s="146">
        <v>46054</v>
      </c>
      <c r="BW1192" s="146">
        <v>46082</v>
      </c>
      <c r="BX1192" s="147" t="s">
        <v>13</v>
      </c>
      <c r="BY1192" s="5"/>
      <c r="BZ1192" s="5"/>
      <c r="CA1192" s="5"/>
    </row>
    <row r="1193" spans="1:81" s="178" customFormat="1" ht="15.75" customHeight="1">
      <c r="A1193" s="226">
        <v>74</v>
      </c>
      <c r="B1193" s="227" t="s">
        <v>294</v>
      </c>
      <c r="C1193" s="227" t="s">
        <v>23</v>
      </c>
      <c r="D1193" s="227" t="s">
        <v>89</v>
      </c>
      <c r="E1193" s="227" t="s">
        <v>150</v>
      </c>
      <c r="F1193" s="227" t="s">
        <v>150</v>
      </c>
      <c r="G1193" s="228">
        <v>46073</v>
      </c>
      <c r="H1193" s="228"/>
      <c r="I1193" s="175" t="s">
        <v>390</v>
      </c>
      <c r="J1193" s="175"/>
      <c r="K1193" s="175"/>
      <c r="L1193" s="175"/>
      <c r="M1193" s="176"/>
      <c r="N1193" s="176"/>
      <c r="O1193" s="176"/>
      <c r="P1193" s="176"/>
      <c r="Q1193" s="176"/>
      <c r="R1193" s="176"/>
      <c r="S1193" s="176"/>
      <c r="T1193" s="176"/>
      <c r="U1193" s="176"/>
      <c r="V1193" s="176"/>
      <c r="W1193" s="176"/>
      <c r="X1193" s="176"/>
      <c r="Y1193" s="176"/>
      <c r="Z1193" s="176"/>
      <c r="AA1193" s="176"/>
      <c r="AB1193" s="176"/>
      <c r="AC1193" s="176"/>
      <c r="AD1193" s="176"/>
      <c r="AE1193" s="176"/>
      <c r="AF1193" s="176"/>
      <c r="AG1193" s="176"/>
      <c r="AH1193" s="176"/>
      <c r="AI1193" s="176"/>
      <c r="AJ1193" s="176"/>
      <c r="AK1193" s="176"/>
      <c r="AL1193" s="176"/>
      <c r="AM1193" s="176"/>
      <c r="AN1193" s="176"/>
      <c r="AO1193" s="176"/>
      <c r="AP1193" s="176"/>
      <c r="AQ1193" s="176"/>
      <c r="AR1193" s="176"/>
      <c r="AS1193" s="176"/>
      <c r="AT1193" s="176"/>
      <c r="AU1193" s="176"/>
      <c r="AV1193" s="176"/>
      <c r="AW1193" s="176"/>
      <c r="AX1193" s="176"/>
      <c r="AY1193" s="176"/>
      <c r="AZ1193" s="176"/>
      <c r="BA1193" s="176"/>
      <c r="BB1193" s="176"/>
      <c r="BC1193" s="176"/>
      <c r="BD1193" s="176"/>
      <c r="BE1193" s="176"/>
      <c r="BF1193" s="176"/>
      <c r="BG1193" s="176"/>
      <c r="BH1193" s="176"/>
      <c r="BI1193" s="176"/>
      <c r="BJ1193" s="176"/>
      <c r="BK1193" s="176"/>
      <c r="BL1193" s="176"/>
      <c r="BM1193" s="176"/>
      <c r="BN1193" s="176"/>
      <c r="BO1193" s="176"/>
      <c r="BP1193" s="176"/>
      <c r="BQ1193" s="176"/>
      <c r="BR1193" s="176"/>
      <c r="BS1193" s="176"/>
      <c r="BT1193" s="176"/>
      <c r="BU1193" s="176"/>
      <c r="BV1193" s="176"/>
      <c r="BW1193" s="176"/>
      <c r="BX1193" s="176"/>
      <c r="BY1193" s="191"/>
      <c r="BZ1193" s="191"/>
      <c r="CA1193" s="191"/>
      <c r="CC1193" s="182"/>
    </row>
    <row r="1194" spans="1:81" s="178" customFormat="1" ht="15.75" customHeight="1">
      <c r="A1194" s="226"/>
      <c r="B1194" s="227"/>
      <c r="C1194" s="227"/>
      <c r="D1194" s="227"/>
      <c r="E1194" s="227"/>
      <c r="F1194" s="227"/>
      <c r="G1194" s="229"/>
      <c r="H1194" s="229"/>
      <c r="I1194" s="175" t="s">
        <v>351</v>
      </c>
      <c r="J1194" s="175"/>
      <c r="K1194" s="175"/>
      <c r="L1194" s="175"/>
      <c r="M1194" s="176"/>
      <c r="N1194" s="176"/>
      <c r="O1194" s="176"/>
      <c r="P1194" s="176"/>
      <c r="Q1194" s="176"/>
      <c r="R1194" s="176"/>
      <c r="S1194" s="176"/>
      <c r="T1194" s="176"/>
      <c r="U1194" s="176"/>
      <c r="V1194" s="176"/>
      <c r="W1194" s="176"/>
      <c r="X1194" s="176"/>
      <c r="Y1194" s="176"/>
      <c r="Z1194" s="176"/>
      <c r="AA1194" s="176"/>
      <c r="AB1194" s="176"/>
      <c r="AC1194" s="176"/>
      <c r="AD1194" s="176"/>
      <c r="AE1194" s="176"/>
      <c r="AF1194" s="176"/>
      <c r="AG1194" s="176"/>
      <c r="AH1194" s="176"/>
      <c r="AI1194" s="176"/>
      <c r="AJ1194" s="176"/>
      <c r="AK1194" s="176"/>
      <c r="AL1194" s="176"/>
      <c r="AM1194" s="176"/>
      <c r="AN1194" s="176"/>
      <c r="AO1194" s="176"/>
      <c r="AP1194" s="176"/>
      <c r="AQ1194" s="176"/>
      <c r="AR1194" s="176"/>
      <c r="AS1194" s="176"/>
      <c r="AT1194" s="176"/>
      <c r="AU1194" s="176"/>
      <c r="AV1194" s="176"/>
      <c r="AW1194" s="176"/>
      <c r="AX1194" s="176"/>
      <c r="AY1194" s="176"/>
      <c r="AZ1194" s="176"/>
      <c r="BA1194" s="176"/>
      <c r="BB1194" s="176"/>
      <c r="BC1194" s="176"/>
      <c r="BD1194" s="176"/>
      <c r="BE1194" s="176"/>
      <c r="BF1194" s="176"/>
      <c r="BG1194" s="176"/>
      <c r="BH1194" s="176"/>
      <c r="BI1194" s="176"/>
      <c r="BJ1194" s="176"/>
      <c r="BK1194" s="176"/>
      <c r="BL1194" s="176"/>
      <c r="BM1194" s="176"/>
      <c r="BN1194" s="176"/>
      <c r="BO1194" s="176"/>
      <c r="BP1194" s="176"/>
      <c r="BQ1194" s="176"/>
      <c r="BR1194" s="176"/>
      <c r="BS1194" s="176"/>
      <c r="BT1194" s="176"/>
      <c r="BU1194" s="176"/>
      <c r="BV1194" s="176"/>
      <c r="BW1194" s="176">
        <v>678.26</v>
      </c>
      <c r="BX1194" s="176"/>
      <c r="BY1194" s="191"/>
      <c r="BZ1194" s="191"/>
      <c r="CA1194" s="191"/>
      <c r="CC1194" s="182"/>
    </row>
    <row r="1195" spans="1:81" s="178" customFormat="1" ht="15.75" customHeight="1">
      <c r="A1195" s="226"/>
      <c r="B1195" s="227"/>
      <c r="C1195" s="227"/>
      <c r="D1195" s="227"/>
      <c r="E1195" s="227"/>
      <c r="F1195" s="227"/>
      <c r="G1195" s="229"/>
      <c r="H1195" s="229"/>
      <c r="I1195" s="175" t="s">
        <v>391</v>
      </c>
      <c r="J1195" s="175"/>
      <c r="K1195" s="175"/>
      <c r="L1195" s="175"/>
      <c r="M1195" s="176"/>
      <c r="N1195" s="176"/>
      <c r="O1195" s="176"/>
      <c r="P1195" s="176"/>
      <c r="Q1195" s="176"/>
      <c r="R1195" s="176"/>
      <c r="S1195" s="176"/>
      <c r="T1195" s="176"/>
      <c r="U1195" s="176"/>
      <c r="V1195" s="176"/>
      <c r="W1195" s="176"/>
      <c r="X1195" s="176"/>
      <c r="Y1195" s="177"/>
      <c r="Z1195" s="176"/>
      <c r="AA1195" s="176"/>
      <c r="AB1195" s="176"/>
      <c r="AC1195" s="176"/>
      <c r="AD1195" s="176"/>
      <c r="AE1195" s="176"/>
      <c r="AF1195" s="176"/>
      <c r="AG1195" s="176"/>
      <c r="AH1195" s="176"/>
      <c r="AI1195" s="176"/>
      <c r="AJ1195" s="176"/>
      <c r="AK1195" s="176"/>
      <c r="AL1195" s="176"/>
      <c r="AM1195" s="176"/>
      <c r="AN1195" s="176"/>
      <c r="AO1195" s="176"/>
      <c r="AP1195" s="176"/>
      <c r="AQ1195" s="176"/>
      <c r="AR1195" s="176"/>
      <c r="AS1195" s="176"/>
      <c r="AT1195" s="176"/>
      <c r="AU1195" s="176"/>
      <c r="AV1195" s="176"/>
      <c r="AW1195" s="176"/>
      <c r="AX1195" s="176"/>
      <c r="AY1195" s="176"/>
      <c r="AZ1195" s="176"/>
      <c r="BA1195" s="176"/>
      <c r="BB1195" s="176"/>
      <c r="BC1195" s="176"/>
      <c r="BD1195" s="176"/>
      <c r="BE1195" s="176"/>
      <c r="BF1195" s="176"/>
      <c r="BG1195" s="176"/>
      <c r="BH1195" s="176"/>
      <c r="BI1195" s="176"/>
      <c r="BJ1195" s="176"/>
      <c r="BK1195" s="176"/>
      <c r="BL1195" s="176"/>
      <c r="BM1195" s="176"/>
      <c r="BN1195" s="176"/>
      <c r="BO1195" s="176"/>
      <c r="BP1195" s="176"/>
      <c r="BQ1195" s="176"/>
      <c r="BR1195" s="176"/>
      <c r="BS1195" s="176"/>
      <c r="BT1195" s="176"/>
      <c r="BU1195" s="176"/>
      <c r="BV1195" s="176"/>
      <c r="BW1195" s="176"/>
      <c r="BX1195" s="176"/>
      <c r="BY1195" s="191"/>
      <c r="BZ1195" s="191"/>
      <c r="CA1195" s="191"/>
      <c r="CC1195" s="182"/>
    </row>
    <row r="1196" spans="1:81" s="178" customFormat="1" ht="15.75" customHeight="1">
      <c r="A1196" s="226"/>
      <c r="B1196" s="227"/>
      <c r="C1196" s="227"/>
      <c r="D1196" s="227"/>
      <c r="E1196" s="227"/>
      <c r="F1196" s="227"/>
      <c r="G1196" s="229"/>
      <c r="H1196" s="229"/>
      <c r="I1196" s="175" t="s">
        <v>351</v>
      </c>
      <c r="J1196" s="175"/>
      <c r="K1196" s="175"/>
      <c r="L1196" s="175"/>
      <c r="M1196" s="176"/>
      <c r="N1196" s="176"/>
      <c r="O1196" s="176"/>
      <c r="P1196" s="176"/>
      <c r="Q1196" s="176"/>
      <c r="R1196" s="176"/>
      <c r="S1196" s="176"/>
      <c r="T1196" s="176"/>
      <c r="U1196" s="176"/>
      <c r="V1196" s="176"/>
      <c r="W1196" s="176"/>
      <c r="X1196" s="176"/>
      <c r="Y1196" s="177"/>
      <c r="Z1196" s="176"/>
      <c r="AA1196" s="176"/>
      <c r="AB1196" s="176"/>
      <c r="AC1196" s="176"/>
      <c r="AD1196" s="176"/>
      <c r="AE1196" s="176"/>
      <c r="AF1196" s="176"/>
      <c r="AG1196" s="176"/>
      <c r="AH1196" s="176"/>
      <c r="AI1196" s="176"/>
      <c r="AJ1196" s="176"/>
      <c r="AK1196" s="176"/>
      <c r="AL1196" s="176"/>
      <c r="AM1196" s="176"/>
      <c r="AN1196" s="176"/>
      <c r="AO1196" s="176"/>
      <c r="AP1196" s="176"/>
      <c r="AQ1196" s="176"/>
      <c r="AR1196" s="176"/>
      <c r="AS1196" s="176"/>
      <c r="AT1196" s="176"/>
      <c r="AU1196" s="176"/>
      <c r="AV1196" s="176"/>
      <c r="AW1196" s="176"/>
      <c r="AX1196" s="176"/>
      <c r="AY1196" s="176"/>
      <c r="AZ1196" s="176"/>
      <c r="BA1196" s="176"/>
      <c r="BB1196" s="176"/>
      <c r="BC1196" s="176"/>
      <c r="BD1196" s="176"/>
      <c r="BE1196" s="176"/>
      <c r="BF1196" s="176"/>
      <c r="BG1196" s="176"/>
      <c r="BH1196" s="176"/>
      <c r="BI1196" s="176"/>
      <c r="BJ1196" s="176"/>
      <c r="BK1196" s="176"/>
      <c r="BL1196" s="176"/>
      <c r="BM1196" s="176"/>
      <c r="BN1196" s="176"/>
      <c r="BO1196" s="176"/>
      <c r="BP1196" s="176"/>
      <c r="BQ1196" s="176"/>
      <c r="BR1196" s="176"/>
      <c r="BS1196" s="176"/>
      <c r="BT1196" s="176"/>
      <c r="BU1196" s="176"/>
      <c r="BV1196" s="176"/>
      <c r="BW1196" s="176"/>
      <c r="BX1196" s="176"/>
      <c r="BY1196" s="191"/>
      <c r="BZ1196" s="191"/>
      <c r="CA1196" s="191"/>
      <c r="CC1196" s="182"/>
    </row>
    <row r="1197" spans="1:81" s="178" customFormat="1" ht="15.75" customHeight="1">
      <c r="A1197" s="226"/>
      <c r="B1197" s="227"/>
      <c r="C1197" s="227"/>
      <c r="D1197" s="227"/>
      <c r="E1197" s="227"/>
      <c r="F1197" s="227"/>
      <c r="G1197" s="229"/>
      <c r="H1197" s="229"/>
      <c r="I1197" s="175" t="s">
        <v>353</v>
      </c>
      <c r="J1197" s="175"/>
      <c r="K1197" s="175"/>
      <c r="L1197" s="175"/>
      <c r="M1197" s="176"/>
      <c r="N1197" s="176"/>
      <c r="O1197" s="176"/>
      <c r="P1197" s="176"/>
      <c r="Q1197" s="176"/>
      <c r="R1197" s="176"/>
      <c r="S1197" s="176"/>
      <c r="T1197" s="176"/>
      <c r="U1197" s="176"/>
      <c r="V1197" s="176"/>
      <c r="W1197" s="176"/>
      <c r="X1197" s="176"/>
      <c r="Y1197" s="176"/>
      <c r="Z1197" s="176"/>
      <c r="AA1197" s="176"/>
      <c r="AB1197" s="176"/>
      <c r="AC1197" s="176"/>
      <c r="AD1197" s="176"/>
      <c r="AE1197" s="176"/>
      <c r="AF1197" s="176"/>
      <c r="AG1197" s="176"/>
      <c r="AH1197" s="176"/>
      <c r="AI1197" s="176"/>
      <c r="AJ1197" s="176"/>
      <c r="AK1197" s="176"/>
      <c r="AL1197" s="176"/>
      <c r="AM1197" s="176"/>
      <c r="AN1197" s="176"/>
      <c r="AO1197" s="176"/>
      <c r="AP1197" s="176"/>
      <c r="AQ1197" s="176"/>
      <c r="AR1197" s="176"/>
      <c r="AS1197" s="176"/>
      <c r="AT1197" s="176"/>
      <c r="AU1197" s="176"/>
      <c r="AV1197" s="176"/>
      <c r="AW1197" s="176"/>
      <c r="AX1197" s="176"/>
      <c r="AY1197" s="176"/>
      <c r="AZ1197" s="176"/>
      <c r="BA1197" s="176"/>
      <c r="BB1197" s="176"/>
      <c r="BC1197" s="176"/>
      <c r="BD1197" s="176"/>
      <c r="BE1197" s="176"/>
      <c r="BF1197" s="176"/>
      <c r="BG1197" s="176"/>
      <c r="BH1197" s="176"/>
      <c r="BI1197" s="176"/>
      <c r="BJ1197" s="176"/>
      <c r="BK1197" s="176"/>
      <c r="BL1197" s="176"/>
      <c r="BM1197" s="176"/>
      <c r="BN1197" s="176"/>
      <c r="BO1197" s="176"/>
      <c r="BP1197" s="176"/>
      <c r="BQ1197" s="176"/>
      <c r="BR1197" s="176"/>
      <c r="BS1197" s="176"/>
      <c r="BT1197" s="176"/>
      <c r="BU1197" s="176"/>
      <c r="BV1197" s="176"/>
      <c r="BW1197" s="176"/>
      <c r="BX1197" s="176"/>
      <c r="BY1197" s="191"/>
      <c r="BZ1197" s="191"/>
      <c r="CA1197" s="191"/>
      <c r="CC1197" s="182"/>
    </row>
    <row r="1198" spans="1:81" s="178" customFormat="1" ht="15.75" customHeight="1">
      <c r="A1198" s="226"/>
      <c r="B1198" s="227"/>
      <c r="C1198" s="227"/>
      <c r="D1198" s="227"/>
      <c r="E1198" s="227"/>
      <c r="F1198" s="227"/>
      <c r="G1198" s="229"/>
      <c r="H1198" s="229"/>
      <c r="I1198" s="175" t="s">
        <v>354</v>
      </c>
      <c r="J1198" s="175"/>
      <c r="K1198" s="175"/>
      <c r="L1198" s="175"/>
      <c r="M1198" s="176"/>
      <c r="N1198" s="176"/>
      <c r="O1198" s="176"/>
      <c r="P1198" s="176"/>
      <c r="Q1198" s="176"/>
      <c r="R1198" s="176"/>
      <c r="S1198" s="176"/>
      <c r="T1198" s="176"/>
      <c r="U1198" s="176"/>
      <c r="V1198" s="176"/>
      <c r="W1198" s="176"/>
      <c r="X1198" s="176"/>
      <c r="Y1198" s="176"/>
      <c r="Z1198" s="176"/>
      <c r="AA1198" s="176"/>
      <c r="AB1198" s="176"/>
      <c r="AC1198" s="176"/>
      <c r="AD1198" s="176"/>
      <c r="AE1198" s="176"/>
      <c r="AF1198" s="176"/>
      <c r="AG1198" s="176"/>
      <c r="AH1198" s="176"/>
      <c r="AI1198" s="176"/>
      <c r="AJ1198" s="176"/>
      <c r="AK1198" s="176"/>
      <c r="AL1198" s="176"/>
      <c r="AM1198" s="176"/>
      <c r="AN1198" s="176"/>
      <c r="AO1198" s="176"/>
      <c r="AP1198" s="176"/>
      <c r="AQ1198" s="176"/>
      <c r="AR1198" s="176"/>
      <c r="AS1198" s="176"/>
      <c r="AT1198" s="176"/>
      <c r="AU1198" s="176"/>
      <c r="AV1198" s="176"/>
      <c r="AW1198" s="176"/>
      <c r="AX1198" s="176"/>
      <c r="AY1198" s="176"/>
      <c r="AZ1198" s="176"/>
      <c r="BA1198" s="176"/>
      <c r="BB1198" s="176"/>
      <c r="BC1198" s="176"/>
      <c r="BD1198" s="176"/>
      <c r="BE1198" s="176"/>
      <c r="BF1198" s="176"/>
      <c r="BG1198" s="176"/>
      <c r="BH1198" s="176"/>
      <c r="BI1198" s="176"/>
      <c r="BJ1198" s="176"/>
      <c r="BK1198" s="176"/>
      <c r="BL1198" s="176"/>
      <c r="BM1198" s="176"/>
      <c r="BN1198" s="176"/>
      <c r="BO1198" s="176"/>
      <c r="BP1198" s="176"/>
      <c r="BQ1198" s="176"/>
      <c r="BR1198" s="176"/>
      <c r="BS1198" s="176"/>
      <c r="BT1198" s="176"/>
      <c r="BU1198" s="176"/>
      <c r="BV1198" s="176"/>
      <c r="BW1198" s="176"/>
      <c r="BX1198" s="176"/>
      <c r="BY1198" s="191"/>
      <c r="BZ1198" s="191"/>
      <c r="CA1198" s="191"/>
      <c r="CC1198" s="182"/>
    </row>
    <row r="1199" spans="1:81" s="178" customFormat="1" ht="15.75" customHeight="1">
      <c r="A1199" s="226"/>
      <c r="B1199" s="227"/>
      <c r="C1199" s="227"/>
      <c r="D1199" s="227"/>
      <c r="E1199" s="227"/>
      <c r="F1199" s="227"/>
      <c r="G1199" s="229"/>
      <c r="H1199" s="229"/>
      <c r="I1199" s="175" t="s">
        <v>357</v>
      </c>
      <c r="J1199" s="175"/>
      <c r="K1199" s="175"/>
      <c r="L1199" s="175"/>
      <c r="M1199" s="176"/>
      <c r="N1199" s="176"/>
      <c r="O1199" s="176"/>
      <c r="P1199" s="176"/>
      <c r="Q1199" s="176"/>
      <c r="R1199" s="176"/>
      <c r="S1199" s="176"/>
      <c r="T1199" s="176"/>
      <c r="U1199" s="176"/>
      <c r="V1199" s="176"/>
      <c r="W1199" s="176"/>
      <c r="X1199" s="176"/>
      <c r="Y1199" s="176"/>
      <c r="Z1199" s="176"/>
      <c r="AA1199" s="176"/>
      <c r="AB1199" s="176"/>
      <c r="AC1199" s="176"/>
      <c r="AD1199" s="176"/>
      <c r="AE1199" s="176"/>
      <c r="AF1199" s="176"/>
      <c r="AG1199" s="176"/>
      <c r="AH1199" s="176"/>
      <c r="AI1199" s="176"/>
      <c r="AJ1199" s="176"/>
      <c r="AK1199" s="176"/>
      <c r="AL1199" s="176"/>
      <c r="AM1199" s="176"/>
      <c r="AN1199" s="176"/>
      <c r="AO1199" s="176"/>
      <c r="AP1199" s="176"/>
      <c r="AQ1199" s="176"/>
      <c r="AR1199" s="176"/>
      <c r="AS1199" s="176"/>
      <c r="AT1199" s="176"/>
      <c r="AU1199" s="176"/>
      <c r="AV1199" s="176"/>
      <c r="AW1199" s="176"/>
      <c r="AX1199" s="176"/>
      <c r="AY1199" s="176"/>
      <c r="AZ1199" s="176"/>
      <c r="BA1199" s="176"/>
      <c r="BB1199" s="176"/>
      <c r="BC1199" s="176"/>
      <c r="BD1199" s="176"/>
      <c r="BE1199" s="176"/>
      <c r="BF1199" s="176"/>
      <c r="BG1199" s="176"/>
      <c r="BH1199" s="176"/>
      <c r="BI1199" s="176"/>
      <c r="BJ1199" s="176"/>
      <c r="BK1199" s="176"/>
      <c r="BL1199" s="176"/>
      <c r="BM1199" s="176"/>
      <c r="BN1199" s="176"/>
      <c r="BO1199" s="176"/>
      <c r="BP1199" s="176"/>
      <c r="BQ1199" s="176"/>
      <c r="BR1199" s="176"/>
      <c r="BS1199" s="176"/>
      <c r="BT1199" s="176"/>
      <c r="BU1199" s="176"/>
      <c r="BV1199" s="176"/>
      <c r="BW1199" s="176">
        <f>163.2+128</f>
        <v>291.2</v>
      </c>
      <c r="BX1199" s="176"/>
      <c r="BY1199" s="191"/>
      <c r="BZ1199" s="191"/>
      <c r="CA1199" s="191"/>
      <c r="CC1199" s="182"/>
    </row>
    <row r="1200" spans="1:81" s="178" customFormat="1" ht="15.75" customHeight="1">
      <c r="A1200" s="226"/>
      <c r="B1200" s="227"/>
      <c r="C1200" s="227"/>
      <c r="D1200" s="227"/>
      <c r="E1200" s="227"/>
      <c r="F1200" s="227"/>
      <c r="G1200" s="229"/>
      <c r="H1200" s="229"/>
      <c r="I1200" s="175" t="s">
        <v>355</v>
      </c>
      <c r="J1200" s="175"/>
      <c r="K1200" s="175"/>
      <c r="L1200" s="175"/>
      <c r="M1200" s="176"/>
      <c r="N1200" s="176"/>
      <c r="O1200" s="176"/>
      <c r="P1200" s="176"/>
      <c r="Q1200" s="176"/>
      <c r="R1200" s="176"/>
      <c r="S1200" s="176"/>
      <c r="T1200" s="176"/>
      <c r="U1200" s="176"/>
      <c r="V1200" s="176"/>
      <c r="W1200" s="176"/>
      <c r="X1200" s="176"/>
      <c r="Y1200" s="176"/>
      <c r="Z1200" s="176"/>
      <c r="AA1200" s="176"/>
      <c r="AB1200" s="176"/>
      <c r="AC1200" s="176"/>
      <c r="AD1200" s="176"/>
      <c r="AE1200" s="176"/>
      <c r="AF1200" s="176"/>
      <c r="AG1200" s="176"/>
      <c r="AH1200" s="176"/>
      <c r="AI1200" s="176"/>
      <c r="AJ1200" s="176"/>
      <c r="AK1200" s="176"/>
      <c r="AL1200" s="176"/>
      <c r="AM1200" s="176"/>
      <c r="AN1200" s="176"/>
      <c r="AO1200" s="176"/>
      <c r="AP1200" s="176"/>
      <c r="AQ1200" s="176"/>
      <c r="AR1200" s="176"/>
      <c r="AS1200" s="176"/>
      <c r="AT1200" s="176"/>
      <c r="AU1200" s="176"/>
      <c r="AV1200" s="176"/>
      <c r="AW1200" s="176"/>
      <c r="AX1200" s="176"/>
      <c r="AY1200" s="176"/>
      <c r="AZ1200" s="176"/>
      <c r="BA1200" s="176"/>
      <c r="BB1200" s="176"/>
      <c r="BC1200" s="176"/>
      <c r="BD1200" s="176"/>
      <c r="BE1200" s="176"/>
      <c r="BF1200" s="176"/>
      <c r="BG1200" s="176"/>
      <c r="BH1200" s="176"/>
      <c r="BI1200" s="176"/>
      <c r="BJ1200" s="176"/>
      <c r="BK1200" s="176"/>
      <c r="BL1200" s="212"/>
      <c r="BM1200" s="212"/>
      <c r="BN1200" s="212"/>
      <c r="BO1200" s="212"/>
      <c r="BP1200" s="212"/>
      <c r="BQ1200" s="212"/>
      <c r="BR1200" s="212"/>
      <c r="BS1200" s="212"/>
      <c r="BT1200" s="212"/>
      <c r="BU1200" s="212"/>
      <c r="BV1200" s="212"/>
      <c r="BW1200" s="212"/>
      <c r="BX1200" s="176"/>
      <c r="BY1200" s="191"/>
      <c r="BZ1200" s="191"/>
      <c r="CA1200" s="191"/>
      <c r="CC1200" s="182"/>
    </row>
    <row r="1201" spans="1:81" s="178" customFormat="1" ht="15.75" customHeight="1">
      <c r="A1201" s="226"/>
      <c r="B1201" s="227"/>
      <c r="C1201" s="227"/>
      <c r="D1201" s="227"/>
      <c r="E1201" s="227"/>
      <c r="F1201" s="227"/>
      <c r="G1201" s="229"/>
      <c r="H1201" s="229"/>
      <c r="I1201" s="184" t="s">
        <v>362</v>
      </c>
      <c r="J1201" s="175"/>
      <c r="K1201" s="175"/>
      <c r="L1201" s="175"/>
      <c r="M1201" s="176"/>
      <c r="N1201" s="176"/>
      <c r="O1201" s="176"/>
      <c r="P1201" s="176"/>
      <c r="Q1201" s="176"/>
      <c r="R1201" s="176"/>
      <c r="S1201" s="176"/>
      <c r="T1201" s="176"/>
      <c r="U1201" s="176"/>
      <c r="V1201" s="176"/>
      <c r="W1201" s="176"/>
      <c r="X1201" s="176"/>
      <c r="Y1201" s="176"/>
      <c r="Z1201" s="176"/>
      <c r="AA1201" s="176"/>
      <c r="AB1201" s="176"/>
      <c r="AC1201" s="176"/>
      <c r="AD1201" s="176"/>
      <c r="AE1201" s="176"/>
      <c r="AF1201" s="176"/>
      <c r="AG1201" s="176"/>
      <c r="AH1201" s="176"/>
      <c r="AI1201" s="176"/>
      <c r="AJ1201" s="176"/>
      <c r="AK1201" s="176"/>
      <c r="AL1201" s="176"/>
      <c r="AM1201" s="176"/>
      <c r="AN1201" s="176"/>
      <c r="AO1201" s="176"/>
      <c r="AP1201" s="176"/>
      <c r="AQ1201" s="176"/>
      <c r="AR1201" s="176"/>
      <c r="AS1201" s="176"/>
      <c r="AT1201" s="176"/>
      <c r="AU1201" s="176"/>
      <c r="AV1201" s="176"/>
      <c r="AW1201" s="176"/>
      <c r="AX1201" s="176"/>
      <c r="AY1201" s="176"/>
      <c r="AZ1201" s="176"/>
      <c r="BA1201" s="176"/>
      <c r="BB1201" s="176"/>
      <c r="BC1201" s="176"/>
      <c r="BD1201" s="176"/>
      <c r="BE1201" s="176"/>
      <c r="BF1201" s="176"/>
      <c r="BG1201" s="176"/>
      <c r="BH1201" s="176"/>
      <c r="BI1201" s="176"/>
      <c r="BJ1201" s="176"/>
      <c r="BK1201" s="176"/>
      <c r="BL1201" s="176"/>
      <c r="BM1201" s="176"/>
      <c r="BN1201" s="176"/>
      <c r="BO1201" s="176"/>
      <c r="BP1201" s="176"/>
      <c r="BQ1201" s="176"/>
      <c r="BR1201" s="176"/>
      <c r="BS1201" s="176"/>
      <c r="BT1201" s="176"/>
      <c r="BU1201" s="176"/>
      <c r="BV1201" s="176"/>
      <c r="BW1201" s="176"/>
      <c r="BX1201" s="176"/>
      <c r="BY1201" s="191"/>
      <c r="BZ1201" s="191"/>
      <c r="CA1201" s="191"/>
      <c r="CC1201" s="182"/>
    </row>
    <row r="1202" spans="1:81" s="178" customFormat="1">
      <c r="A1202" s="226"/>
      <c r="B1202" s="227"/>
      <c r="C1202" s="227"/>
      <c r="D1202" s="227"/>
      <c r="E1202" s="227"/>
      <c r="F1202" s="227"/>
      <c r="G1202" s="229"/>
      <c r="H1202" s="229"/>
      <c r="I1202" s="190" t="s">
        <v>363</v>
      </c>
      <c r="J1202" s="190"/>
      <c r="K1202" s="190"/>
      <c r="L1202" s="190"/>
      <c r="M1202" s="176"/>
      <c r="N1202" s="176"/>
      <c r="O1202" s="176"/>
      <c r="P1202" s="176"/>
      <c r="Q1202" s="176"/>
      <c r="R1202" s="176"/>
      <c r="S1202" s="176"/>
      <c r="T1202" s="176"/>
      <c r="U1202" s="176"/>
      <c r="V1202" s="176"/>
      <c r="W1202" s="176"/>
      <c r="X1202" s="176"/>
      <c r="Y1202" s="176"/>
      <c r="Z1202" s="176"/>
      <c r="AA1202" s="176"/>
      <c r="AB1202" s="176"/>
      <c r="AC1202" s="176"/>
      <c r="AD1202" s="176"/>
      <c r="AE1202" s="176"/>
      <c r="AF1202" s="176"/>
      <c r="AG1202" s="176"/>
      <c r="AH1202" s="176"/>
      <c r="AI1202" s="176"/>
      <c r="AJ1202" s="176"/>
      <c r="AK1202" s="176"/>
      <c r="AL1202" s="176"/>
      <c r="AM1202" s="176"/>
      <c r="AN1202" s="176"/>
      <c r="AO1202" s="176"/>
      <c r="AP1202" s="176"/>
      <c r="AQ1202" s="176"/>
      <c r="AR1202" s="176"/>
      <c r="AS1202" s="176"/>
      <c r="AT1202" s="176"/>
      <c r="AU1202" s="176"/>
      <c r="AV1202" s="176"/>
      <c r="AW1202" s="176"/>
      <c r="AX1202" s="176"/>
      <c r="AY1202" s="176"/>
      <c r="AZ1202" s="176"/>
      <c r="BA1202" s="176"/>
      <c r="BB1202" s="176"/>
      <c r="BC1202" s="176"/>
      <c r="BD1202" s="176"/>
      <c r="BE1202" s="176"/>
      <c r="BF1202" s="176"/>
      <c r="BG1202" s="176"/>
      <c r="BH1202" s="176"/>
      <c r="BI1202" s="176"/>
      <c r="BJ1202" s="176"/>
      <c r="BK1202" s="176"/>
      <c r="BL1202" s="176"/>
      <c r="BM1202" s="176"/>
      <c r="BN1202" s="176"/>
      <c r="BO1202" s="176"/>
      <c r="BP1202" s="176"/>
      <c r="BQ1202" s="176"/>
      <c r="BR1202" s="176"/>
      <c r="BS1202" s="176"/>
      <c r="BT1202" s="176"/>
      <c r="BU1202" s="176"/>
      <c r="BV1202" s="176"/>
      <c r="BW1202" s="176"/>
      <c r="BX1202" s="176"/>
      <c r="BY1202" s="191"/>
      <c r="BZ1202" s="191"/>
    </row>
    <row r="1203" spans="1:81" s="178" customFormat="1">
      <c r="A1203" s="226"/>
      <c r="B1203" s="227"/>
      <c r="C1203" s="227"/>
      <c r="D1203" s="227"/>
      <c r="E1203" s="227"/>
      <c r="F1203" s="227"/>
      <c r="G1203" s="229"/>
      <c r="H1203" s="229"/>
      <c r="I1203" s="193" t="s">
        <v>373</v>
      </c>
      <c r="J1203" s="193"/>
      <c r="K1203" s="193"/>
      <c r="L1203" s="193"/>
      <c r="M1203" s="176"/>
      <c r="N1203" s="176"/>
      <c r="O1203" s="176"/>
      <c r="P1203" s="176"/>
      <c r="Q1203" s="176"/>
      <c r="R1203" s="176"/>
      <c r="S1203" s="176"/>
      <c r="T1203" s="176"/>
      <c r="U1203" s="176"/>
      <c r="V1203" s="176"/>
      <c r="W1203" s="176"/>
      <c r="X1203" s="176"/>
      <c r="Y1203" s="176"/>
      <c r="Z1203" s="176"/>
      <c r="AA1203" s="176"/>
      <c r="AB1203" s="176"/>
      <c r="AC1203" s="176"/>
      <c r="AD1203" s="176"/>
      <c r="AE1203" s="176"/>
      <c r="AF1203" s="176"/>
      <c r="AG1203" s="176"/>
      <c r="AH1203" s="176"/>
      <c r="AI1203" s="176"/>
      <c r="AJ1203" s="176"/>
      <c r="AK1203" s="176"/>
      <c r="AL1203" s="176"/>
      <c r="AM1203" s="176"/>
      <c r="AN1203" s="176"/>
      <c r="AO1203" s="176"/>
      <c r="AP1203" s="176"/>
      <c r="AQ1203" s="176"/>
      <c r="AR1203" s="176"/>
      <c r="AS1203" s="176"/>
      <c r="AT1203" s="176"/>
      <c r="AU1203" s="176"/>
      <c r="AV1203" s="176"/>
      <c r="AW1203" s="176"/>
      <c r="AX1203" s="176"/>
      <c r="AY1203" s="176"/>
      <c r="AZ1203" s="176"/>
      <c r="BA1203" s="176"/>
      <c r="BB1203" s="176"/>
      <c r="BC1203" s="176"/>
      <c r="BD1203" s="176"/>
      <c r="BE1203" s="176"/>
      <c r="BF1203" s="176"/>
      <c r="BG1203" s="176"/>
      <c r="BH1203" s="176"/>
      <c r="BI1203" s="176"/>
      <c r="BJ1203" s="176"/>
      <c r="BK1203" s="176"/>
      <c r="BL1203" s="176"/>
      <c r="BM1203" s="176"/>
      <c r="BN1203" s="176"/>
      <c r="BO1203" s="176"/>
      <c r="BP1203" s="176"/>
      <c r="BQ1203" s="176"/>
      <c r="BR1203" s="176"/>
      <c r="BS1203" s="176"/>
      <c r="BT1203" s="176"/>
      <c r="BU1203" s="176"/>
      <c r="BV1203" s="176"/>
      <c r="BW1203" s="176">
        <v>95.24</v>
      </c>
      <c r="BX1203" s="176"/>
      <c r="BY1203" s="191"/>
      <c r="BZ1203" s="191"/>
    </row>
    <row r="1204" spans="1:81" s="178" customFormat="1" ht="13.9" customHeight="1">
      <c r="A1204" s="226"/>
      <c r="B1204" s="227"/>
      <c r="C1204" s="227"/>
      <c r="D1204" s="227"/>
      <c r="E1204" s="227"/>
      <c r="F1204" s="227"/>
      <c r="G1204" s="229"/>
      <c r="H1204" s="229"/>
      <c r="I1204" s="190"/>
      <c r="J1204" s="176">
        <f>SUM(J1193:J1202)-J1203</f>
        <v>0</v>
      </c>
      <c r="K1204" s="176">
        <f t="shared" ref="K1204:Y1204" si="574">SUM(K1193:K1202)-K1203</f>
        <v>0</v>
      </c>
      <c r="L1204" s="176">
        <f t="shared" si="574"/>
        <v>0</v>
      </c>
      <c r="M1204" s="176">
        <f t="shared" si="574"/>
        <v>0</v>
      </c>
      <c r="N1204" s="176">
        <f t="shared" si="574"/>
        <v>0</v>
      </c>
      <c r="O1204" s="176">
        <f t="shared" si="574"/>
        <v>0</v>
      </c>
      <c r="P1204" s="176">
        <f t="shared" si="574"/>
        <v>0</v>
      </c>
      <c r="Q1204" s="176">
        <f t="shared" si="574"/>
        <v>0</v>
      </c>
      <c r="R1204" s="176">
        <f t="shared" si="574"/>
        <v>0</v>
      </c>
      <c r="S1204" s="176">
        <f t="shared" si="574"/>
        <v>0</v>
      </c>
      <c r="T1204" s="176">
        <f t="shared" si="574"/>
        <v>0</v>
      </c>
      <c r="U1204" s="176">
        <f t="shared" si="574"/>
        <v>0</v>
      </c>
      <c r="V1204" s="176">
        <f t="shared" si="574"/>
        <v>0</v>
      </c>
      <c r="W1204" s="176">
        <f t="shared" si="574"/>
        <v>0</v>
      </c>
      <c r="X1204" s="176">
        <f t="shared" si="574"/>
        <v>0</v>
      </c>
      <c r="Y1204" s="176">
        <f t="shared" si="574"/>
        <v>0</v>
      </c>
      <c r="Z1204" s="176">
        <f>SUM(Z1193:Z1202)-Z1203</f>
        <v>0</v>
      </c>
      <c r="AA1204" s="176">
        <f t="shared" ref="AA1204:AD1204" si="575">SUM(AA1193:AA1202)-AA1203</f>
        <v>0</v>
      </c>
      <c r="AB1204" s="176">
        <f t="shared" si="575"/>
        <v>0</v>
      </c>
      <c r="AC1204" s="176">
        <f t="shared" si="575"/>
        <v>0</v>
      </c>
      <c r="AD1204" s="176">
        <f t="shared" si="575"/>
        <v>0</v>
      </c>
      <c r="AE1204" s="176">
        <f>SUM(AE1193:AE1202)-AE1203</f>
        <v>0</v>
      </c>
      <c r="AF1204" s="176">
        <f>SUM(AF1193:AF1202)-AF1203</f>
        <v>0</v>
      </c>
      <c r="AG1204" s="176">
        <f t="shared" ref="AG1204:AU1204" si="576">SUM(AG1193:AG1202)-AG1203</f>
        <v>0</v>
      </c>
      <c r="AH1204" s="176">
        <f t="shared" si="576"/>
        <v>0</v>
      </c>
      <c r="AI1204" s="176">
        <f t="shared" si="576"/>
        <v>0</v>
      </c>
      <c r="AJ1204" s="176">
        <f t="shared" si="576"/>
        <v>0</v>
      </c>
      <c r="AK1204" s="176">
        <f t="shared" si="576"/>
        <v>0</v>
      </c>
      <c r="AL1204" s="176">
        <f t="shared" si="576"/>
        <v>0</v>
      </c>
      <c r="AM1204" s="176">
        <f t="shared" si="576"/>
        <v>0</v>
      </c>
      <c r="AN1204" s="176">
        <f t="shared" si="576"/>
        <v>0</v>
      </c>
      <c r="AO1204" s="176">
        <f t="shared" si="576"/>
        <v>0</v>
      </c>
      <c r="AP1204" s="176">
        <f t="shared" si="576"/>
        <v>0</v>
      </c>
      <c r="AQ1204" s="176">
        <f t="shared" si="576"/>
        <v>0</v>
      </c>
      <c r="AR1204" s="176">
        <f t="shared" si="576"/>
        <v>0</v>
      </c>
      <c r="AS1204" s="176">
        <f t="shared" si="576"/>
        <v>0</v>
      </c>
      <c r="AT1204" s="176">
        <f t="shared" si="576"/>
        <v>0</v>
      </c>
      <c r="AU1204" s="176">
        <f t="shared" si="576"/>
        <v>0</v>
      </c>
      <c r="AV1204" s="176">
        <f>SUM(AV1193:AV1202)-AV1203</f>
        <v>0</v>
      </c>
      <c r="AW1204" s="176">
        <f t="shared" ref="AW1204:BA1204" si="577">SUM(AW1193:AW1202)-AW1203</f>
        <v>0</v>
      </c>
      <c r="AX1204" s="176">
        <f t="shared" si="577"/>
        <v>0</v>
      </c>
      <c r="AY1204" s="176">
        <f t="shared" si="577"/>
        <v>0</v>
      </c>
      <c r="AZ1204" s="176">
        <f t="shared" si="577"/>
        <v>0</v>
      </c>
      <c r="BA1204" s="176">
        <f t="shared" si="577"/>
        <v>0</v>
      </c>
      <c r="BB1204" s="176"/>
      <c r="BC1204" s="176"/>
      <c r="BD1204" s="176"/>
      <c r="BE1204" s="176"/>
      <c r="BF1204" s="176"/>
      <c r="BG1204" s="176"/>
      <c r="BH1204" s="176"/>
      <c r="BI1204" s="176"/>
      <c r="BJ1204" s="176"/>
      <c r="BK1204" s="176"/>
      <c r="BL1204" s="176"/>
      <c r="BM1204" s="176"/>
      <c r="BN1204" s="176"/>
      <c r="BO1204" s="176"/>
      <c r="BP1204" s="176"/>
      <c r="BQ1204" s="176"/>
      <c r="BR1204" s="176"/>
      <c r="BS1204" s="176"/>
      <c r="BT1204" s="176"/>
      <c r="BU1204" s="176"/>
      <c r="BV1204" s="176"/>
      <c r="BW1204" s="176">
        <f>BW1194+BW1199-BW1203</f>
        <v>874.22</v>
      </c>
      <c r="BX1204" s="176">
        <f>SUM(BV1204:BW1204)</f>
        <v>874.22</v>
      </c>
      <c r="BY1204" s="191"/>
      <c r="BZ1204" s="191"/>
    </row>
    <row r="1205" spans="1:81" ht="15" thickBot="1"/>
    <row r="1206" spans="1:81" ht="15" thickBot="1">
      <c r="A1206" s="197"/>
      <c r="B1206" s="198"/>
      <c r="C1206" s="70"/>
      <c r="D1206" s="70"/>
      <c r="E1206" s="198"/>
      <c r="F1206" s="198"/>
      <c r="G1206" s="70"/>
      <c r="H1206" s="70"/>
      <c r="I1206" s="70"/>
      <c r="J1206" s="70"/>
      <c r="K1206" s="70"/>
      <c r="L1206" s="70"/>
      <c r="M1206" s="70"/>
      <c r="N1206" s="70"/>
      <c r="O1206" s="70"/>
      <c r="P1206" s="70"/>
      <c r="Q1206" s="70"/>
      <c r="R1206" s="70"/>
      <c r="S1206" s="70"/>
      <c r="T1206" s="70"/>
      <c r="U1206" s="70"/>
      <c r="V1206" s="70"/>
      <c r="W1206" s="70"/>
      <c r="X1206" s="70"/>
      <c r="Y1206" s="70"/>
      <c r="Z1206" s="70"/>
      <c r="AA1206" s="70"/>
      <c r="AB1206" s="70"/>
      <c r="AC1206" s="70"/>
      <c r="AD1206" s="70"/>
      <c r="AE1206" s="70"/>
      <c r="AF1206" s="70"/>
      <c r="AG1206" s="70"/>
      <c r="AH1206" s="70"/>
      <c r="AI1206" s="70"/>
      <c r="AJ1206" s="70"/>
      <c r="AK1206" s="70"/>
      <c r="AL1206" s="70"/>
      <c r="AM1206" s="70"/>
      <c r="AN1206" s="70"/>
      <c r="AO1206" s="70"/>
      <c r="AP1206" s="70"/>
      <c r="AQ1206" s="70"/>
      <c r="AR1206" s="70"/>
      <c r="AS1206" s="70"/>
      <c r="AT1206" s="70"/>
      <c r="AU1206" s="70"/>
      <c r="AV1206" s="70"/>
      <c r="AW1206" s="70"/>
      <c r="AX1206" s="70"/>
      <c r="AY1206" s="70"/>
      <c r="AZ1206" s="70"/>
      <c r="BA1206" s="70"/>
      <c r="BB1206" s="199"/>
      <c r="BC1206" s="70"/>
      <c r="BD1206" s="70"/>
      <c r="BE1206" s="70"/>
      <c r="BF1206" s="70"/>
      <c r="BG1206" s="70"/>
      <c r="BH1206" s="70"/>
      <c r="BI1206" s="70"/>
      <c r="BJ1206" s="70"/>
      <c r="BK1206" s="70"/>
      <c r="BL1206" s="70"/>
      <c r="BM1206" s="70"/>
      <c r="BN1206" s="70"/>
      <c r="BO1206" s="70"/>
      <c r="BP1206" s="70"/>
      <c r="BQ1206" s="70"/>
      <c r="BR1206" s="70"/>
      <c r="BS1206" s="70"/>
      <c r="BT1206" s="70"/>
      <c r="BU1206" s="70"/>
      <c r="BV1206" s="70"/>
      <c r="BW1206" s="201"/>
      <c r="BX1206" s="200">
        <f>SUM(BX2:BX1205)</f>
        <v>1812553.0619999999</v>
      </c>
    </row>
  </sheetData>
  <autoFilter ref="A1:CC893" xr:uid="{DDD62F42-D033-456B-BE9D-199E33F14B0E}"/>
  <mergeCells count="710">
    <mergeCell ref="A1128:A1139"/>
    <mergeCell ref="B1128:B1139"/>
    <mergeCell ref="C1128:C1139"/>
    <mergeCell ref="D1128:D1139"/>
    <mergeCell ref="E1128:E1139"/>
    <mergeCell ref="F1128:F1139"/>
    <mergeCell ref="G1128:G1139"/>
    <mergeCell ref="H1128:H1139"/>
    <mergeCell ref="A1141:A1152"/>
    <mergeCell ref="B1141:B1152"/>
    <mergeCell ref="C1141:C1152"/>
    <mergeCell ref="D1141:D1152"/>
    <mergeCell ref="E1141:E1152"/>
    <mergeCell ref="F1141:F1152"/>
    <mergeCell ref="G1141:G1152"/>
    <mergeCell ref="H1141:H1152"/>
    <mergeCell ref="A973:A984"/>
    <mergeCell ref="B973:B984"/>
    <mergeCell ref="C973:C984"/>
    <mergeCell ref="D973:D984"/>
    <mergeCell ref="E973:E984"/>
    <mergeCell ref="F973:F984"/>
    <mergeCell ref="G973:G984"/>
    <mergeCell ref="H973:H984"/>
    <mergeCell ref="A986:A997"/>
    <mergeCell ref="B986:B997"/>
    <mergeCell ref="C986:C997"/>
    <mergeCell ref="D986:D997"/>
    <mergeCell ref="E986:E997"/>
    <mergeCell ref="F986:F997"/>
    <mergeCell ref="G986:G997"/>
    <mergeCell ref="H986:H997"/>
    <mergeCell ref="A947:A958"/>
    <mergeCell ref="B947:B958"/>
    <mergeCell ref="C947:C958"/>
    <mergeCell ref="D947:D958"/>
    <mergeCell ref="E947:E958"/>
    <mergeCell ref="F947:F958"/>
    <mergeCell ref="G947:G958"/>
    <mergeCell ref="H947:H958"/>
    <mergeCell ref="A960:A971"/>
    <mergeCell ref="B960:B971"/>
    <mergeCell ref="C960:C971"/>
    <mergeCell ref="D960:D971"/>
    <mergeCell ref="E960:E971"/>
    <mergeCell ref="F960:F971"/>
    <mergeCell ref="G960:G971"/>
    <mergeCell ref="H960:H971"/>
    <mergeCell ref="A921:A932"/>
    <mergeCell ref="B921:B932"/>
    <mergeCell ref="C921:C932"/>
    <mergeCell ref="D921:D932"/>
    <mergeCell ref="E921:E932"/>
    <mergeCell ref="F921:F932"/>
    <mergeCell ref="G921:G932"/>
    <mergeCell ref="H921:H932"/>
    <mergeCell ref="A934:A945"/>
    <mergeCell ref="B934:B945"/>
    <mergeCell ref="C934:C945"/>
    <mergeCell ref="D934:D945"/>
    <mergeCell ref="E934:E945"/>
    <mergeCell ref="F934:F945"/>
    <mergeCell ref="G934:G945"/>
    <mergeCell ref="H934:H945"/>
    <mergeCell ref="A895:A906"/>
    <mergeCell ref="B895:B906"/>
    <mergeCell ref="C895:C906"/>
    <mergeCell ref="D895:D906"/>
    <mergeCell ref="E895:E906"/>
    <mergeCell ref="F895:F906"/>
    <mergeCell ref="G895:G906"/>
    <mergeCell ref="H895:H906"/>
    <mergeCell ref="A908:A919"/>
    <mergeCell ref="B908:B919"/>
    <mergeCell ref="C908:C919"/>
    <mergeCell ref="D908:D919"/>
    <mergeCell ref="E908:E919"/>
    <mergeCell ref="F908:F919"/>
    <mergeCell ref="G908:G919"/>
    <mergeCell ref="H908:H919"/>
    <mergeCell ref="F830:F841"/>
    <mergeCell ref="G830:G841"/>
    <mergeCell ref="H830:H841"/>
    <mergeCell ref="A843:A854"/>
    <mergeCell ref="B843:B854"/>
    <mergeCell ref="C843:C854"/>
    <mergeCell ref="D843:D854"/>
    <mergeCell ref="E843:E854"/>
    <mergeCell ref="F843:F854"/>
    <mergeCell ref="G843:G854"/>
    <mergeCell ref="H843:H854"/>
    <mergeCell ref="A830:A841"/>
    <mergeCell ref="B830:B841"/>
    <mergeCell ref="C830:C841"/>
    <mergeCell ref="D830:D841"/>
    <mergeCell ref="E830:E841"/>
    <mergeCell ref="F804:F815"/>
    <mergeCell ref="G804:G815"/>
    <mergeCell ref="H804:H815"/>
    <mergeCell ref="A817:A828"/>
    <mergeCell ref="B817:B828"/>
    <mergeCell ref="C817:C828"/>
    <mergeCell ref="D817:D828"/>
    <mergeCell ref="E817:E828"/>
    <mergeCell ref="F817:F828"/>
    <mergeCell ref="G817:G828"/>
    <mergeCell ref="H817:H828"/>
    <mergeCell ref="A804:A815"/>
    <mergeCell ref="B804:B815"/>
    <mergeCell ref="C804:C815"/>
    <mergeCell ref="D804:D815"/>
    <mergeCell ref="E804:E815"/>
    <mergeCell ref="H644:H655"/>
    <mergeCell ref="H657:H668"/>
    <mergeCell ref="H670:H681"/>
    <mergeCell ref="H566:H578"/>
    <mergeCell ref="H580:H591"/>
    <mergeCell ref="H593:H604"/>
    <mergeCell ref="H606:H617"/>
    <mergeCell ref="H619:H630"/>
    <mergeCell ref="H632:H642"/>
    <mergeCell ref="H487:H498"/>
    <mergeCell ref="H500:H511"/>
    <mergeCell ref="H513:H524"/>
    <mergeCell ref="H526:H538"/>
    <mergeCell ref="H540:H551"/>
    <mergeCell ref="H553:H564"/>
    <mergeCell ref="H396:H407"/>
    <mergeCell ref="H409:H420"/>
    <mergeCell ref="H422:H433"/>
    <mergeCell ref="H448:H459"/>
    <mergeCell ref="H461:H472"/>
    <mergeCell ref="H474:H485"/>
    <mergeCell ref="H291:H302"/>
    <mergeCell ref="H304:H315"/>
    <mergeCell ref="H317:H328"/>
    <mergeCell ref="H343:H354"/>
    <mergeCell ref="H356:H368"/>
    <mergeCell ref="H383:H394"/>
    <mergeCell ref="H210:H222"/>
    <mergeCell ref="H224:H236"/>
    <mergeCell ref="H238:H249"/>
    <mergeCell ref="H251:H263"/>
    <mergeCell ref="H265:H276"/>
    <mergeCell ref="H278:H289"/>
    <mergeCell ref="H330:H341"/>
    <mergeCell ref="H131:H145"/>
    <mergeCell ref="H147:H158"/>
    <mergeCell ref="H160:H171"/>
    <mergeCell ref="H173:H184"/>
    <mergeCell ref="H186:H197"/>
    <mergeCell ref="H199:H208"/>
    <mergeCell ref="G657:G668"/>
    <mergeCell ref="G670:G681"/>
    <mergeCell ref="H2:H17"/>
    <mergeCell ref="H19:H33"/>
    <mergeCell ref="H35:H49"/>
    <mergeCell ref="H51:H65"/>
    <mergeCell ref="H67:H81"/>
    <mergeCell ref="H83:H97"/>
    <mergeCell ref="H99:H113"/>
    <mergeCell ref="H115:H129"/>
    <mergeCell ref="G580:G591"/>
    <mergeCell ref="G593:G604"/>
    <mergeCell ref="G606:G617"/>
    <mergeCell ref="G619:G630"/>
    <mergeCell ref="G632:G642"/>
    <mergeCell ref="G644:G655"/>
    <mergeCell ref="G500:G511"/>
    <mergeCell ref="G513:G524"/>
    <mergeCell ref="G526:G538"/>
    <mergeCell ref="G540:G551"/>
    <mergeCell ref="G553:G564"/>
    <mergeCell ref="G566:G578"/>
    <mergeCell ref="G409:G420"/>
    <mergeCell ref="G422:G433"/>
    <mergeCell ref="G448:G459"/>
    <mergeCell ref="G461:G472"/>
    <mergeCell ref="G474:G485"/>
    <mergeCell ref="G487:G498"/>
    <mergeCell ref="G304:G315"/>
    <mergeCell ref="G317:G328"/>
    <mergeCell ref="G343:G354"/>
    <mergeCell ref="G356:G368"/>
    <mergeCell ref="G383:G394"/>
    <mergeCell ref="G396:G407"/>
    <mergeCell ref="G224:G236"/>
    <mergeCell ref="G238:G249"/>
    <mergeCell ref="G251:G263"/>
    <mergeCell ref="G265:G276"/>
    <mergeCell ref="G278:G289"/>
    <mergeCell ref="G291:G302"/>
    <mergeCell ref="G330:G341"/>
    <mergeCell ref="G147:G158"/>
    <mergeCell ref="G160:G171"/>
    <mergeCell ref="G173:G184"/>
    <mergeCell ref="G186:G197"/>
    <mergeCell ref="G199:G208"/>
    <mergeCell ref="G210:G222"/>
    <mergeCell ref="E670:E681"/>
    <mergeCell ref="G2:G17"/>
    <mergeCell ref="G19:G33"/>
    <mergeCell ref="G35:G49"/>
    <mergeCell ref="G51:G65"/>
    <mergeCell ref="G67:G81"/>
    <mergeCell ref="G83:G97"/>
    <mergeCell ref="G99:G113"/>
    <mergeCell ref="G115:G129"/>
    <mergeCell ref="G131:G145"/>
    <mergeCell ref="E593:E604"/>
    <mergeCell ref="E606:E617"/>
    <mergeCell ref="E619:E630"/>
    <mergeCell ref="E632:E642"/>
    <mergeCell ref="E644:E655"/>
    <mergeCell ref="E657:E668"/>
    <mergeCell ref="E513:E524"/>
    <mergeCell ref="E526:E538"/>
    <mergeCell ref="E540:E551"/>
    <mergeCell ref="E553:E564"/>
    <mergeCell ref="E566:E578"/>
    <mergeCell ref="E580:E591"/>
    <mergeCell ref="E422:E433"/>
    <mergeCell ref="E448:E459"/>
    <mergeCell ref="E461:E472"/>
    <mergeCell ref="E474:E485"/>
    <mergeCell ref="E487:E498"/>
    <mergeCell ref="E500:E511"/>
    <mergeCell ref="E317:E328"/>
    <mergeCell ref="E343:E354"/>
    <mergeCell ref="E356:E368"/>
    <mergeCell ref="E383:E394"/>
    <mergeCell ref="E396:E407"/>
    <mergeCell ref="E409:E420"/>
    <mergeCell ref="E238:E249"/>
    <mergeCell ref="E251:E263"/>
    <mergeCell ref="E265:E276"/>
    <mergeCell ref="E278:E289"/>
    <mergeCell ref="E291:E302"/>
    <mergeCell ref="E304:E315"/>
    <mergeCell ref="E160:E171"/>
    <mergeCell ref="E173:E184"/>
    <mergeCell ref="E186:E197"/>
    <mergeCell ref="E199:E208"/>
    <mergeCell ref="E210:E222"/>
    <mergeCell ref="E224:E236"/>
    <mergeCell ref="E67:E81"/>
    <mergeCell ref="E83:E97"/>
    <mergeCell ref="E99:E113"/>
    <mergeCell ref="E115:E129"/>
    <mergeCell ref="E131:E145"/>
    <mergeCell ref="E147:E158"/>
    <mergeCell ref="C619:C630"/>
    <mergeCell ref="C632:C642"/>
    <mergeCell ref="C644:C655"/>
    <mergeCell ref="C657:C668"/>
    <mergeCell ref="C670:C681"/>
    <mergeCell ref="C540:C551"/>
    <mergeCell ref="C553:C564"/>
    <mergeCell ref="C566:C578"/>
    <mergeCell ref="C580:C591"/>
    <mergeCell ref="C593:C604"/>
    <mergeCell ref="C606:C617"/>
    <mergeCell ref="C461:C472"/>
    <mergeCell ref="C474:C485"/>
    <mergeCell ref="C487:C498"/>
    <mergeCell ref="C500:C511"/>
    <mergeCell ref="C513:C524"/>
    <mergeCell ref="C526:C538"/>
    <mergeCell ref="C356:C368"/>
    <mergeCell ref="C383:C394"/>
    <mergeCell ref="C396:C407"/>
    <mergeCell ref="C409:C420"/>
    <mergeCell ref="C422:C433"/>
    <mergeCell ref="C448:C459"/>
    <mergeCell ref="C265:C276"/>
    <mergeCell ref="C278:C289"/>
    <mergeCell ref="C291:C302"/>
    <mergeCell ref="C304:C315"/>
    <mergeCell ref="C317:C328"/>
    <mergeCell ref="C343:C354"/>
    <mergeCell ref="C186:C197"/>
    <mergeCell ref="C199:C208"/>
    <mergeCell ref="C210:C222"/>
    <mergeCell ref="C224:C236"/>
    <mergeCell ref="C238:C249"/>
    <mergeCell ref="C251:C263"/>
    <mergeCell ref="B606:B617"/>
    <mergeCell ref="B619:B630"/>
    <mergeCell ref="B632:B642"/>
    <mergeCell ref="B644:B655"/>
    <mergeCell ref="B657:B668"/>
    <mergeCell ref="B670:B681"/>
    <mergeCell ref="B526:B538"/>
    <mergeCell ref="B540:B551"/>
    <mergeCell ref="B553:B564"/>
    <mergeCell ref="B566:B578"/>
    <mergeCell ref="B580:B591"/>
    <mergeCell ref="B593:B604"/>
    <mergeCell ref="B448:B459"/>
    <mergeCell ref="B461:B472"/>
    <mergeCell ref="B474:B485"/>
    <mergeCell ref="B487:B498"/>
    <mergeCell ref="B500:B511"/>
    <mergeCell ref="B513:B524"/>
    <mergeCell ref="B343:B354"/>
    <mergeCell ref="B356:B368"/>
    <mergeCell ref="B383:B394"/>
    <mergeCell ref="B396:B407"/>
    <mergeCell ref="B409:B420"/>
    <mergeCell ref="B422:B433"/>
    <mergeCell ref="B251:B263"/>
    <mergeCell ref="B265:B276"/>
    <mergeCell ref="B278:B289"/>
    <mergeCell ref="B291:B302"/>
    <mergeCell ref="B304:B315"/>
    <mergeCell ref="B317:B328"/>
    <mergeCell ref="B173:B184"/>
    <mergeCell ref="B186:B197"/>
    <mergeCell ref="B199:B208"/>
    <mergeCell ref="B210:B222"/>
    <mergeCell ref="B224:B236"/>
    <mergeCell ref="B238:B249"/>
    <mergeCell ref="B2:B17"/>
    <mergeCell ref="BZ4:CA13"/>
    <mergeCell ref="B19:B33"/>
    <mergeCell ref="B35:B49"/>
    <mergeCell ref="B51:B65"/>
    <mergeCell ref="B67:B81"/>
    <mergeCell ref="E2:E17"/>
    <mergeCell ref="E19:E33"/>
    <mergeCell ref="E35:E49"/>
    <mergeCell ref="E51:E65"/>
    <mergeCell ref="D2:D17"/>
    <mergeCell ref="D19:D33"/>
    <mergeCell ref="D35:D49"/>
    <mergeCell ref="D51:D65"/>
    <mergeCell ref="D67:D81"/>
    <mergeCell ref="C2:C17"/>
    <mergeCell ref="C19:C33"/>
    <mergeCell ref="C35:C49"/>
    <mergeCell ref="C51:C65"/>
    <mergeCell ref="C67:C81"/>
    <mergeCell ref="D131:D145"/>
    <mergeCell ref="D147:D158"/>
    <mergeCell ref="D160:D171"/>
    <mergeCell ref="D173:D184"/>
    <mergeCell ref="D186:D197"/>
    <mergeCell ref="D199:D208"/>
    <mergeCell ref="D210:D222"/>
    <mergeCell ref="B83:B97"/>
    <mergeCell ref="B99:B113"/>
    <mergeCell ref="B115:B129"/>
    <mergeCell ref="B131:B145"/>
    <mergeCell ref="B147:B158"/>
    <mergeCell ref="D83:D97"/>
    <mergeCell ref="D99:D113"/>
    <mergeCell ref="D115:D129"/>
    <mergeCell ref="C115:C129"/>
    <mergeCell ref="C131:C145"/>
    <mergeCell ref="C147:C158"/>
    <mergeCell ref="C160:C171"/>
    <mergeCell ref="B160:B171"/>
    <mergeCell ref="C173:C184"/>
    <mergeCell ref="C83:C97"/>
    <mergeCell ref="C99:C113"/>
    <mergeCell ref="D224:D236"/>
    <mergeCell ref="D238:D249"/>
    <mergeCell ref="D251:D263"/>
    <mergeCell ref="D265:D276"/>
    <mergeCell ref="D278:D289"/>
    <mergeCell ref="D291:D302"/>
    <mergeCell ref="D304:D315"/>
    <mergeCell ref="D317:D328"/>
    <mergeCell ref="D343:D354"/>
    <mergeCell ref="D580:D591"/>
    <mergeCell ref="D593:D604"/>
    <mergeCell ref="D606:D617"/>
    <mergeCell ref="D619:D630"/>
    <mergeCell ref="D356:D368"/>
    <mergeCell ref="D383:D394"/>
    <mergeCell ref="D396:D407"/>
    <mergeCell ref="D409:D420"/>
    <mergeCell ref="D422:D433"/>
    <mergeCell ref="D448:D459"/>
    <mergeCell ref="D487:D498"/>
    <mergeCell ref="D500:D511"/>
    <mergeCell ref="D632:D642"/>
    <mergeCell ref="D644:D655"/>
    <mergeCell ref="D657:D668"/>
    <mergeCell ref="D670:D681"/>
    <mergeCell ref="F2:F17"/>
    <mergeCell ref="F19:F33"/>
    <mergeCell ref="F35:F49"/>
    <mergeCell ref="F51:F65"/>
    <mergeCell ref="F67:F81"/>
    <mergeCell ref="F83:F97"/>
    <mergeCell ref="F99:F113"/>
    <mergeCell ref="F115:F129"/>
    <mergeCell ref="F131:F145"/>
    <mergeCell ref="F147:F158"/>
    <mergeCell ref="F160:F171"/>
    <mergeCell ref="F173:F184"/>
    <mergeCell ref="F186:F197"/>
    <mergeCell ref="F199:F208"/>
    <mergeCell ref="F210:F222"/>
    <mergeCell ref="D513:D524"/>
    <mergeCell ref="D526:D538"/>
    <mergeCell ref="D540:D551"/>
    <mergeCell ref="D553:D564"/>
    <mergeCell ref="D566:D578"/>
    <mergeCell ref="F224:F236"/>
    <mergeCell ref="F238:F249"/>
    <mergeCell ref="F251:F263"/>
    <mergeCell ref="F265:F276"/>
    <mergeCell ref="F278:F289"/>
    <mergeCell ref="F291:F302"/>
    <mergeCell ref="F304:F315"/>
    <mergeCell ref="F343:F354"/>
    <mergeCell ref="F356:F368"/>
    <mergeCell ref="F330:F341"/>
    <mergeCell ref="F553:F564"/>
    <mergeCell ref="F566:F578"/>
    <mergeCell ref="F580:F591"/>
    <mergeCell ref="F593:F604"/>
    <mergeCell ref="F606:F617"/>
    <mergeCell ref="F383:F394"/>
    <mergeCell ref="F396:F407"/>
    <mergeCell ref="F409:F420"/>
    <mergeCell ref="F422:F433"/>
    <mergeCell ref="F448:F459"/>
    <mergeCell ref="F461:F472"/>
    <mergeCell ref="F474:F485"/>
    <mergeCell ref="F487:F498"/>
    <mergeCell ref="F500:F511"/>
    <mergeCell ref="F619:F630"/>
    <mergeCell ref="F632:F642"/>
    <mergeCell ref="F644:F655"/>
    <mergeCell ref="F657:F668"/>
    <mergeCell ref="F670:F681"/>
    <mergeCell ref="A2:A17"/>
    <mergeCell ref="A19:A33"/>
    <mergeCell ref="A35:A49"/>
    <mergeCell ref="A51:A65"/>
    <mergeCell ref="A67:A81"/>
    <mergeCell ref="A83:A97"/>
    <mergeCell ref="A99:A113"/>
    <mergeCell ref="A115:A129"/>
    <mergeCell ref="A131:A145"/>
    <mergeCell ref="A147:A158"/>
    <mergeCell ref="A160:A171"/>
    <mergeCell ref="A173:A184"/>
    <mergeCell ref="A186:A197"/>
    <mergeCell ref="A199:A208"/>
    <mergeCell ref="A210:A222"/>
    <mergeCell ref="A224:A236"/>
    <mergeCell ref="F513:F524"/>
    <mergeCell ref="F526:F538"/>
    <mergeCell ref="F540:F551"/>
    <mergeCell ref="A448:A459"/>
    <mergeCell ref="A461:A472"/>
    <mergeCell ref="A474:A485"/>
    <mergeCell ref="A487:A498"/>
    <mergeCell ref="A500:A511"/>
    <mergeCell ref="A238:A249"/>
    <mergeCell ref="A251:A263"/>
    <mergeCell ref="A265:A276"/>
    <mergeCell ref="A278:A289"/>
    <mergeCell ref="A291:A302"/>
    <mergeCell ref="A304:A315"/>
    <mergeCell ref="A317:A328"/>
    <mergeCell ref="A343:A354"/>
    <mergeCell ref="A356:A368"/>
    <mergeCell ref="A632:A642"/>
    <mergeCell ref="A644:A655"/>
    <mergeCell ref="A657:A668"/>
    <mergeCell ref="A670:A681"/>
    <mergeCell ref="A330:A341"/>
    <mergeCell ref="B330:B341"/>
    <mergeCell ref="C330:C341"/>
    <mergeCell ref="D330:D341"/>
    <mergeCell ref="E330:E341"/>
    <mergeCell ref="A370:A381"/>
    <mergeCell ref="B370:B381"/>
    <mergeCell ref="C370:C381"/>
    <mergeCell ref="D370:D381"/>
    <mergeCell ref="E370:E381"/>
    <mergeCell ref="A513:A524"/>
    <mergeCell ref="A526:A538"/>
    <mergeCell ref="A540:A551"/>
    <mergeCell ref="A553:A564"/>
    <mergeCell ref="A566:A578"/>
    <mergeCell ref="A580:A591"/>
    <mergeCell ref="A593:A604"/>
    <mergeCell ref="A606:A617"/>
    <mergeCell ref="A619:A630"/>
    <mergeCell ref="A383:A394"/>
    <mergeCell ref="F370:F381"/>
    <mergeCell ref="G370:G381"/>
    <mergeCell ref="H370:H381"/>
    <mergeCell ref="A435:A446"/>
    <mergeCell ref="B435:B446"/>
    <mergeCell ref="C435:C446"/>
    <mergeCell ref="D435:D446"/>
    <mergeCell ref="E435:E446"/>
    <mergeCell ref="F435:F446"/>
    <mergeCell ref="G435:G446"/>
    <mergeCell ref="H435:H446"/>
    <mergeCell ref="A396:A407"/>
    <mergeCell ref="A409:A420"/>
    <mergeCell ref="A422:A433"/>
    <mergeCell ref="A683:A694"/>
    <mergeCell ref="B683:B694"/>
    <mergeCell ref="C683:C694"/>
    <mergeCell ref="D683:D694"/>
    <mergeCell ref="E683:E694"/>
    <mergeCell ref="F683:F694"/>
    <mergeCell ref="G683:G694"/>
    <mergeCell ref="H683:H694"/>
    <mergeCell ref="A696:A707"/>
    <mergeCell ref="B696:B707"/>
    <mergeCell ref="C696:C707"/>
    <mergeCell ref="D696:D707"/>
    <mergeCell ref="E696:E707"/>
    <mergeCell ref="F696:F707"/>
    <mergeCell ref="G696:G707"/>
    <mergeCell ref="H696:H707"/>
    <mergeCell ref="A709:A720"/>
    <mergeCell ref="B709:B720"/>
    <mergeCell ref="C709:C720"/>
    <mergeCell ref="D709:D720"/>
    <mergeCell ref="E709:E720"/>
    <mergeCell ref="F709:F720"/>
    <mergeCell ref="G709:G720"/>
    <mergeCell ref="H709:H720"/>
    <mergeCell ref="A722:A733"/>
    <mergeCell ref="B722:B733"/>
    <mergeCell ref="C722:C733"/>
    <mergeCell ref="D722:D733"/>
    <mergeCell ref="E722:E733"/>
    <mergeCell ref="F722:F733"/>
    <mergeCell ref="G722:G733"/>
    <mergeCell ref="H722:H733"/>
    <mergeCell ref="H735:H746"/>
    <mergeCell ref="A748:A759"/>
    <mergeCell ref="B748:B759"/>
    <mergeCell ref="C748:C759"/>
    <mergeCell ref="D748:D759"/>
    <mergeCell ref="E748:E759"/>
    <mergeCell ref="F748:F759"/>
    <mergeCell ref="G748:G759"/>
    <mergeCell ref="H748:H759"/>
    <mergeCell ref="A735:A746"/>
    <mergeCell ref="B735:B746"/>
    <mergeCell ref="C735:C746"/>
    <mergeCell ref="D735:D746"/>
    <mergeCell ref="E735:E746"/>
    <mergeCell ref="F735:F746"/>
    <mergeCell ref="G735:G746"/>
    <mergeCell ref="H761:H772"/>
    <mergeCell ref="B774:B787"/>
    <mergeCell ref="C774:C787"/>
    <mergeCell ref="D774:D787"/>
    <mergeCell ref="E774:E787"/>
    <mergeCell ref="F774:F787"/>
    <mergeCell ref="G774:G787"/>
    <mergeCell ref="H774:H787"/>
    <mergeCell ref="A789:A802"/>
    <mergeCell ref="B789:B802"/>
    <mergeCell ref="C789:C802"/>
    <mergeCell ref="D789:D802"/>
    <mergeCell ref="E789:E802"/>
    <mergeCell ref="F789:F802"/>
    <mergeCell ref="G789:G802"/>
    <mergeCell ref="H789:H802"/>
    <mergeCell ref="A774:A787"/>
    <mergeCell ref="A761:A772"/>
    <mergeCell ref="B761:B772"/>
    <mergeCell ref="C761:C772"/>
    <mergeCell ref="D761:D772"/>
    <mergeCell ref="E761:E772"/>
    <mergeCell ref="F761:F772"/>
    <mergeCell ref="G761:G772"/>
    <mergeCell ref="A882:A893"/>
    <mergeCell ref="B882:B893"/>
    <mergeCell ref="C882:C893"/>
    <mergeCell ref="D882:D893"/>
    <mergeCell ref="E882:E893"/>
    <mergeCell ref="F882:F893"/>
    <mergeCell ref="G882:G893"/>
    <mergeCell ref="H882:H893"/>
    <mergeCell ref="A856:A867"/>
    <mergeCell ref="B856:B867"/>
    <mergeCell ref="C856:C867"/>
    <mergeCell ref="D856:D867"/>
    <mergeCell ref="E856:E867"/>
    <mergeCell ref="F856:F867"/>
    <mergeCell ref="G856:G867"/>
    <mergeCell ref="H856:H867"/>
    <mergeCell ref="A869:A880"/>
    <mergeCell ref="B869:B880"/>
    <mergeCell ref="C869:C880"/>
    <mergeCell ref="D869:D880"/>
    <mergeCell ref="E869:E880"/>
    <mergeCell ref="F869:F880"/>
    <mergeCell ref="G869:G880"/>
    <mergeCell ref="H869:H880"/>
    <mergeCell ref="A999:A1013"/>
    <mergeCell ref="B999:B1013"/>
    <mergeCell ref="C999:C1013"/>
    <mergeCell ref="D999:D1013"/>
    <mergeCell ref="E999:E1013"/>
    <mergeCell ref="F999:F1013"/>
    <mergeCell ref="G999:G1013"/>
    <mergeCell ref="H999:H1013"/>
    <mergeCell ref="A1015:A1029"/>
    <mergeCell ref="B1015:B1029"/>
    <mergeCell ref="C1015:C1029"/>
    <mergeCell ref="D1015:D1029"/>
    <mergeCell ref="E1015:E1029"/>
    <mergeCell ref="F1015:F1029"/>
    <mergeCell ref="G1015:G1029"/>
    <mergeCell ref="H1015:H1029"/>
    <mergeCell ref="A1031:A1045"/>
    <mergeCell ref="B1031:B1045"/>
    <mergeCell ref="C1031:C1045"/>
    <mergeCell ref="D1031:D1045"/>
    <mergeCell ref="E1031:E1045"/>
    <mergeCell ref="F1031:F1045"/>
    <mergeCell ref="G1031:G1045"/>
    <mergeCell ref="H1031:H1045"/>
    <mergeCell ref="A1047:A1061"/>
    <mergeCell ref="B1047:B1061"/>
    <mergeCell ref="C1047:C1061"/>
    <mergeCell ref="D1047:D1061"/>
    <mergeCell ref="E1047:E1061"/>
    <mergeCell ref="F1047:F1061"/>
    <mergeCell ref="G1047:G1061"/>
    <mergeCell ref="H1047:H1061"/>
    <mergeCell ref="A1063:A1074"/>
    <mergeCell ref="B1063:B1074"/>
    <mergeCell ref="C1063:C1074"/>
    <mergeCell ref="D1063:D1074"/>
    <mergeCell ref="E1063:E1074"/>
    <mergeCell ref="F1063:F1074"/>
    <mergeCell ref="G1063:G1074"/>
    <mergeCell ref="H1063:H1074"/>
    <mergeCell ref="A1076:A1087"/>
    <mergeCell ref="B1076:B1087"/>
    <mergeCell ref="C1076:C1087"/>
    <mergeCell ref="D1076:D1087"/>
    <mergeCell ref="E1076:E1087"/>
    <mergeCell ref="F1076:F1087"/>
    <mergeCell ref="G1076:G1087"/>
    <mergeCell ref="H1076:H1087"/>
    <mergeCell ref="A1115:A1126"/>
    <mergeCell ref="B1115:B1126"/>
    <mergeCell ref="C1115:C1126"/>
    <mergeCell ref="D1115:D1126"/>
    <mergeCell ref="E1115:E1126"/>
    <mergeCell ref="F1115:F1126"/>
    <mergeCell ref="G1115:G1126"/>
    <mergeCell ref="H1115:H1126"/>
    <mergeCell ref="A1089:A1100"/>
    <mergeCell ref="B1089:B1100"/>
    <mergeCell ref="C1089:C1100"/>
    <mergeCell ref="D1089:D1100"/>
    <mergeCell ref="E1089:E1100"/>
    <mergeCell ref="F1089:F1100"/>
    <mergeCell ref="G1089:G1100"/>
    <mergeCell ref="H1089:H1100"/>
    <mergeCell ref="A1102:A1113"/>
    <mergeCell ref="B1102:B1113"/>
    <mergeCell ref="C1102:C1113"/>
    <mergeCell ref="D1102:D1113"/>
    <mergeCell ref="E1102:E1113"/>
    <mergeCell ref="F1102:F1113"/>
    <mergeCell ref="G1102:G1113"/>
    <mergeCell ref="H1102:H1113"/>
    <mergeCell ref="A1154:A1165"/>
    <mergeCell ref="B1154:B1165"/>
    <mergeCell ref="C1154:C1165"/>
    <mergeCell ref="D1154:D1165"/>
    <mergeCell ref="E1154:E1165"/>
    <mergeCell ref="F1154:F1165"/>
    <mergeCell ref="G1154:G1165"/>
    <mergeCell ref="H1154:H1165"/>
    <mergeCell ref="A1167:A1178"/>
    <mergeCell ref="B1167:B1178"/>
    <mergeCell ref="C1167:C1178"/>
    <mergeCell ref="D1167:D1178"/>
    <mergeCell ref="E1167:E1178"/>
    <mergeCell ref="F1167:F1178"/>
    <mergeCell ref="G1167:G1178"/>
    <mergeCell ref="H1167:H1178"/>
    <mergeCell ref="A1180:A1191"/>
    <mergeCell ref="B1180:B1191"/>
    <mergeCell ref="C1180:C1191"/>
    <mergeCell ref="D1180:D1191"/>
    <mergeCell ref="E1180:E1191"/>
    <mergeCell ref="F1180:F1191"/>
    <mergeCell ref="G1180:G1191"/>
    <mergeCell ref="H1180:H1191"/>
    <mergeCell ref="A1193:A1204"/>
    <mergeCell ref="B1193:B1204"/>
    <mergeCell ref="C1193:C1204"/>
    <mergeCell ref="D1193:D1204"/>
    <mergeCell ref="E1193:E1204"/>
    <mergeCell ref="F1193:F1204"/>
    <mergeCell ref="G1193:G1204"/>
    <mergeCell ref="H1193:H1204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6015-DAB0-4C54-892A-5CB1AF7268D3}">
  <dimension ref="A1:L23"/>
  <sheetViews>
    <sheetView workbookViewId="0">
      <selection activeCell="G25" sqref="G25"/>
    </sheetView>
  </sheetViews>
  <sheetFormatPr defaultRowHeight="14.45"/>
  <cols>
    <col min="1" max="1" width="38" bestFit="1" customWidth="1"/>
    <col min="2" max="2" width="15.7109375" bestFit="1" customWidth="1"/>
    <col min="3" max="3" width="14.140625" bestFit="1" customWidth="1"/>
    <col min="4" max="4" width="22.42578125" bestFit="1" customWidth="1"/>
    <col min="5" max="5" width="19.140625" bestFit="1" customWidth="1"/>
    <col min="6" max="6" width="10.42578125" bestFit="1" customWidth="1"/>
    <col min="7" max="7" width="12" bestFit="1" customWidth="1"/>
    <col min="8" max="8" width="14.85546875" bestFit="1" customWidth="1"/>
    <col min="9" max="10" width="11.85546875" bestFit="1" customWidth="1"/>
    <col min="11" max="11" width="10.28515625" bestFit="1" customWidth="1"/>
    <col min="12" max="12" width="25.85546875" bestFit="1" customWidth="1"/>
  </cols>
  <sheetData>
    <row r="1" spans="1:11">
      <c r="A1" s="285" t="s">
        <v>412</v>
      </c>
      <c r="B1" s="285"/>
      <c r="C1" s="285"/>
      <c r="D1" s="285"/>
      <c r="E1" s="285"/>
      <c r="F1" s="285"/>
      <c r="G1" s="285"/>
      <c r="H1" s="285"/>
    </row>
    <row r="2" spans="1:11">
      <c r="A2" s="37" t="s">
        <v>413</v>
      </c>
      <c r="B2" s="37" t="s">
        <v>414</v>
      </c>
      <c r="C2" s="37" t="s">
        <v>415</v>
      </c>
      <c r="D2" s="37" t="s">
        <v>416</v>
      </c>
      <c r="E2" s="37" t="s">
        <v>417</v>
      </c>
      <c r="F2" s="39">
        <v>0.06</v>
      </c>
      <c r="G2" s="39">
        <v>0.08</v>
      </c>
      <c r="H2" s="37" t="s">
        <v>418</v>
      </c>
    </row>
    <row r="3" spans="1:11">
      <c r="A3" s="30" t="s">
        <v>115</v>
      </c>
      <c r="B3" s="3">
        <v>1708.83</v>
      </c>
      <c r="C3" s="3">
        <v>0</v>
      </c>
      <c r="D3" s="3">
        <v>240</v>
      </c>
      <c r="E3" s="3">
        <v>400</v>
      </c>
      <c r="F3" s="3">
        <f>B3*0.06</f>
        <v>102.52979999999999</v>
      </c>
      <c r="G3" s="3">
        <f>B3*0.08</f>
        <v>136.7064</v>
      </c>
      <c r="H3" s="29">
        <f>SUM(B3:E3)-SUM(F3:G3)</f>
        <v>2109.5938000000001</v>
      </c>
    </row>
    <row r="4" spans="1:11">
      <c r="A4" s="30" t="s">
        <v>238</v>
      </c>
      <c r="B4" s="3">
        <v>1708.83</v>
      </c>
      <c r="C4" s="3">
        <v>432.38</v>
      </c>
      <c r="D4" s="3">
        <v>0</v>
      </c>
      <c r="E4" s="3">
        <v>0</v>
      </c>
      <c r="F4" s="3">
        <v>0</v>
      </c>
      <c r="G4" s="3">
        <f>B4*0.08</f>
        <v>136.7064</v>
      </c>
      <c r="H4" s="29">
        <f>SUM(B4:E4)-SUM(F4:G4)</f>
        <v>2004.5036</v>
      </c>
      <c r="I4" s="6"/>
    </row>
    <row r="5" spans="1:11">
      <c r="A5" s="30" t="s">
        <v>75</v>
      </c>
      <c r="B5" s="3">
        <v>1615.9</v>
      </c>
      <c r="C5" s="3" t="e">
        <f>#REF!</f>
        <v>#REF!</v>
      </c>
      <c r="D5" s="3">
        <v>0</v>
      </c>
      <c r="E5" s="3">
        <v>400</v>
      </c>
      <c r="F5" s="3">
        <v>0</v>
      </c>
      <c r="G5" s="3">
        <f>B5*0.08</f>
        <v>129.27200000000002</v>
      </c>
      <c r="H5" s="29" t="e">
        <f t="shared" ref="H5:H18" si="0">SUM(B5:E5)-SUM(F5:G5)</f>
        <v>#REF!</v>
      </c>
    </row>
    <row r="6" spans="1:11" hidden="1">
      <c r="A6" s="30" t="s">
        <v>142</v>
      </c>
      <c r="B6" s="3">
        <v>1635.07</v>
      </c>
      <c r="C6" s="3"/>
      <c r="D6" s="3">
        <v>249.6</v>
      </c>
      <c r="E6" s="3">
        <v>0</v>
      </c>
      <c r="F6" s="3">
        <v>0</v>
      </c>
      <c r="G6" s="3">
        <f t="shared" ref="G6:G7" si="1">B6*0.08</f>
        <v>130.8056</v>
      </c>
      <c r="H6" s="29">
        <f t="shared" si="0"/>
        <v>1753.8643999999999</v>
      </c>
    </row>
    <row r="7" spans="1:11">
      <c r="A7" s="64" t="s">
        <v>77</v>
      </c>
      <c r="B7" s="3">
        <v>1708.83</v>
      </c>
      <c r="C7" s="3" t="e">
        <f>#REF!</f>
        <v>#REF!</v>
      </c>
      <c r="D7" s="3">
        <v>0</v>
      </c>
      <c r="E7" s="3">
        <v>0</v>
      </c>
      <c r="F7" s="3">
        <v>0</v>
      </c>
      <c r="G7" s="3">
        <f t="shared" si="1"/>
        <v>136.7064</v>
      </c>
      <c r="H7" s="29" t="e">
        <f t="shared" si="0"/>
        <v>#REF!</v>
      </c>
    </row>
    <row r="8" spans="1:11">
      <c r="A8" s="30" t="s">
        <v>47</v>
      </c>
      <c r="B8" s="3">
        <v>1708.83</v>
      </c>
      <c r="C8" s="3" t="e">
        <f>#REF!</f>
        <v>#REF!</v>
      </c>
      <c r="D8" s="3">
        <v>0</v>
      </c>
      <c r="E8" s="3">
        <v>0</v>
      </c>
      <c r="F8" s="3">
        <v>0</v>
      </c>
      <c r="G8" s="3">
        <f>B8*0.08</f>
        <v>136.7064</v>
      </c>
      <c r="H8" s="29" t="e">
        <f>SUM(B8:E8)-SUM(F8:G8)</f>
        <v>#REF!</v>
      </c>
      <c r="I8" s="6"/>
    </row>
    <row r="9" spans="1:11">
      <c r="A9" s="30" t="s">
        <v>419</v>
      </c>
      <c r="B9" s="3">
        <v>1708.83</v>
      </c>
      <c r="C9" s="3" t="e">
        <f>#REF!</f>
        <v>#REF!</v>
      </c>
      <c r="D9" s="3">
        <v>0</v>
      </c>
      <c r="E9" s="3">
        <v>0</v>
      </c>
      <c r="F9" s="3">
        <v>0</v>
      </c>
      <c r="G9" s="3">
        <f>B9*0.08</f>
        <v>136.7064</v>
      </c>
      <c r="H9" s="29" t="e">
        <f>SUM(B9:E9)-SUM(F9:G9)</f>
        <v>#REF!</v>
      </c>
      <c r="I9" s="6"/>
      <c r="J9" s="6"/>
    </row>
    <row r="10" spans="1:11">
      <c r="A10" s="64" t="s">
        <v>420</v>
      </c>
      <c r="B10" s="3">
        <v>1708.83</v>
      </c>
      <c r="C10" s="3" t="e">
        <f>#REF!</f>
        <v>#REF!</v>
      </c>
      <c r="D10" s="3">
        <v>0</v>
      </c>
      <c r="E10" s="3">
        <v>0</v>
      </c>
      <c r="F10" s="3">
        <v>0</v>
      </c>
      <c r="G10" s="3">
        <f>B10*0.08</f>
        <v>136.7064</v>
      </c>
      <c r="H10" s="29" t="e">
        <f>SUM(B10:E10)-SUM(F10:G10)</f>
        <v>#REF!</v>
      </c>
      <c r="I10" s="6"/>
      <c r="J10" s="6"/>
    </row>
    <row r="11" spans="1:11">
      <c r="A11" s="30" t="s">
        <v>421</v>
      </c>
      <c r="B11" s="3">
        <v>1708.83</v>
      </c>
      <c r="C11" s="3" t="e">
        <f>#REF!</f>
        <v>#REF!</v>
      </c>
      <c r="D11" s="3">
        <v>0</v>
      </c>
      <c r="E11" s="3">
        <v>0</v>
      </c>
      <c r="F11" s="3">
        <v>0</v>
      </c>
      <c r="G11" s="3">
        <f>B11*0.08</f>
        <v>136.7064</v>
      </c>
      <c r="H11" s="29" t="e">
        <f t="shared" si="0"/>
        <v>#REF!</v>
      </c>
    </row>
    <row r="12" spans="1:11">
      <c r="A12" s="30" t="s">
        <v>321</v>
      </c>
      <c r="B12" s="3">
        <v>5000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29">
        <f t="shared" si="0"/>
        <v>5000</v>
      </c>
      <c r="J12" s="6"/>
      <c r="K12" s="6"/>
    </row>
    <row r="13" spans="1:11">
      <c r="A13" s="30" t="s">
        <v>97</v>
      </c>
      <c r="B13" s="3">
        <v>4275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29">
        <f t="shared" si="0"/>
        <v>4275</v>
      </c>
      <c r="J13" s="6"/>
    </row>
    <row r="14" spans="1:11">
      <c r="A14" s="30" t="s">
        <v>422</v>
      </c>
      <c r="B14" s="3">
        <v>3218.75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29">
        <f t="shared" si="0"/>
        <v>3218.75</v>
      </c>
    </row>
    <row r="15" spans="1:11">
      <c r="A15" s="30" t="s">
        <v>330</v>
      </c>
      <c r="B15" s="3">
        <v>7000</v>
      </c>
      <c r="C15" s="3">
        <v>515.04999999999995</v>
      </c>
      <c r="D15" s="3">
        <v>0</v>
      </c>
      <c r="E15" s="3">
        <v>0</v>
      </c>
      <c r="F15" s="3">
        <v>0</v>
      </c>
      <c r="G15" s="3">
        <v>0</v>
      </c>
      <c r="H15" s="29">
        <f t="shared" si="0"/>
        <v>7515.05</v>
      </c>
    </row>
    <row r="16" spans="1:11">
      <c r="A16" s="30" t="s">
        <v>112</v>
      </c>
      <c r="B16" s="3">
        <v>1300</v>
      </c>
      <c r="C16" s="3">
        <v>270</v>
      </c>
      <c r="D16" s="3">
        <v>0</v>
      </c>
      <c r="E16" s="3">
        <v>0</v>
      </c>
      <c r="F16" s="3">
        <v>0</v>
      </c>
      <c r="G16" s="3">
        <v>0</v>
      </c>
      <c r="H16" s="29">
        <f t="shared" si="0"/>
        <v>1570</v>
      </c>
    </row>
    <row r="17" spans="1:12">
      <c r="A17" s="30" t="s">
        <v>423</v>
      </c>
      <c r="B17" s="3">
        <v>1000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29">
        <f t="shared" si="0"/>
        <v>1000</v>
      </c>
    </row>
    <row r="18" spans="1:12">
      <c r="A18" s="30" t="s">
        <v>94</v>
      </c>
      <c r="B18" s="3">
        <v>1000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29">
        <f t="shared" si="0"/>
        <v>1000</v>
      </c>
    </row>
    <row r="19" spans="1:12">
      <c r="A19" s="30" t="s">
        <v>424</v>
      </c>
      <c r="B19" s="3">
        <v>4275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29">
        <f>SUM(B19:E19)-SUM(F19:G19)</f>
        <v>4275</v>
      </c>
    </row>
    <row r="20" spans="1:12">
      <c r="A20" s="37" t="s">
        <v>13</v>
      </c>
      <c r="B20" s="40">
        <f>SUM(B3:B19)</f>
        <v>42281.53</v>
      </c>
      <c r="C20" s="40" t="e">
        <f>SUM(C3:C19)</f>
        <v>#REF!</v>
      </c>
      <c r="D20" s="40">
        <f t="shared" ref="D20:E20" si="2">SUM(D3:D19)</f>
        <v>489.6</v>
      </c>
      <c r="E20" s="40">
        <f t="shared" si="2"/>
        <v>800</v>
      </c>
      <c r="F20" s="40">
        <f t="shared" ref="F20" si="3">SUM(F3:F19)</f>
        <v>102.52979999999999</v>
      </c>
      <c r="G20" s="40">
        <f>SUM(G3:G19)</f>
        <v>1217.0224000000001</v>
      </c>
      <c r="H20" s="40" t="e">
        <f>SUM(B20:E20)</f>
        <v>#REF!</v>
      </c>
      <c r="L20" s="38"/>
    </row>
    <row r="23" spans="1:12">
      <c r="B23" s="4"/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A257-C47E-420A-BBF7-D21CADEEEBB6}">
  <dimension ref="A1:E12"/>
  <sheetViews>
    <sheetView workbookViewId="0">
      <selection activeCell="A10" sqref="A10"/>
    </sheetView>
  </sheetViews>
  <sheetFormatPr defaultRowHeight="14.45"/>
  <cols>
    <col min="1" max="1" width="39.7109375" bestFit="1" customWidth="1"/>
    <col min="2" max="2" width="25.5703125" bestFit="1" customWidth="1"/>
    <col min="3" max="3" width="13.28515625" bestFit="1" customWidth="1"/>
    <col min="4" max="4" width="12.140625" bestFit="1" customWidth="1"/>
    <col min="5" max="5" width="13.28515625" bestFit="1" customWidth="1"/>
  </cols>
  <sheetData>
    <row r="1" spans="1:5" ht="15" thickBot="1">
      <c r="A1" s="286" t="s">
        <v>425</v>
      </c>
      <c r="B1" s="287"/>
      <c r="C1" s="287"/>
      <c r="D1" s="287"/>
      <c r="E1" s="287"/>
    </row>
    <row r="2" spans="1:5">
      <c r="A2" s="79" t="s">
        <v>61</v>
      </c>
      <c r="B2" s="80" t="s">
        <v>426</v>
      </c>
      <c r="C2" s="80" t="s">
        <v>427</v>
      </c>
      <c r="D2" s="80" t="s">
        <v>428</v>
      </c>
      <c r="E2" s="24" t="s">
        <v>429</v>
      </c>
    </row>
    <row r="3" spans="1:5">
      <c r="A3" s="21" t="s">
        <v>430</v>
      </c>
      <c r="B3" s="21" t="s">
        <v>92</v>
      </c>
      <c r="C3" s="21"/>
      <c r="D3" s="21"/>
      <c r="E3" s="21"/>
    </row>
    <row r="4" spans="1:5">
      <c r="A4" s="21" t="e">
        <f>#REF!</f>
        <v>#REF!</v>
      </c>
      <c r="B4" s="21" t="s">
        <v>92</v>
      </c>
      <c r="C4" s="12">
        <v>0</v>
      </c>
      <c r="D4" s="20"/>
      <c r="E4" s="20">
        <f>SUM(C4:D4)</f>
        <v>0</v>
      </c>
    </row>
    <row r="5" spans="1:5">
      <c r="A5" s="21" t="e">
        <f>#REF!</f>
        <v>#REF!</v>
      </c>
      <c r="B5" s="21" t="s">
        <v>92</v>
      </c>
      <c r="C5" s="12" t="e">
        <f>#REF!</f>
        <v>#REF!</v>
      </c>
      <c r="D5" s="12">
        <v>0</v>
      </c>
      <c r="E5" s="20" t="e">
        <f t="shared" ref="E5:E11" si="0">SUM(C5:D5)</f>
        <v>#REF!</v>
      </c>
    </row>
    <row r="6" spans="1:5">
      <c r="A6" s="21" t="s">
        <v>77</v>
      </c>
      <c r="B6" s="21" t="s">
        <v>23</v>
      </c>
      <c r="C6" s="12">
        <v>0</v>
      </c>
      <c r="D6" s="20">
        <v>0</v>
      </c>
      <c r="E6" s="20">
        <f t="shared" ref="E6" si="1">SUM(C6:D6)</f>
        <v>0</v>
      </c>
    </row>
    <row r="7" spans="1:5">
      <c r="A7" s="21" t="e">
        <f>#REF!</f>
        <v>#REF!</v>
      </c>
      <c r="B7" s="21" t="s">
        <v>23</v>
      </c>
      <c r="C7" s="12">
        <v>0</v>
      </c>
      <c r="D7" s="20">
        <v>0</v>
      </c>
      <c r="E7" s="20">
        <f t="shared" si="0"/>
        <v>0</v>
      </c>
    </row>
    <row r="8" spans="1:5">
      <c r="A8" s="21" t="s">
        <v>419</v>
      </c>
      <c r="B8" s="21" t="s">
        <v>23</v>
      </c>
      <c r="C8" s="12">
        <v>0</v>
      </c>
      <c r="D8" s="20">
        <v>0</v>
      </c>
      <c r="E8" s="20">
        <f t="shared" ref="E8" si="2">SUM(C8:D8)</f>
        <v>0</v>
      </c>
    </row>
    <row r="9" spans="1:5">
      <c r="A9" s="21" t="s">
        <v>420</v>
      </c>
      <c r="B9" s="21" t="s">
        <v>23</v>
      </c>
      <c r="C9" s="12">
        <v>0</v>
      </c>
      <c r="D9" s="20">
        <v>0</v>
      </c>
      <c r="E9" s="20">
        <f t="shared" ref="E9" si="3">SUM(C9:D9)</f>
        <v>0</v>
      </c>
    </row>
    <row r="10" spans="1:5">
      <c r="A10" s="21" t="e">
        <f>#REF!</f>
        <v>#REF!</v>
      </c>
      <c r="B10" s="21" t="s">
        <v>23</v>
      </c>
      <c r="C10" s="12">
        <v>0</v>
      </c>
      <c r="D10" s="20">
        <v>0</v>
      </c>
      <c r="E10" s="20">
        <f t="shared" si="0"/>
        <v>0</v>
      </c>
    </row>
    <row r="11" spans="1:5">
      <c r="A11" s="21" t="e">
        <f>#REF!</f>
        <v>#REF!</v>
      </c>
      <c r="B11" s="21" t="s">
        <v>92</v>
      </c>
      <c r="C11" s="12" t="e">
        <f>#REF!</f>
        <v>#REF!</v>
      </c>
      <c r="D11" s="12">
        <v>0</v>
      </c>
      <c r="E11" s="20" t="e">
        <f t="shared" si="0"/>
        <v>#REF!</v>
      </c>
    </row>
    <row r="12" spans="1:5">
      <c r="A12" s="21" t="s">
        <v>431</v>
      </c>
      <c r="B12" s="21"/>
      <c r="C12" s="12"/>
      <c r="D12" s="20"/>
      <c r="E12" s="20" t="e">
        <f>SUM(E4:E11)</f>
        <v>#REF!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3292-7665-4C0A-A957-B5C24B636109}">
  <dimension ref="A1:P29"/>
  <sheetViews>
    <sheetView workbookViewId="0">
      <selection activeCell="Q2" sqref="Q2"/>
    </sheetView>
  </sheetViews>
  <sheetFormatPr defaultRowHeight="14.45"/>
  <cols>
    <col min="3" max="3" width="37.28515625" bestFit="1" customWidth="1"/>
  </cols>
  <sheetData>
    <row r="1" spans="1:16" ht="15.6">
      <c r="A1" s="2" t="s">
        <v>432</v>
      </c>
      <c r="B1" s="2" t="s">
        <v>433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" customHeight="1">
      <c r="A2" s="2" t="s">
        <v>434</v>
      </c>
      <c r="B2" s="2" t="s">
        <v>435</v>
      </c>
      <c r="C2" s="2" t="s">
        <v>68</v>
      </c>
      <c r="D2" s="2" t="s">
        <v>436</v>
      </c>
      <c r="E2" s="2" t="s">
        <v>437</v>
      </c>
      <c r="F2" s="2" t="s">
        <v>438</v>
      </c>
      <c r="G2" s="2" t="s">
        <v>7</v>
      </c>
      <c r="H2" s="2" t="s">
        <v>439</v>
      </c>
      <c r="I2" s="2" t="s">
        <v>440</v>
      </c>
      <c r="J2" s="2" t="s">
        <v>441</v>
      </c>
      <c r="K2" s="2" t="s">
        <v>19</v>
      </c>
      <c r="L2" s="2" t="s">
        <v>442</v>
      </c>
      <c r="M2" s="2" t="s">
        <v>443</v>
      </c>
      <c r="N2" s="2" t="s">
        <v>444</v>
      </c>
      <c r="O2" s="2" t="s">
        <v>445</v>
      </c>
      <c r="P2" s="2" t="s">
        <v>446</v>
      </c>
    </row>
    <row r="3" spans="1:16" ht="15.6">
      <c r="A3" s="2" t="s">
        <v>447</v>
      </c>
      <c r="B3" s="2" t="s">
        <v>448</v>
      </c>
      <c r="C3" s="2" t="s">
        <v>449</v>
      </c>
      <c r="D3" s="2" t="s">
        <v>450</v>
      </c>
      <c r="E3" s="2" t="s">
        <v>451</v>
      </c>
      <c r="F3" s="2" t="s">
        <v>452</v>
      </c>
      <c r="G3" s="2" t="s">
        <v>453</v>
      </c>
      <c r="H3" s="2" t="s">
        <v>454</v>
      </c>
      <c r="I3" s="2" t="s">
        <v>455</v>
      </c>
      <c r="J3" s="2" t="s">
        <v>456</v>
      </c>
      <c r="K3" s="2" t="s">
        <v>457</v>
      </c>
      <c r="L3" s="2" t="s">
        <v>458</v>
      </c>
      <c r="M3" s="2" t="s">
        <v>459</v>
      </c>
      <c r="N3" s="2" t="s">
        <v>459</v>
      </c>
      <c r="O3" s="2" t="s">
        <v>459</v>
      </c>
      <c r="P3" s="2" t="s">
        <v>460</v>
      </c>
    </row>
    <row r="4" spans="1:16" ht="15.6">
      <c r="A4" s="2" t="s">
        <v>461</v>
      </c>
      <c r="B4" s="2" t="s">
        <v>448</v>
      </c>
      <c r="C4" s="2" t="s">
        <v>462</v>
      </c>
      <c r="D4" s="2" t="s">
        <v>463</v>
      </c>
      <c r="E4" s="2" t="s">
        <v>464</v>
      </c>
      <c r="F4" s="2" t="s">
        <v>465</v>
      </c>
      <c r="G4" s="2" t="s">
        <v>453</v>
      </c>
      <c r="H4" s="2" t="s">
        <v>466</v>
      </c>
      <c r="I4" s="2" t="s">
        <v>455</v>
      </c>
      <c r="J4" s="2" t="s">
        <v>456</v>
      </c>
      <c r="K4" s="2" t="s">
        <v>467</v>
      </c>
      <c r="L4" s="2" t="s">
        <v>459</v>
      </c>
      <c r="M4" s="2" t="s">
        <v>459</v>
      </c>
      <c r="N4" s="2" t="s">
        <v>459</v>
      </c>
      <c r="O4" s="2" t="s">
        <v>459</v>
      </c>
      <c r="P4" s="2" t="s">
        <v>467</v>
      </c>
    </row>
    <row r="5" spans="1:16" ht="15.6">
      <c r="A5" s="2" t="s">
        <v>468</v>
      </c>
      <c r="B5" s="2" t="s">
        <v>448</v>
      </c>
      <c r="C5" s="2" t="s">
        <v>469</v>
      </c>
      <c r="D5" s="2" t="s">
        <v>470</v>
      </c>
      <c r="E5" s="2" t="s">
        <v>451</v>
      </c>
      <c r="F5" s="2" t="s">
        <v>465</v>
      </c>
      <c r="G5" s="2" t="s">
        <v>453</v>
      </c>
      <c r="H5" s="2" t="s">
        <v>471</v>
      </c>
      <c r="I5" s="2" t="s">
        <v>455</v>
      </c>
      <c r="J5" s="2" t="s">
        <v>456</v>
      </c>
      <c r="K5" s="2" t="s">
        <v>472</v>
      </c>
      <c r="L5" s="2" t="s">
        <v>459</v>
      </c>
      <c r="M5" s="2" t="s">
        <v>459</v>
      </c>
      <c r="N5" s="2" t="s">
        <v>459</v>
      </c>
      <c r="O5" s="2" t="s">
        <v>459</v>
      </c>
      <c r="P5" s="2" t="s">
        <v>472</v>
      </c>
    </row>
    <row r="6" spans="1:16" ht="15.6">
      <c r="A6" s="2" t="s">
        <v>473</v>
      </c>
      <c r="B6" s="2" t="s">
        <v>448</v>
      </c>
      <c r="C6" s="2" t="s">
        <v>474</v>
      </c>
      <c r="D6" s="2" t="s">
        <v>475</v>
      </c>
      <c r="E6" s="2" t="s">
        <v>451</v>
      </c>
      <c r="F6" s="2" t="s">
        <v>452</v>
      </c>
      <c r="G6" s="2" t="s">
        <v>453</v>
      </c>
      <c r="H6" s="2" t="s">
        <v>476</v>
      </c>
      <c r="I6" s="2" t="s">
        <v>455</v>
      </c>
      <c r="J6" s="2" t="s">
        <v>456</v>
      </c>
      <c r="K6" s="2" t="s">
        <v>477</v>
      </c>
      <c r="L6" s="2" t="s">
        <v>478</v>
      </c>
      <c r="M6" s="2" t="s">
        <v>459</v>
      </c>
      <c r="N6" s="2" t="s">
        <v>459</v>
      </c>
      <c r="O6" s="2" t="s">
        <v>459</v>
      </c>
      <c r="P6" s="2" t="s">
        <v>479</v>
      </c>
    </row>
    <row r="7" spans="1:16" ht="15.6">
      <c r="A7" s="2" t="s">
        <v>480</v>
      </c>
      <c r="B7" s="2" t="s">
        <v>448</v>
      </c>
      <c r="C7" s="2" t="s">
        <v>481</v>
      </c>
      <c r="D7" s="2" t="s">
        <v>482</v>
      </c>
      <c r="E7" s="2" t="s">
        <v>451</v>
      </c>
      <c r="F7" s="2" t="s">
        <v>452</v>
      </c>
      <c r="G7" s="2" t="s">
        <v>453</v>
      </c>
      <c r="H7" s="2" t="s">
        <v>454</v>
      </c>
      <c r="I7" s="2" t="s">
        <v>455</v>
      </c>
      <c r="J7" s="2" t="s">
        <v>456</v>
      </c>
      <c r="K7" s="2" t="s">
        <v>483</v>
      </c>
      <c r="L7" s="2" t="s">
        <v>459</v>
      </c>
      <c r="M7" s="2" t="s">
        <v>459</v>
      </c>
      <c r="N7" s="2" t="s">
        <v>459</v>
      </c>
      <c r="O7" s="2" t="s">
        <v>459</v>
      </c>
      <c r="P7" s="2" t="s">
        <v>483</v>
      </c>
    </row>
    <row r="8" spans="1:16" ht="15.6">
      <c r="A8" s="2" t="s">
        <v>484</v>
      </c>
      <c r="B8" s="2" t="s">
        <v>448</v>
      </c>
      <c r="C8" s="2" t="s">
        <v>485</v>
      </c>
      <c r="D8" s="2" t="s">
        <v>450</v>
      </c>
      <c r="E8" s="2" t="s">
        <v>451</v>
      </c>
      <c r="F8" s="2" t="s">
        <v>452</v>
      </c>
      <c r="G8" s="2" t="s">
        <v>453</v>
      </c>
      <c r="H8" s="2" t="s">
        <v>486</v>
      </c>
      <c r="I8" s="2" t="s">
        <v>455</v>
      </c>
      <c r="J8" s="2" t="s">
        <v>456</v>
      </c>
      <c r="K8" s="2" t="s">
        <v>487</v>
      </c>
      <c r="L8" s="2" t="s">
        <v>459</v>
      </c>
      <c r="M8" s="2" t="s">
        <v>459</v>
      </c>
      <c r="N8" s="2" t="s">
        <v>459</v>
      </c>
      <c r="O8" s="2" t="s">
        <v>459</v>
      </c>
      <c r="P8" s="2" t="s">
        <v>487</v>
      </c>
    </row>
    <row r="9" spans="1:16" ht="15.6">
      <c r="A9" s="2" t="s">
        <v>488</v>
      </c>
      <c r="B9" s="2" t="s">
        <v>448</v>
      </c>
      <c r="C9" s="2" t="s">
        <v>489</v>
      </c>
      <c r="D9" s="2" t="s">
        <v>475</v>
      </c>
      <c r="E9" s="2" t="s">
        <v>451</v>
      </c>
      <c r="F9" s="2" t="s">
        <v>452</v>
      </c>
      <c r="G9" s="2" t="s">
        <v>453</v>
      </c>
      <c r="H9" s="2" t="s">
        <v>490</v>
      </c>
      <c r="I9" s="2" t="s">
        <v>455</v>
      </c>
      <c r="J9" s="2" t="s">
        <v>456</v>
      </c>
      <c r="K9" s="2" t="s">
        <v>491</v>
      </c>
      <c r="L9" s="2" t="s">
        <v>492</v>
      </c>
      <c r="M9" s="2" t="s">
        <v>459</v>
      </c>
      <c r="N9" s="2" t="s">
        <v>459</v>
      </c>
      <c r="O9" s="2" t="s">
        <v>459</v>
      </c>
      <c r="P9" s="2" t="s">
        <v>493</v>
      </c>
    </row>
    <row r="10" spans="1:16" ht="15.6">
      <c r="A10" s="2" t="s">
        <v>494</v>
      </c>
      <c r="B10" s="2" t="s">
        <v>448</v>
      </c>
      <c r="C10" s="2" t="s">
        <v>495</v>
      </c>
      <c r="D10" s="2" t="s">
        <v>482</v>
      </c>
      <c r="E10" s="2" t="s">
        <v>451</v>
      </c>
      <c r="F10" s="2" t="s">
        <v>452</v>
      </c>
      <c r="G10" s="2" t="s">
        <v>453</v>
      </c>
      <c r="H10" s="2" t="s">
        <v>496</v>
      </c>
      <c r="I10" s="2" t="s">
        <v>455</v>
      </c>
      <c r="J10" s="2" t="s">
        <v>456</v>
      </c>
      <c r="K10" s="2" t="s">
        <v>483</v>
      </c>
      <c r="L10" s="2" t="s">
        <v>497</v>
      </c>
      <c r="M10" s="2" t="s">
        <v>459</v>
      </c>
      <c r="N10" s="2" t="s">
        <v>459</v>
      </c>
      <c r="O10" s="2" t="s">
        <v>459</v>
      </c>
      <c r="P10" s="2" t="s">
        <v>498</v>
      </c>
    </row>
    <row r="11" spans="1:16" ht="15.6">
      <c r="A11" s="2" t="s">
        <v>499</v>
      </c>
      <c r="B11" s="2" t="s">
        <v>448</v>
      </c>
      <c r="C11" s="2" t="s">
        <v>500</v>
      </c>
      <c r="D11" s="2" t="s">
        <v>501</v>
      </c>
      <c r="E11" s="2" t="s">
        <v>451</v>
      </c>
      <c r="F11" s="2" t="s">
        <v>452</v>
      </c>
      <c r="G11" s="2" t="s">
        <v>453</v>
      </c>
      <c r="H11" s="2" t="s">
        <v>486</v>
      </c>
      <c r="I11" s="2" t="s">
        <v>455</v>
      </c>
      <c r="J11" s="2" t="s">
        <v>456</v>
      </c>
      <c r="K11" s="2" t="s">
        <v>502</v>
      </c>
      <c r="L11" s="2" t="s">
        <v>459</v>
      </c>
      <c r="M11" s="2" t="s">
        <v>459</v>
      </c>
      <c r="N11" s="2" t="s">
        <v>459</v>
      </c>
      <c r="O11" s="2" t="s">
        <v>459</v>
      </c>
      <c r="P11" s="2" t="s">
        <v>502</v>
      </c>
    </row>
    <row r="12" spans="1:16" ht="15.6">
      <c r="A12" s="2" t="s">
        <v>503</v>
      </c>
      <c r="B12" s="2" t="s">
        <v>448</v>
      </c>
      <c r="C12" s="2" t="s">
        <v>504</v>
      </c>
      <c r="D12" s="2" t="s">
        <v>505</v>
      </c>
      <c r="E12" s="2" t="s">
        <v>451</v>
      </c>
      <c r="F12" s="2" t="s">
        <v>452</v>
      </c>
      <c r="G12" s="2" t="s">
        <v>453</v>
      </c>
      <c r="H12" s="2" t="s">
        <v>486</v>
      </c>
      <c r="I12" s="2" t="s">
        <v>455</v>
      </c>
      <c r="J12" s="2" t="s">
        <v>456</v>
      </c>
      <c r="K12" s="2" t="s">
        <v>506</v>
      </c>
      <c r="L12" s="2" t="s">
        <v>459</v>
      </c>
      <c r="M12" s="2" t="s">
        <v>459</v>
      </c>
      <c r="N12" s="2" t="s">
        <v>459</v>
      </c>
      <c r="O12" s="2" t="s">
        <v>459</v>
      </c>
      <c r="P12" s="2" t="s">
        <v>506</v>
      </c>
    </row>
    <row r="13" spans="1:16" s="11" customFormat="1" ht="15.6">
      <c r="A13" s="10" t="s">
        <v>507</v>
      </c>
      <c r="B13" s="10" t="s">
        <v>448</v>
      </c>
      <c r="C13" s="10" t="s">
        <v>508</v>
      </c>
      <c r="D13" s="10" t="s">
        <v>509</v>
      </c>
      <c r="E13" s="10" t="s">
        <v>510</v>
      </c>
      <c r="F13" s="10" t="s">
        <v>465</v>
      </c>
      <c r="G13" s="10" t="s">
        <v>511</v>
      </c>
      <c r="H13" s="10" t="s">
        <v>512</v>
      </c>
      <c r="I13" s="10" t="s">
        <v>455</v>
      </c>
      <c r="J13" s="10" t="s">
        <v>456</v>
      </c>
      <c r="K13" s="10" t="s">
        <v>513</v>
      </c>
      <c r="L13" s="10" t="s">
        <v>459</v>
      </c>
      <c r="M13" s="10" t="s">
        <v>459</v>
      </c>
      <c r="N13" s="10" t="s">
        <v>459</v>
      </c>
      <c r="O13" s="10" t="s">
        <v>459</v>
      </c>
      <c r="P13" s="10" t="s">
        <v>513</v>
      </c>
    </row>
    <row r="14" spans="1:16" s="11" customFormat="1" ht="15.6">
      <c r="A14" s="10" t="s">
        <v>514</v>
      </c>
      <c r="B14" s="10" t="s">
        <v>448</v>
      </c>
      <c r="C14" s="10" t="s">
        <v>504</v>
      </c>
      <c r="D14" s="10" t="s">
        <v>505</v>
      </c>
      <c r="E14" s="10" t="s">
        <v>451</v>
      </c>
      <c r="F14" s="10" t="s">
        <v>452</v>
      </c>
      <c r="G14" s="10" t="s">
        <v>453</v>
      </c>
      <c r="H14" s="10" t="s">
        <v>515</v>
      </c>
      <c r="I14" s="10" t="s">
        <v>455</v>
      </c>
      <c r="J14" s="10" t="s">
        <v>456</v>
      </c>
      <c r="K14" s="10" t="s">
        <v>506</v>
      </c>
      <c r="L14" s="10" t="s">
        <v>459</v>
      </c>
      <c r="M14" s="10" t="s">
        <v>459</v>
      </c>
      <c r="N14" s="10" t="s">
        <v>459</v>
      </c>
      <c r="O14" s="10" t="s">
        <v>459</v>
      </c>
      <c r="P14" s="10" t="s">
        <v>506</v>
      </c>
    </row>
    <row r="15" spans="1:16" s="11" customFormat="1" ht="15.6">
      <c r="A15" s="10" t="s">
        <v>516</v>
      </c>
      <c r="B15" s="10" t="s">
        <v>448</v>
      </c>
      <c r="C15" s="10" t="s">
        <v>495</v>
      </c>
      <c r="D15" s="10" t="s">
        <v>482</v>
      </c>
      <c r="E15" s="10" t="s">
        <v>451</v>
      </c>
      <c r="F15" s="10" t="s">
        <v>452</v>
      </c>
      <c r="G15" s="10" t="s">
        <v>453</v>
      </c>
      <c r="H15" s="10" t="s">
        <v>517</v>
      </c>
      <c r="I15" s="10" t="s">
        <v>455</v>
      </c>
      <c r="J15" s="10" t="s">
        <v>456</v>
      </c>
      <c r="K15" s="10" t="s">
        <v>518</v>
      </c>
      <c r="L15" s="10" t="s">
        <v>459</v>
      </c>
      <c r="M15" s="10" t="s">
        <v>459</v>
      </c>
      <c r="N15" s="10" t="s">
        <v>459</v>
      </c>
      <c r="O15" s="10" t="s">
        <v>459</v>
      </c>
      <c r="P15" s="10" t="s">
        <v>518</v>
      </c>
    </row>
    <row r="16" spans="1:16" s="11" customFormat="1" ht="15.6">
      <c r="A16" s="10" t="s">
        <v>519</v>
      </c>
      <c r="B16" s="10" t="s">
        <v>448</v>
      </c>
      <c r="C16" s="10" t="s">
        <v>504</v>
      </c>
      <c r="D16" s="10" t="s">
        <v>505</v>
      </c>
      <c r="E16" s="10" t="s">
        <v>451</v>
      </c>
      <c r="F16" s="10" t="s">
        <v>452</v>
      </c>
      <c r="G16" s="10" t="s">
        <v>453</v>
      </c>
      <c r="H16" s="10" t="s">
        <v>520</v>
      </c>
      <c r="I16" s="10" t="s">
        <v>455</v>
      </c>
      <c r="J16" s="10" t="s">
        <v>456</v>
      </c>
      <c r="K16" s="10" t="s">
        <v>506</v>
      </c>
      <c r="L16" s="10" t="s">
        <v>459</v>
      </c>
      <c r="M16" s="10" t="s">
        <v>459</v>
      </c>
      <c r="N16" s="10" t="s">
        <v>459</v>
      </c>
      <c r="O16" s="10" t="s">
        <v>459</v>
      </c>
      <c r="P16" s="10" t="s">
        <v>506</v>
      </c>
    </row>
    <row r="17" spans="1:16" s="11" customFormat="1" ht="15.6">
      <c r="A17" s="10" t="s">
        <v>521</v>
      </c>
      <c r="B17" s="10" t="s">
        <v>448</v>
      </c>
      <c r="C17" s="10" t="s">
        <v>500</v>
      </c>
      <c r="D17" s="10" t="s">
        <v>501</v>
      </c>
      <c r="E17" s="10" t="s">
        <v>451</v>
      </c>
      <c r="F17" s="10" t="s">
        <v>452</v>
      </c>
      <c r="G17" s="10" t="s">
        <v>453</v>
      </c>
      <c r="H17" s="10" t="s">
        <v>520</v>
      </c>
      <c r="I17" s="10" t="s">
        <v>455</v>
      </c>
      <c r="J17" s="10" t="s">
        <v>456</v>
      </c>
      <c r="K17" s="10" t="s">
        <v>502</v>
      </c>
      <c r="L17" s="10" t="s">
        <v>459</v>
      </c>
      <c r="M17" s="10" t="s">
        <v>459</v>
      </c>
      <c r="N17" s="10" t="s">
        <v>459</v>
      </c>
      <c r="O17" s="10" t="s">
        <v>459</v>
      </c>
      <c r="P17" s="10" t="s">
        <v>502</v>
      </c>
    </row>
    <row r="18" spans="1:16" ht="15.6">
      <c r="A18" s="2" t="s">
        <v>522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.6">
      <c r="A19" s="2" t="s">
        <v>523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524</v>
      </c>
      <c r="M19" s="2"/>
      <c r="N19" s="2"/>
      <c r="O19" s="2"/>
      <c r="P19" s="2"/>
    </row>
    <row r="20" spans="1:16" ht="15.6">
      <c r="A20" s="2" t="s">
        <v>525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 t="s">
        <v>459</v>
      </c>
      <c r="M20" s="2"/>
      <c r="N20" s="2"/>
      <c r="O20" s="2"/>
      <c r="P20" s="2"/>
    </row>
    <row r="21" spans="1:16" ht="15.6">
      <c r="A21" s="2" t="s">
        <v>526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 t="s">
        <v>459</v>
      </c>
      <c r="M21" s="2"/>
      <c r="N21" s="2"/>
      <c r="O21" s="2"/>
      <c r="P21" s="2"/>
    </row>
    <row r="22" spans="1:16" ht="15.6">
      <c r="A22" s="2" t="s">
        <v>527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459</v>
      </c>
      <c r="M22" s="2"/>
      <c r="N22" s="2"/>
      <c r="O22" s="2"/>
      <c r="P22" s="2"/>
    </row>
    <row r="23" spans="1:16" ht="15.6">
      <c r="A23" s="2" t="s">
        <v>528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 t="s">
        <v>459</v>
      </c>
      <c r="M23" s="2"/>
      <c r="N23" s="2"/>
      <c r="O23" s="2"/>
      <c r="P23" s="2"/>
    </row>
    <row r="24" spans="1:16" ht="15.6">
      <c r="A24" s="2" t="s">
        <v>529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 t="s">
        <v>530</v>
      </c>
      <c r="M24" s="2"/>
      <c r="N24" s="2"/>
      <c r="O24" s="2"/>
      <c r="P24" s="2"/>
    </row>
    <row r="25" spans="1:16" ht="15.6">
      <c r="A25" s="2" t="s">
        <v>531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 t="s">
        <v>532</v>
      </c>
      <c r="M25" s="2"/>
      <c r="N25" s="2"/>
      <c r="O25" s="2"/>
      <c r="P25" s="2"/>
    </row>
    <row r="26" spans="1:16" ht="15.6">
      <c r="A26" s="2" t="s">
        <v>533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 t="s">
        <v>459</v>
      </c>
      <c r="M26" s="2"/>
      <c r="N26" s="2"/>
      <c r="O26" s="2"/>
      <c r="P26" s="2"/>
    </row>
    <row r="27" spans="1:16" ht="15.6">
      <c r="A27" s="2" t="s">
        <v>534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 t="s">
        <v>459</v>
      </c>
      <c r="M27" s="2"/>
      <c r="N27" s="2"/>
      <c r="O27" s="2"/>
      <c r="P27" s="2"/>
    </row>
    <row r="28" spans="1:16" ht="15.6">
      <c r="A28" s="2" t="s">
        <v>535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459</v>
      </c>
      <c r="M28" s="2"/>
      <c r="N28" s="2"/>
      <c r="O28" s="2"/>
      <c r="P28" s="2"/>
    </row>
    <row r="29" spans="1:16" ht="15.6">
      <c r="A29" s="2" t="s">
        <v>536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530</v>
      </c>
      <c r="M29" s="2"/>
      <c r="N29" s="2"/>
      <c r="O29" s="2"/>
      <c r="P29" s="2"/>
    </row>
  </sheetData>
  <autoFilter ref="A2:P29" xr:uid="{4F5C3292-7665-4C0A-A957-B5C24B636109}">
    <sortState xmlns:xlrd2="http://schemas.microsoft.com/office/spreadsheetml/2017/richdata2" ref="A3:P29">
      <sortCondition sortBy="cellColor" ref="C2:C29" dxfId="4"/>
    </sortState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F442-5157-481C-89C5-5C1FF122A2B8}">
  <sheetPr filterMode="1"/>
  <dimension ref="A1:P40"/>
  <sheetViews>
    <sheetView workbookViewId="0">
      <selection activeCell="D8" sqref="D8"/>
    </sheetView>
  </sheetViews>
  <sheetFormatPr defaultRowHeight="14.45"/>
  <cols>
    <col min="4" max="4" width="36.140625" bestFit="1" customWidth="1"/>
    <col min="16" max="16" width="12.140625" bestFit="1" customWidth="1"/>
  </cols>
  <sheetData>
    <row r="1" spans="1:16" ht="15.6">
      <c r="A1" s="2" t="s">
        <v>432</v>
      </c>
      <c r="B1" s="2" t="s">
        <v>537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6">
      <c r="A2" s="2" t="s">
        <v>434</v>
      </c>
      <c r="B2" s="2" t="s">
        <v>435</v>
      </c>
      <c r="C2" s="2" t="s">
        <v>68</v>
      </c>
      <c r="D2" s="2" t="s">
        <v>436</v>
      </c>
      <c r="E2" s="2" t="s">
        <v>437</v>
      </c>
      <c r="F2" s="2" t="s">
        <v>438</v>
      </c>
      <c r="G2" s="2" t="s">
        <v>7</v>
      </c>
      <c r="H2" s="2" t="s">
        <v>439</v>
      </c>
      <c r="I2" s="2" t="s">
        <v>440</v>
      </c>
      <c r="J2" s="2" t="s">
        <v>441</v>
      </c>
      <c r="K2" s="2" t="s">
        <v>19</v>
      </c>
      <c r="L2" s="2" t="s">
        <v>442</v>
      </c>
      <c r="M2" s="2" t="s">
        <v>443</v>
      </c>
      <c r="N2" s="2" t="s">
        <v>444</v>
      </c>
      <c r="O2" s="2" t="s">
        <v>445</v>
      </c>
      <c r="P2" s="2" t="s">
        <v>446</v>
      </c>
    </row>
    <row r="3" spans="1:16" ht="15.6" hidden="1">
      <c r="A3" s="2" t="s">
        <v>538</v>
      </c>
      <c r="B3" s="2" t="s">
        <v>539</v>
      </c>
      <c r="C3" s="2" t="s">
        <v>504</v>
      </c>
      <c r="D3" s="2" t="s">
        <v>505</v>
      </c>
      <c r="E3" s="2" t="s">
        <v>451</v>
      </c>
      <c r="F3" s="2" t="s">
        <v>540</v>
      </c>
      <c r="G3" s="2" t="s">
        <v>453</v>
      </c>
      <c r="H3" s="2" t="s">
        <v>541</v>
      </c>
      <c r="I3" s="2" t="s">
        <v>455</v>
      </c>
      <c r="J3" s="2" t="s">
        <v>456</v>
      </c>
      <c r="K3" s="2" t="s">
        <v>542</v>
      </c>
      <c r="L3" s="2" t="s">
        <v>459</v>
      </c>
      <c r="M3" s="2" t="s">
        <v>459</v>
      </c>
      <c r="N3" s="2" t="s">
        <v>459</v>
      </c>
      <c r="O3" s="2" t="s">
        <v>459</v>
      </c>
      <c r="P3" s="2" t="s">
        <v>542</v>
      </c>
    </row>
    <row r="4" spans="1:16" ht="15.6" hidden="1">
      <c r="A4" s="2" t="s">
        <v>543</v>
      </c>
      <c r="B4" s="2" t="s">
        <v>539</v>
      </c>
      <c r="C4" s="2" t="s">
        <v>500</v>
      </c>
      <c r="D4" s="2" t="s">
        <v>501</v>
      </c>
      <c r="E4" s="2" t="s">
        <v>451</v>
      </c>
      <c r="F4" s="2" t="s">
        <v>540</v>
      </c>
      <c r="G4" s="2" t="s">
        <v>453</v>
      </c>
      <c r="H4" s="2" t="s">
        <v>544</v>
      </c>
      <c r="I4" s="2" t="s">
        <v>455</v>
      </c>
      <c r="J4" s="2" t="s">
        <v>456</v>
      </c>
      <c r="K4" s="2" t="s">
        <v>502</v>
      </c>
      <c r="L4" s="2" t="s">
        <v>459</v>
      </c>
      <c r="M4" s="2" t="s">
        <v>459</v>
      </c>
      <c r="N4" s="2" t="s">
        <v>459</v>
      </c>
      <c r="O4" s="2" t="s">
        <v>459</v>
      </c>
      <c r="P4" s="2" t="s">
        <v>502</v>
      </c>
    </row>
    <row r="5" spans="1:16" ht="15.6" hidden="1">
      <c r="A5" s="2" t="s">
        <v>545</v>
      </c>
      <c r="B5" s="2" t="s">
        <v>539</v>
      </c>
      <c r="C5" s="2" t="s">
        <v>495</v>
      </c>
      <c r="D5" s="2" t="s">
        <v>482</v>
      </c>
      <c r="E5" s="2" t="s">
        <v>451</v>
      </c>
      <c r="F5" s="2" t="s">
        <v>540</v>
      </c>
      <c r="G5" s="2" t="s">
        <v>453</v>
      </c>
      <c r="H5" s="2" t="s">
        <v>546</v>
      </c>
      <c r="I5" s="2" t="s">
        <v>455</v>
      </c>
      <c r="J5" s="2" t="s">
        <v>456</v>
      </c>
      <c r="K5" s="2" t="s">
        <v>547</v>
      </c>
      <c r="L5" s="2" t="s">
        <v>459</v>
      </c>
      <c r="M5" s="2" t="s">
        <v>459</v>
      </c>
      <c r="N5" s="2" t="s">
        <v>459</v>
      </c>
      <c r="O5" s="2" t="s">
        <v>459</v>
      </c>
      <c r="P5" s="2" t="s">
        <v>547</v>
      </c>
    </row>
    <row r="6" spans="1:16" ht="15.6" hidden="1">
      <c r="A6" s="2" t="s">
        <v>548</v>
      </c>
      <c r="B6" s="2" t="s">
        <v>539</v>
      </c>
      <c r="C6" s="2" t="s">
        <v>549</v>
      </c>
      <c r="D6" s="2" t="s">
        <v>470</v>
      </c>
      <c r="E6" s="2" t="s">
        <v>451</v>
      </c>
      <c r="F6" s="2" t="s">
        <v>540</v>
      </c>
      <c r="G6" s="2" t="s">
        <v>453</v>
      </c>
      <c r="H6" s="2" t="s">
        <v>550</v>
      </c>
      <c r="I6" s="2" t="s">
        <v>455</v>
      </c>
      <c r="J6" s="2" t="s">
        <v>456</v>
      </c>
      <c r="K6" s="2" t="s">
        <v>551</v>
      </c>
      <c r="L6" s="2" t="s">
        <v>552</v>
      </c>
      <c r="M6" s="2" t="s">
        <v>459</v>
      </c>
      <c r="N6" s="2" t="s">
        <v>459</v>
      </c>
      <c r="O6" s="2" t="s">
        <v>459</v>
      </c>
      <c r="P6" s="2" t="s">
        <v>553</v>
      </c>
    </row>
    <row r="7" spans="1:16" ht="15.6" hidden="1">
      <c r="A7" s="2" t="s">
        <v>554</v>
      </c>
      <c r="B7" s="2" t="s">
        <v>539</v>
      </c>
      <c r="C7" s="2" t="s">
        <v>555</v>
      </c>
      <c r="D7" s="2" t="s">
        <v>475</v>
      </c>
      <c r="E7" s="2" t="s">
        <v>556</v>
      </c>
      <c r="F7" s="2" t="s">
        <v>452</v>
      </c>
      <c r="G7" s="2" t="s">
        <v>453</v>
      </c>
      <c r="H7" s="2" t="s">
        <v>557</v>
      </c>
      <c r="I7" s="2" t="s">
        <v>455</v>
      </c>
      <c r="J7" s="2" t="s">
        <v>456</v>
      </c>
      <c r="K7" s="2" t="s">
        <v>558</v>
      </c>
      <c r="L7" s="2" t="s">
        <v>459</v>
      </c>
      <c r="M7" s="2" t="s">
        <v>459</v>
      </c>
      <c r="N7" s="2" t="s">
        <v>459</v>
      </c>
      <c r="O7" s="2" t="s">
        <v>459</v>
      </c>
      <c r="P7" s="2" t="s">
        <v>558</v>
      </c>
    </row>
    <row r="8" spans="1:16" ht="15.6">
      <c r="A8" s="2" t="s">
        <v>559</v>
      </c>
      <c r="B8" s="2" t="s">
        <v>539</v>
      </c>
      <c r="C8" s="2" t="s">
        <v>560</v>
      </c>
      <c r="D8" s="2" t="s">
        <v>509</v>
      </c>
      <c r="E8" s="2" t="s">
        <v>510</v>
      </c>
      <c r="F8" s="2" t="s">
        <v>465</v>
      </c>
      <c r="G8" s="2" t="s">
        <v>453</v>
      </c>
      <c r="H8" s="2" t="s">
        <v>561</v>
      </c>
      <c r="I8" s="2" t="s">
        <v>455</v>
      </c>
      <c r="J8" s="2" t="s">
        <v>456</v>
      </c>
      <c r="K8" s="2" t="s">
        <v>562</v>
      </c>
      <c r="L8" s="2" t="s">
        <v>459</v>
      </c>
      <c r="M8" s="2" t="s">
        <v>459</v>
      </c>
      <c r="N8" s="2" t="s">
        <v>459</v>
      </c>
      <c r="O8" s="2" t="s">
        <v>459</v>
      </c>
      <c r="P8" s="2" t="s">
        <v>562</v>
      </c>
    </row>
    <row r="9" spans="1:16" ht="15.6" hidden="1">
      <c r="A9" s="2" t="s">
        <v>563</v>
      </c>
      <c r="B9" s="2" t="s">
        <v>539</v>
      </c>
      <c r="C9" s="2" t="s">
        <v>500</v>
      </c>
      <c r="D9" s="2" t="s">
        <v>501</v>
      </c>
      <c r="E9" s="2" t="s">
        <v>451</v>
      </c>
      <c r="F9" s="2" t="s">
        <v>452</v>
      </c>
      <c r="G9" s="2" t="s">
        <v>453</v>
      </c>
      <c r="H9" s="2" t="s">
        <v>564</v>
      </c>
      <c r="I9" s="2" t="s">
        <v>455</v>
      </c>
      <c r="J9" s="2" t="s">
        <v>456</v>
      </c>
      <c r="K9" s="2" t="s">
        <v>502</v>
      </c>
      <c r="L9" s="2" t="s">
        <v>459</v>
      </c>
      <c r="M9" s="2" t="s">
        <v>459</v>
      </c>
      <c r="N9" s="2" t="s">
        <v>459</v>
      </c>
      <c r="O9" s="2" t="s">
        <v>459</v>
      </c>
      <c r="P9" s="2" t="s">
        <v>502</v>
      </c>
    </row>
    <row r="10" spans="1:16" ht="15.6" hidden="1">
      <c r="A10" s="2" t="s">
        <v>565</v>
      </c>
      <c r="B10" s="2" t="s">
        <v>539</v>
      </c>
      <c r="C10" s="2" t="s">
        <v>504</v>
      </c>
      <c r="D10" s="2" t="s">
        <v>505</v>
      </c>
      <c r="E10" s="2" t="s">
        <v>451</v>
      </c>
      <c r="F10" s="2" t="s">
        <v>452</v>
      </c>
      <c r="G10" s="2" t="s">
        <v>453</v>
      </c>
      <c r="H10" s="2" t="s">
        <v>564</v>
      </c>
      <c r="I10" s="2" t="s">
        <v>455</v>
      </c>
      <c r="J10" s="2" t="s">
        <v>456</v>
      </c>
      <c r="K10" s="2" t="s">
        <v>566</v>
      </c>
      <c r="L10" s="2" t="s">
        <v>459</v>
      </c>
      <c r="M10" s="2" t="s">
        <v>459</v>
      </c>
      <c r="N10" s="2" t="s">
        <v>459</v>
      </c>
      <c r="O10" s="2" t="s">
        <v>459</v>
      </c>
      <c r="P10" s="2" t="s">
        <v>566</v>
      </c>
    </row>
    <row r="11" spans="1:16" ht="15.6" hidden="1">
      <c r="A11" s="2" t="s">
        <v>567</v>
      </c>
      <c r="B11" s="2" t="s">
        <v>539</v>
      </c>
      <c r="C11" s="2" t="s">
        <v>489</v>
      </c>
      <c r="D11" s="2" t="s">
        <v>475</v>
      </c>
      <c r="E11" s="2" t="s">
        <v>451</v>
      </c>
      <c r="F11" s="2" t="s">
        <v>465</v>
      </c>
      <c r="G11" s="2" t="s">
        <v>453</v>
      </c>
      <c r="H11" s="2" t="s">
        <v>568</v>
      </c>
      <c r="I11" s="2" t="s">
        <v>455</v>
      </c>
      <c r="J11" s="2" t="s">
        <v>456</v>
      </c>
      <c r="K11" s="2" t="s">
        <v>569</v>
      </c>
      <c r="L11" s="2" t="s">
        <v>459</v>
      </c>
      <c r="M11" s="2" t="s">
        <v>459</v>
      </c>
      <c r="N11" s="2" t="s">
        <v>459</v>
      </c>
      <c r="O11" s="2" t="s">
        <v>459</v>
      </c>
      <c r="P11" s="2" t="s">
        <v>569</v>
      </c>
    </row>
    <row r="12" spans="1:16" ht="15.6" hidden="1">
      <c r="A12" s="2" t="s">
        <v>570</v>
      </c>
      <c r="B12" s="2" t="s">
        <v>539</v>
      </c>
      <c r="C12" s="2" t="s">
        <v>495</v>
      </c>
      <c r="D12" s="2" t="s">
        <v>482</v>
      </c>
      <c r="E12" s="2" t="s">
        <v>451</v>
      </c>
      <c r="F12" s="2" t="s">
        <v>452</v>
      </c>
      <c r="G12" s="2" t="s">
        <v>453</v>
      </c>
      <c r="H12" s="2" t="s">
        <v>517</v>
      </c>
      <c r="I12" s="2" t="s">
        <v>455</v>
      </c>
      <c r="J12" s="2" t="s">
        <v>456</v>
      </c>
      <c r="K12" s="2" t="s">
        <v>483</v>
      </c>
      <c r="L12" s="2" t="s">
        <v>459</v>
      </c>
      <c r="M12" s="2" t="s">
        <v>459</v>
      </c>
      <c r="N12" s="2" t="s">
        <v>459</v>
      </c>
      <c r="O12" s="2" t="s">
        <v>459</v>
      </c>
      <c r="P12" s="2" t="s">
        <v>483</v>
      </c>
    </row>
    <row r="13" spans="1:16" ht="15.6" hidden="1">
      <c r="A13" s="2" t="s">
        <v>571</v>
      </c>
      <c r="B13" s="2" t="s">
        <v>539</v>
      </c>
      <c r="C13" s="2" t="s">
        <v>504</v>
      </c>
      <c r="D13" s="2" t="s">
        <v>505</v>
      </c>
      <c r="E13" s="2" t="s">
        <v>451</v>
      </c>
      <c r="F13" s="2" t="s">
        <v>452</v>
      </c>
      <c r="G13" s="2" t="s">
        <v>453</v>
      </c>
      <c r="H13" s="2" t="s">
        <v>520</v>
      </c>
      <c r="I13" s="2" t="s">
        <v>455</v>
      </c>
      <c r="J13" s="2" t="s">
        <v>456</v>
      </c>
      <c r="K13" s="2" t="s">
        <v>572</v>
      </c>
      <c r="L13" s="2" t="s">
        <v>459</v>
      </c>
      <c r="M13" s="2" t="s">
        <v>459</v>
      </c>
      <c r="N13" s="2" t="s">
        <v>459</v>
      </c>
      <c r="O13" s="2" t="s">
        <v>459</v>
      </c>
      <c r="P13" s="2" t="s">
        <v>572</v>
      </c>
    </row>
    <row r="14" spans="1:16" ht="15.6" hidden="1">
      <c r="A14" s="2" t="s">
        <v>573</v>
      </c>
      <c r="B14" s="2" t="s">
        <v>539</v>
      </c>
      <c r="C14" s="2" t="s">
        <v>500</v>
      </c>
      <c r="D14" s="2" t="s">
        <v>501</v>
      </c>
      <c r="E14" s="2" t="s">
        <v>451</v>
      </c>
      <c r="F14" s="2" t="s">
        <v>452</v>
      </c>
      <c r="G14" s="2" t="s">
        <v>453</v>
      </c>
      <c r="H14" s="2" t="s">
        <v>520</v>
      </c>
      <c r="I14" s="2" t="s">
        <v>455</v>
      </c>
      <c r="J14" s="2" t="s">
        <v>456</v>
      </c>
      <c r="K14" s="2" t="s">
        <v>502</v>
      </c>
      <c r="L14" s="2" t="s">
        <v>459</v>
      </c>
      <c r="M14" s="2" t="s">
        <v>459</v>
      </c>
      <c r="N14" s="2" t="s">
        <v>459</v>
      </c>
      <c r="O14" s="2" t="s">
        <v>459</v>
      </c>
      <c r="P14" s="2" t="s">
        <v>502</v>
      </c>
    </row>
    <row r="15" spans="1:16" ht="15.6" hidden="1">
      <c r="A15" s="2" t="s">
        <v>574</v>
      </c>
      <c r="B15" s="2" t="s">
        <v>539</v>
      </c>
      <c r="C15" s="2" t="s">
        <v>489</v>
      </c>
      <c r="D15" s="2" t="s">
        <v>475</v>
      </c>
      <c r="E15" s="2" t="s">
        <v>451</v>
      </c>
      <c r="F15" s="2" t="s">
        <v>452</v>
      </c>
      <c r="G15" s="2" t="s">
        <v>453</v>
      </c>
      <c r="H15" s="2" t="s">
        <v>490</v>
      </c>
      <c r="I15" s="2" t="s">
        <v>455</v>
      </c>
      <c r="J15" s="2" t="s">
        <v>456</v>
      </c>
      <c r="K15" s="2" t="s">
        <v>575</v>
      </c>
      <c r="L15" s="2" t="s">
        <v>576</v>
      </c>
      <c r="M15" s="2" t="s">
        <v>459</v>
      </c>
      <c r="N15" s="2" t="s">
        <v>459</v>
      </c>
      <c r="O15" s="2" t="s">
        <v>459</v>
      </c>
      <c r="P15" s="2" t="s">
        <v>577</v>
      </c>
    </row>
    <row r="16" spans="1:16" ht="15.6" hidden="1">
      <c r="A16" s="2" t="s">
        <v>578</v>
      </c>
      <c r="B16" s="2" t="s">
        <v>539</v>
      </c>
      <c r="C16" s="2" t="s">
        <v>495</v>
      </c>
      <c r="D16" s="2" t="s">
        <v>482</v>
      </c>
      <c r="E16" s="2" t="s">
        <v>451</v>
      </c>
      <c r="F16" s="2" t="s">
        <v>452</v>
      </c>
      <c r="G16" s="2" t="s">
        <v>453</v>
      </c>
      <c r="H16" s="2" t="s">
        <v>496</v>
      </c>
      <c r="I16" s="2" t="s">
        <v>455</v>
      </c>
      <c r="J16" s="2" t="s">
        <v>456</v>
      </c>
      <c r="K16" s="2" t="s">
        <v>483</v>
      </c>
      <c r="L16" s="2" t="s">
        <v>459</v>
      </c>
      <c r="M16" s="2" t="s">
        <v>459</v>
      </c>
      <c r="N16" s="2" t="s">
        <v>459</v>
      </c>
      <c r="O16" s="2" t="s">
        <v>459</v>
      </c>
      <c r="P16" s="2" t="s">
        <v>483</v>
      </c>
    </row>
    <row r="17" spans="1:16" ht="15.6" hidden="1">
      <c r="A17" s="2" t="s">
        <v>579</v>
      </c>
      <c r="B17" s="2" t="s">
        <v>539</v>
      </c>
      <c r="C17" s="2" t="s">
        <v>504</v>
      </c>
      <c r="D17" s="2" t="s">
        <v>505</v>
      </c>
      <c r="E17" s="2" t="s">
        <v>451</v>
      </c>
      <c r="F17" s="2" t="s">
        <v>452</v>
      </c>
      <c r="G17" s="2" t="s">
        <v>453</v>
      </c>
      <c r="H17" s="2" t="s">
        <v>486</v>
      </c>
      <c r="I17" s="2" t="s">
        <v>455</v>
      </c>
      <c r="J17" s="2" t="s">
        <v>456</v>
      </c>
      <c r="K17" s="2" t="s">
        <v>566</v>
      </c>
      <c r="L17" s="2" t="s">
        <v>459</v>
      </c>
      <c r="M17" s="2" t="s">
        <v>459</v>
      </c>
      <c r="N17" s="2" t="s">
        <v>459</v>
      </c>
      <c r="O17" s="2" t="s">
        <v>459</v>
      </c>
      <c r="P17" s="2" t="s">
        <v>566</v>
      </c>
    </row>
    <row r="18" spans="1:16" ht="15.6" hidden="1">
      <c r="A18" s="2" t="s">
        <v>580</v>
      </c>
      <c r="B18" s="2" t="s">
        <v>539</v>
      </c>
      <c r="C18" s="2" t="s">
        <v>581</v>
      </c>
      <c r="D18" s="2" t="s">
        <v>450</v>
      </c>
      <c r="E18" s="2" t="s">
        <v>451</v>
      </c>
      <c r="F18" s="2" t="s">
        <v>452</v>
      </c>
      <c r="G18" s="2" t="s">
        <v>453</v>
      </c>
      <c r="H18" s="2" t="s">
        <v>486</v>
      </c>
      <c r="I18" s="2" t="s">
        <v>455</v>
      </c>
      <c r="J18" s="2" t="s">
        <v>456</v>
      </c>
      <c r="K18" s="2" t="s">
        <v>487</v>
      </c>
      <c r="L18" s="2" t="s">
        <v>459</v>
      </c>
      <c r="M18" s="2" t="s">
        <v>459</v>
      </c>
      <c r="N18" s="2" t="s">
        <v>459</v>
      </c>
      <c r="O18" s="2" t="s">
        <v>459</v>
      </c>
      <c r="P18" s="2" t="s">
        <v>487</v>
      </c>
    </row>
    <row r="19" spans="1:16" ht="15.6" hidden="1">
      <c r="A19" s="2" t="s">
        <v>582</v>
      </c>
      <c r="B19" s="2" t="s">
        <v>539</v>
      </c>
      <c r="C19" s="2" t="s">
        <v>500</v>
      </c>
      <c r="D19" s="2" t="s">
        <v>501</v>
      </c>
      <c r="E19" s="2" t="s">
        <v>451</v>
      </c>
      <c r="F19" s="2" t="s">
        <v>452</v>
      </c>
      <c r="G19" s="2" t="s">
        <v>453</v>
      </c>
      <c r="H19" s="2" t="s">
        <v>486</v>
      </c>
      <c r="I19" s="2" t="s">
        <v>455</v>
      </c>
      <c r="J19" s="2" t="s">
        <v>456</v>
      </c>
      <c r="K19" s="2" t="s">
        <v>502</v>
      </c>
      <c r="L19" s="2" t="s">
        <v>459</v>
      </c>
      <c r="M19" s="2" t="s">
        <v>459</v>
      </c>
      <c r="N19" s="2" t="s">
        <v>459</v>
      </c>
      <c r="O19" s="2" t="s">
        <v>459</v>
      </c>
      <c r="P19" s="2" t="s">
        <v>502</v>
      </c>
    </row>
    <row r="20" spans="1:16" ht="15.6" hidden="1">
      <c r="A20" s="2" t="s">
        <v>583</v>
      </c>
      <c r="B20" s="2" t="s">
        <v>539</v>
      </c>
      <c r="C20" s="2" t="s">
        <v>584</v>
      </c>
      <c r="D20" s="2" t="s">
        <v>475</v>
      </c>
      <c r="E20" s="2" t="s">
        <v>451</v>
      </c>
      <c r="F20" s="2" t="s">
        <v>452</v>
      </c>
      <c r="G20" s="2" t="s">
        <v>453</v>
      </c>
      <c r="H20" s="2" t="s">
        <v>476</v>
      </c>
      <c r="I20" s="2" t="s">
        <v>455</v>
      </c>
      <c r="J20" s="2" t="s">
        <v>456</v>
      </c>
      <c r="K20" s="2" t="s">
        <v>477</v>
      </c>
      <c r="L20" s="2" t="s">
        <v>478</v>
      </c>
      <c r="M20" s="2" t="s">
        <v>459</v>
      </c>
      <c r="N20" s="2" t="s">
        <v>459</v>
      </c>
      <c r="O20" s="2" t="s">
        <v>459</v>
      </c>
      <c r="P20" s="2" t="s">
        <v>479</v>
      </c>
    </row>
    <row r="21" spans="1:16" ht="15.6" hidden="1">
      <c r="A21" s="2" t="s">
        <v>585</v>
      </c>
      <c r="B21" s="2" t="s">
        <v>539</v>
      </c>
      <c r="C21" s="2" t="s">
        <v>586</v>
      </c>
      <c r="D21" s="2" t="s">
        <v>450</v>
      </c>
      <c r="E21" s="2" t="s">
        <v>451</v>
      </c>
      <c r="F21" s="2" t="s">
        <v>452</v>
      </c>
      <c r="G21" s="2" t="s">
        <v>453</v>
      </c>
      <c r="H21" s="2" t="s">
        <v>454</v>
      </c>
      <c r="I21" s="2" t="s">
        <v>455</v>
      </c>
      <c r="J21" s="2" t="s">
        <v>456</v>
      </c>
      <c r="K21" s="2" t="s">
        <v>457</v>
      </c>
      <c r="L21" s="2" t="s">
        <v>458</v>
      </c>
      <c r="M21" s="2" t="s">
        <v>459</v>
      </c>
      <c r="N21" s="2" t="s">
        <v>459</v>
      </c>
      <c r="O21" s="2" t="s">
        <v>459</v>
      </c>
      <c r="P21" s="2" t="s">
        <v>460</v>
      </c>
    </row>
    <row r="22" spans="1:16" ht="15.6" hidden="1">
      <c r="A22" s="2" t="s">
        <v>587</v>
      </c>
      <c r="B22" s="2" t="s">
        <v>539</v>
      </c>
      <c r="C22" s="2" t="s">
        <v>588</v>
      </c>
      <c r="D22" s="2" t="s">
        <v>482</v>
      </c>
      <c r="E22" s="2" t="s">
        <v>451</v>
      </c>
      <c r="F22" s="2" t="s">
        <v>452</v>
      </c>
      <c r="G22" s="2" t="s">
        <v>453</v>
      </c>
      <c r="H22" s="2" t="s">
        <v>454</v>
      </c>
      <c r="I22" s="2" t="s">
        <v>455</v>
      </c>
      <c r="J22" s="2" t="s">
        <v>456</v>
      </c>
      <c r="K22" s="2" t="s">
        <v>483</v>
      </c>
      <c r="L22" s="2" t="s">
        <v>459</v>
      </c>
      <c r="M22" s="2" t="s">
        <v>459</v>
      </c>
      <c r="N22" s="2" t="s">
        <v>459</v>
      </c>
      <c r="O22" s="2" t="s">
        <v>459</v>
      </c>
      <c r="P22" s="2" t="s">
        <v>483</v>
      </c>
    </row>
    <row r="23" spans="1:16" ht="15.6" hidden="1">
      <c r="A23" s="2" t="s">
        <v>589</v>
      </c>
      <c r="B23" s="2" t="s">
        <v>539</v>
      </c>
      <c r="C23" s="2" t="s">
        <v>500</v>
      </c>
      <c r="D23" s="2" t="s">
        <v>501</v>
      </c>
      <c r="E23" s="2" t="s">
        <v>451</v>
      </c>
      <c r="F23" s="2" t="s">
        <v>452</v>
      </c>
      <c r="G23" s="2" t="s">
        <v>453</v>
      </c>
      <c r="H23" s="2" t="s">
        <v>590</v>
      </c>
      <c r="I23" s="2" t="s">
        <v>455</v>
      </c>
      <c r="J23" s="2" t="s">
        <v>456</v>
      </c>
      <c r="K23" s="2" t="s">
        <v>502</v>
      </c>
      <c r="L23" s="2" t="s">
        <v>459</v>
      </c>
      <c r="M23" s="2" t="s">
        <v>459</v>
      </c>
      <c r="N23" s="2" t="s">
        <v>459</v>
      </c>
      <c r="O23" s="2" t="s">
        <v>459</v>
      </c>
      <c r="P23" s="2" t="s">
        <v>502</v>
      </c>
    </row>
    <row r="24" spans="1:16" ht="15.6" hidden="1">
      <c r="A24" s="2" t="s">
        <v>522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5.6" hidden="1">
      <c r="A25" s="2" t="s">
        <v>523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 t="s">
        <v>591</v>
      </c>
      <c r="M25" s="2"/>
      <c r="N25" s="2"/>
      <c r="O25" s="2"/>
      <c r="P25" s="2"/>
    </row>
    <row r="26" spans="1:16" ht="15.6" hidden="1">
      <c r="A26" s="2" t="s">
        <v>525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 t="s">
        <v>459</v>
      </c>
      <c r="M26" s="2"/>
      <c r="N26" s="2"/>
      <c r="O26" s="2"/>
      <c r="P26" s="2"/>
    </row>
    <row r="27" spans="1:16" ht="15.6" hidden="1">
      <c r="A27" s="2" t="s">
        <v>526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 t="s">
        <v>459</v>
      </c>
      <c r="M27" s="2"/>
      <c r="N27" s="2"/>
      <c r="O27" s="2"/>
      <c r="P27" s="2"/>
    </row>
    <row r="28" spans="1:16" ht="15.6" hidden="1">
      <c r="A28" s="2" t="s">
        <v>527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459</v>
      </c>
      <c r="M28" s="2"/>
      <c r="N28" s="2"/>
      <c r="O28" s="2"/>
      <c r="P28" s="2"/>
    </row>
    <row r="29" spans="1:16" ht="15.6" hidden="1">
      <c r="A29" s="2" t="s">
        <v>528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459</v>
      </c>
      <c r="M29" s="2"/>
      <c r="N29" s="2"/>
      <c r="O29" s="2"/>
      <c r="P29" s="2"/>
    </row>
    <row r="30" spans="1:16" ht="15.6" hidden="1">
      <c r="A30" s="2" t="s">
        <v>529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592</v>
      </c>
      <c r="M30" s="2"/>
      <c r="N30" s="2"/>
      <c r="O30" s="2"/>
      <c r="P30" s="2"/>
    </row>
    <row r="31" spans="1:16" ht="15.6" hidden="1">
      <c r="A31" s="2" t="s">
        <v>531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 t="s">
        <v>593</v>
      </c>
      <c r="M31" s="2"/>
      <c r="N31" s="2"/>
      <c r="O31" s="2"/>
      <c r="P31" s="2"/>
    </row>
    <row r="32" spans="1:16" ht="15.6" hidden="1">
      <c r="A32" s="2" t="s">
        <v>533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 t="s">
        <v>459</v>
      </c>
      <c r="M32" s="2"/>
      <c r="N32" s="2"/>
      <c r="O32" s="2"/>
      <c r="P32" s="2"/>
    </row>
    <row r="33" spans="1:16" ht="15.6" hidden="1">
      <c r="A33" s="2" t="s">
        <v>534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 t="s">
        <v>459</v>
      </c>
    </row>
    <row r="34" spans="1:16" ht="15.6" hidden="1">
      <c r="A34" s="2" t="s">
        <v>535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 t="s">
        <v>459</v>
      </c>
    </row>
    <row r="35" spans="1:16" ht="15.6" hidden="1">
      <c r="A35" s="2" t="s">
        <v>536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 t="s">
        <v>592</v>
      </c>
    </row>
    <row r="36" spans="1:16" hidden="1">
      <c r="A36" t="s">
        <v>531</v>
      </c>
      <c r="L36" t="s">
        <v>594</v>
      </c>
    </row>
    <row r="37" spans="1:16" hidden="1">
      <c r="A37" t="s">
        <v>533</v>
      </c>
      <c r="L37" t="s">
        <v>459</v>
      </c>
    </row>
    <row r="38" spans="1:16" hidden="1">
      <c r="A38" t="s">
        <v>534</v>
      </c>
      <c r="L38" t="s">
        <v>459</v>
      </c>
    </row>
    <row r="39" spans="1:16" hidden="1">
      <c r="A39" t="s">
        <v>535</v>
      </c>
      <c r="L39" t="s">
        <v>459</v>
      </c>
      <c r="N39">
        <v>559.12</v>
      </c>
      <c r="O39">
        <v>13268.61</v>
      </c>
      <c r="P39">
        <f>O39+N39</f>
        <v>13827.730000000001</v>
      </c>
    </row>
    <row r="40" spans="1:16" hidden="1">
      <c r="A40" t="s">
        <v>536</v>
      </c>
      <c r="L40" t="s">
        <v>595</v>
      </c>
    </row>
  </sheetData>
  <autoFilter ref="A2:P40" xr:uid="{EFEBF442-5157-481C-89C5-5C1FF122A2B8}">
    <filterColumn colId="15">
      <filters>
        <filter val="480,00"/>
      </filters>
    </filterColumn>
    <sortState xmlns:xlrd2="http://schemas.microsoft.com/office/spreadsheetml/2017/richdata2" ref="A3:P40">
      <sortCondition sortBy="cellColor" ref="D2:D40" dxfId="3"/>
    </sortState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6452-2C0E-4128-89FE-E3304016EC2E}">
  <dimension ref="A1:P25"/>
  <sheetViews>
    <sheetView workbookViewId="0">
      <selection activeCell="R8" sqref="R8"/>
    </sheetView>
  </sheetViews>
  <sheetFormatPr defaultColWidth="9.140625" defaultRowHeight="14.45"/>
  <sheetData>
    <row r="1" spans="1:16" ht="15.6">
      <c r="A1" s="2" t="s">
        <v>432</v>
      </c>
      <c r="B1" s="2" t="s">
        <v>596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6">
      <c r="A2" s="2" t="s">
        <v>434</v>
      </c>
      <c r="B2" s="2" t="s">
        <v>435</v>
      </c>
      <c r="C2" s="2" t="s">
        <v>68</v>
      </c>
      <c r="D2" s="2" t="s">
        <v>436</v>
      </c>
      <c r="E2" s="2" t="s">
        <v>437</v>
      </c>
      <c r="F2" s="2" t="s">
        <v>438</v>
      </c>
      <c r="G2" s="2" t="s">
        <v>7</v>
      </c>
      <c r="H2" s="2" t="s">
        <v>439</v>
      </c>
      <c r="I2" s="2" t="s">
        <v>440</v>
      </c>
      <c r="J2" s="2" t="s">
        <v>441</v>
      </c>
      <c r="K2" s="2" t="s">
        <v>19</v>
      </c>
      <c r="L2" s="2" t="s">
        <v>442</v>
      </c>
      <c r="M2" s="2" t="s">
        <v>443</v>
      </c>
      <c r="N2" s="2" t="s">
        <v>444</v>
      </c>
      <c r="O2" s="2" t="s">
        <v>445</v>
      </c>
      <c r="P2" s="2" t="s">
        <v>446</v>
      </c>
    </row>
    <row r="3" spans="1:16" ht="15.6">
      <c r="A3" s="2" t="s">
        <v>597</v>
      </c>
      <c r="B3" s="2" t="s">
        <v>598</v>
      </c>
      <c r="C3" s="2" t="s">
        <v>500</v>
      </c>
      <c r="D3" s="2" t="s">
        <v>501</v>
      </c>
      <c r="E3" s="2" t="s">
        <v>451</v>
      </c>
      <c r="F3" s="2" t="s">
        <v>452</v>
      </c>
      <c r="G3" s="2" t="s">
        <v>453</v>
      </c>
      <c r="H3" s="2" t="s">
        <v>564</v>
      </c>
      <c r="I3" s="2" t="s">
        <v>455</v>
      </c>
      <c r="J3" s="2" t="s">
        <v>456</v>
      </c>
      <c r="K3" s="2" t="s">
        <v>502</v>
      </c>
      <c r="L3" s="2" t="s">
        <v>459</v>
      </c>
      <c r="M3" s="2" t="s">
        <v>459</v>
      </c>
      <c r="N3" s="2" t="s">
        <v>459</v>
      </c>
      <c r="O3" s="2" t="s">
        <v>459</v>
      </c>
      <c r="P3" s="2" t="s">
        <v>502</v>
      </c>
    </row>
    <row r="4" spans="1:16" ht="15.6">
      <c r="A4" s="2" t="s">
        <v>599</v>
      </c>
      <c r="B4" s="2" t="s">
        <v>598</v>
      </c>
      <c r="C4" s="2" t="s">
        <v>495</v>
      </c>
      <c r="D4" s="2" t="s">
        <v>482</v>
      </c>
      <c r="E4" s="2" t="s">
        <v>451</v>
      </c>
      <c r="F4" s="2" t="s">
        <v>452</v>
      </c>
      <c r="G4" s="2" t="s">
        <v>453</v>
      </c>
      <c r="H4" s="2" t="s">
        <v>517</v>
      </c>
      <c r="I4" s="2" t="s">
        <v>455</v>
      </c>
      <c r="J4" s="2" t="s">
        <v>456</v>
      </c>
      <c r="K4" s="2" t="s">
        <v>483</v>
      </c>
      <c r="L4" s="2" t="s">
        <v>459</v>
      </c>
      <c r="M4" s="2" t="s">
        <v>459</v>
      </c>
      <c r="N4" s="2" t="s">
        <v>459</v>
      </c>
      <c r="O4" s="2" t="s">
        <v>459</v>
      </c>
      <c r="P4" s="2" t="s">
        <v>483</v>
      </c>
    </row>
    <row r="5" spans="1:16" ht="15.6">
      <c r="A5" s="2" t="s">
        <v>600</v>
      </c>
      <c r="B5" s="2" t="s">
        <v>598</v>
      </c>
      <c r="C5" s="2" t="s">
        <v>500</v>
      </c>
      <c r="D5" s="2" t="s">
        <v>501</v>
      </c>
      <c r="E5" s="2" t="s">
        <v>451</v>
      </c>
      <c r="F5" s="2" t="s">
        <v>452</v>
      </c>
      <c r="G5" s="2" t="s">
        <v>453</v>
      </c>
      <c r="H5" s="2" t="s">
        <v>520</v>
      </c>
      <c r="I5" s="2" t="s">
        <v>455</v>
      </c>
      <c r="J5" s="2" t="s">
        <v>456</v>
      </c>
      <c r="K5" s="2" t="s">
        <v>502</v>
      </c>
      <c r="L5" s="2" t="s">
        <v>459</v>
      </c>
      <c r="M5" s="2" t="s">
        <v>459</v>
      </c>
      <c r="N5" s="2" t="s">
        <v>459</v>
      </c>
      <c r="O5" s="2" t="s">
        <v>459</v>
      </c>
      <c r="P5" s="2" t="s">
        <v>502</v>
      </c>
    </row>
    <row r="6" spans="1:16" ht="15.6">
      <c r="A6" s="2" t="s">
        <v>601</v>
      </c>
      <c r="B6" s="2" t="s">
        <v>598</v>
      </c>
      <c r="C6" s="2" t="s">
        <v>489</v>
      </c>
      <c r="D6" s="2" t="s">
        <v>475</v>
      </c>
      <c r="E6" s="2" t="s">
        <v>451</v>
      </c>
      <c r="F6" s="2" t="s">
        <v>452</v>
      </c>
      <c r="G6" s="2" t="s">
        <v>453</v>
      </c>
      <c r="H6" s="2" t="s">
        <v>490</v>
      </c>
      <c r="I6" s="2" t="s">
        <v>455</v>
      </c>
      <c r="J6" s="2" t="s">
        <v>456</v>
      </c>
      <c r="K6" s="2" t="s">
        <v>602</v>
      </c>
      <c r="L6" s="2" t="s">
        <v>603</v>
      </c>
      <c r="M6" s="2" t="s">
        <v>459</v>
      </c>
      <c r="N6" s="2" t="s">
        <v>459</v>
      </c>
      <c r="O6" s="2" t="s">
        <v>459</v>
      </c>
      <c r="P6" s="2" t="s">
        <v>604</v>
      </c>
    </row>
    <row r="7" spans="1:16" ht="15.6">
      <c r="A7" s="2" t="s">
        <v>605</v>
      </c>
      <c r="B7" s="2" t="s">
        <v>598</v>
      </c>
      <c r="C7" s="2" t="s">
        <v>495</v>
      </c>
      <c r="D7" s="2" t="s">
        <v>482</v>
      </c>
      <c r="E7" s="2" t="s">
        <v>451</v>
      </c>
      <c r="F7" s="2" t="s">
        <v>452</v>
      </c>
      <c r="G7" s="2" t="s">
        <v>453</v>
      </c>
      <c r="H7" s="2" t="s">
        <v>496</v>
      </c>
      <c r="I7" s="2" t="s">
        <v>455</v>
      </c>
      <c r="J7" s="2" t="s">
        <v>456</v>
      </c>
      <c r="K7" s="2" t="s">
        <v>483</v>
      </c>
      <c r="L7" s="2" t="s">
        <v>459</v>
      </c>
      <c r="M7" s="2" t="s">
        <v>459</v>
      </c>
      <c r="N7" s="2" t="s">
        <v>459</v>
      </c>
      <c r="O7" s="2" t="s">
        <v>459</v>
      </c>
      <c r="P7" s="2" t="s">
        <v>483</v>
      </c>
    </row>
    <row r="8" spans="1:16" ht="15.6">
      <c r="A8" s="2" t="s">
        <v>606</v>
      </c>
      <c r="B8" s="2" t="s">
        <v>598</v>
      </c>
      <c r="C8" s="2" t="s">
        <v>607</v>
      </c>
      <c r="D8" s="2" t="s">
        <v>450</v>
      </c>
      <c r="E8" s="2" t="s">
        <v>451</v>
      </c>
      <c r="F8" s="2" t="s">
        <v>452</v>
      </c>
      <c r="G8" s="2" t="s">
        <v>453</v>
      </c>
      <c r="H8" s="2" t="s">
        <v>486</v>
      </c>
      <c r="I8" s="2" t="s">
        <v>455</v>
      </c>
      <c r="J8" s="2" t="s">
        <v>456</v>
      </c>
      <c r="K8" s="2" t="s">
        <v>487</v>
      </c>
      <c r="L8" s="2" t="s">
        <v>459</v>
      </c>
      <c r="M8" s="2" t="s">
        <v>459</v>
      </c>
      <c r="N8" s="2" t="s">
        <v>459</v>
      </c>
      <c r="O8" s="2" t="s">
        <v>459</v>
      </c>
      <c r="P8" s="2" t="s">
        <v>487</v>
      </c>
    </row>
    <row r="9" spans="1:16" ht="15.6">
      <c r="A9" s="2" t="s">
        <v>608</v>
      </c>
      <c r="B9" s="2" t="s">
        <v>598</v>
      </c>
      <c r="C9" s="2" t="s">
        <v>500</v>
      </c>
      <c r="D9" s="2" t="s">
        <v>501</v>
      </c>
      <c r="E9" s="2" t="s">
        <v>451</v>
      </c>
      <c r="F9" s="2" t="s">
        <v>452</v>
      </c>
      <c r="G9" s="2" t="s">
        <v>453</v>
      </c>
      <c r="H9" s="2" t="s">
        <v>486</v>
      </c>
      <c r="I9" s="2" t="s">
        <v>455</v>
      </c>
      <c r="J9" s="2" t="s">
        <v>456</v>
      </c>
      <c r="K9" s="2" t="s">
        <v>502</v>
      </c>
      <c r="L9" s="2" t="s">
        <v>459</v>
      </c>
      <c r="M9" s="2" t="s">
        <v>459</v>
      </c>
      <c r="N9" s="2" t="s">
        <v>459</v>
      </c>
      <c r="O9" s="2" t="s">
        <v>459</v>
      </c>
      <c r="P9" s="2" t="s">
        <v>502</v>
      </c>
    </row>
    <row r="10" spans="1:16" ht="15.6">
      <c r="A10" s="2" t="s">
        <v>609</v>
      </c>
      <c r="B10" s="2" t="s">
        <v>598</v>
      </c>
      <c r="C10" s="2" t="s">
        <v>610</v>
      </c>
      <c r="D10" s="2" t="s">
        <v>475</v>
      </c>
      <c r="E10" s="2" t="s">
        <v>451</v>
      </c>
      <c r="F10" s="2" t="s">
        <v>452</v>
      </c>
      <c r="G10" s="2" t="s">
        <v>453</v>
      </c>
      <c r="H10" s="2" t="s">
        <v>476</v>
      </c>
      <c r="I10" s="2" t="s">
        <v>455</v>
      </c>
      <c r="J10" s="2" t="s">
        <v>456</v>
      </c>
      <c r="K10" s="2" t="s">
        <v>611</v>
      </c>
      <c r="L10" s="2" t="s">
        <v>612</v>
      </c>
      <c r="M10" s="2" t="s">
        <v>459</v>
      </c>
      <c r="N10" s="2" t="s">
        <v>459</v>
      </c>
      <c r="O10" s="2" t="s">
        <v>459</v>
      </c>
      <c r="P10" s="2" t="s">
        <v>613</v>
      </c>
    </row>
    <row r="11" spans="1:16" ht="15.6">
      <c r="A11" s="2" t="s">
        <v>614</v>
      </c>
      <c r="B11" s="2" t="s">
        <v>598</v>
      </c>
      <c r="C11" s="2" t="s">
        <v>615</v>
      </c>
      <c r="D11" s="2" t="s">
        <v>450</v>
      </c>
      <c r="E11" s="2" t="s">
        <v>451</v>
      </c>
      <c r="F11" s="2" t="s">
        <v>452</v>
      </c>
      <c r="G11" s="2" t="s">
        <v>453</v>
      </c>
      <c r="H11" s="2" t="s">
        <v>454</v>
      </c>
      <c r="I11" s="2" t="s">
        <v>455</v>
      </c>
      <c r="J11" s="2" t="s">
        <v>456</v>
      </c>
      <c r="K11" s="2" t="s">
        <v>457</v>
      </c>
      <c r="L11" s="2" t="s">
        <v>458</v>
      </c>
      <c r="M11" s="2" t="s">
        <v>459</v>
      </c>
      <c r="N11" s="2" t="s">
        <v>459</v>
      </c>
      <c r="O11" s="2" t="s">
        <v>459</v>
      </c>
      <c r="P11" s="2" t="s">
        <v>460</v>
      </c>
    </row>
    <row r="12" spans="1:16" ht="15.6">
      <c r="A12" s="2" t="s">
        <v>616</v>
      </c>
      <c r="B12" s="2" t="s">
        <v>598</v>
      </c>
      <c r="C12" s="2" t="s">
        <v>617</v>
      </c>
      <c r="D12" s="2" t="s">
        <v>482</v>
      </c>
      <c r="E12" s="2" t="s">
        <v>451</v>
      </c>
      <c r="F12" s="2" t="s">
        <v>452</v>
      </c>
      <c r="G12" s="2" t="s">
        <v>453</v>
      </c>
      <c r="H12" s="2" t="s">
        <v>454</v>
      </c>
      <c r="I12" s="2" t="s">
        <v>455</v>
      </c>
      <c r="J12" s="2" t="s">
        <v>456</v>
      </c>
      <c r="K12" s="2" t="s">
        <v>483</v>
      </c>
      <c r="L12" s="2" t="s">
        <v>459</v>
      </c>
      <c r="M12" s="2" t="s">
        <v>459</v>
      </c>
      <c r="N12" s="2" t="s">
        <v>459</v>
      </c>
      <c r="O12" s="2" t="s">
        <v>459</v>
      </c>
      <c r="P12" s="2" t="s">
        <v>483</v>
      </c>
    </row>
    <row r="13" spans="1:16" ht="15.6">
      <c r="A13" s="2" t="s">
        <v>618</v>
      </c>
      <c r="B13" s="2" t="s">
        <v>598</v>
      </c>
      <c r="C13" s="2" t="s">
        <v>500</v>
      </c>
      <c r="D13" s="2" t="s">
        <v>501</v>
      </c>
      <c r="E13" s="2" t="s">
        <v>451</v>
      </c>
      <c r="F13" s="2" t="s">
        <v>452</v>
      </c>
      <c r="G13" s="2" t="s">
        <v>453</v>
      </c>
      <c r="H13" s="2" t="s">
        <v>590</v>
      </c>
      <c r="I13" s="2" t="s">
        <v>455</v>
      </c>
      <c r="J13" s="2" t="s">
        <v>456</v>
      </c>
      <c r="K13" s="2" t="s">
        <v>502</v>
      </c>
      <c r="L13" s="2" t="s">
        <v>459</v>
      </c>
      <c r="M13" s="2" t="s">
        <v>459</v>
      </c>
      <c r="N13" s="2" t="s">
        <v>459</v>
      </c>
      <c r="O13" s="2" t="s">
        <v>459</v>
      </c>
      <c r="P13" s="2" t="s">
        <v>502</v>
      </c>
    </row>
    <row r="14" spans="1:16" ht="15.6">
      <c r="A14" s="2" t="s">
        <v>522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.6">
      <c r="A15" s="2" t="s">
        <v>523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 t="s">
        <v>619</v>
      </c>
      <c r="M15" s="2"/>
      <c r="N15" s="2"/>
      <c r="O15" s="2"/>
      <c r="P15" s="2"/>
    </row>
    <row r="16" spans="1:16" ht="15.6">
      <c r="A16" s="2" t="s">
        <v>525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 t="s">
        <v>459</v>
      </c>
      <c r="M16" s="2"/>
      <c r="N16" s="2"/>
      <c r="O16" s="2"/>
      <c r="P16" s="2"/>
    </row>
    <row r="17" spans="1:12" ht="15.6">
      <c r="A17" s="2" t="s">
        <v>526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 t="s">
        <v>459</v>
      </c>
    </row>
    <row r="18" spans="1:12" ht="15.6">
      <c r="A18" s="2" t="s">
        <v>527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 t="s">
        <v>459</v>
      </c>
    </row>
    <row r="19" spans="1:12" ht="15.6">
      <c r="A19" s="2" t="s">
        <v>528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459</v>
      </c>
    </row>
    <row r="20" spans="1:12" ht="15.6">
      <c r="A20" s="2" t="s">
        <v>529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 t="s">
        <v>620</v>
      </c>
    </row>
    <row r="21" spans="1:12" ht="15.6">
      <c r="A21" s="2" t="s">
        <v>531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 t="s">
        <v>621</v>
      </c>
    </row>
    <row r="22" spans="1:12" ht="15.6">
      <c r="A22" s="2" t="s">
        <v>533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459</v>
      </c>
    </row>
    <row r="23" spans="1:12" ht="15.6">
      <c r="A23" s="2" t="s">
        <v>534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 t="s">
        <v>459</v>
      </c>
    </row>
    <row r="24" spans="1:12" ht="15.6">
      <c r="A24" s="2" t="s">
        <v>535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 t="s">
        <v>459</v>
      </c>
    </row>
    <row r="25" spans="1:12" ht="15.6">
      <c r="A25" s="2" t="s">
        <v>536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 t="s">
        <v>620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6F25-6DE5-4A33-9B40-5BB29E024D7F}">
  <dimension ref="A1:P30"/>
  <sheetViews>
    <sheetView topLeftCell="A2" workbookViewId="0">
      <selection activeCell="Q2" sqref="Q2"/>
    </sheetView>
  </sheetViews>
  <sheetFormatPr defaultColWidth="9.140625" defaultRowHeight="14.45"/>
  <cols>
    <col min="2" max="2" width="13.85546875" customWidth="1"/>
    <col min="3" max="3" width="32.85546875" bestFit="1" customWidth="1"/>
    <col min="8" max="8" width="10.7109375" bestFit="1" customWidth="1"/>
  </cols>
  <sheetData>
    <row r="1" spans="1:16" ht="144">
      <c r="B1" s="7" t="s">
        <v>622</v>
      </c>
    </row>
    <row r="2" spans="1:16">
      <c r="A2" t="s">
        <v>434</v>
      </c>
      <c r="B2" t="s">
        <v>435</v>
      </c>
      <c r="C2" t="s">
        <v>68</v>
      </c>
      <c r="D2" t="s">
        <v>436</v>
      </c>
      <c r="E2" t="s">
        <v>437</v>
      </c>
      <c r="F2" t="s">
        <v>438</v>
      </c>
      <c r="G2" t="s">
        <v>7</v>
      </c>
      <c r="H2" t="s">
        <v>439</v>
      </c>
      <c r="I2" t="s">
        <v>440</v>
      </c>
      <c r="J2" t="s">
        <v>441</v>
      </c>
      <c r="K2" t="s">
        <v>19</v>
      </c>
      <c r="L2" t="s">
        <v>442</v>
      </c>
      <c r="M2" t="s">
        <v>443</v>
      </c>
      <c r="N2" t="s">
        <v>444</v>
      </c>
      <c r="O2" t="s">
        <v>445</v>
      </c>
      <c r="P2" t="s">
        <v>446</v>
      </c>
    </row>
    <row r="3" spans="1:16">
      <c r="A3">
        <v>666</v>
      </c>
      <c r="B3" t="s">
        <v>623</v>
      </c>
      <c r="C3" t="s">
        <v>555</v>
      </c>
      <c r="D3" t="s">
        <v>475</v>
      </c>
      <c r="E3" t="s">
        <v>556</v>
      </c>
      <c r="F3" t="s">
        <v>452</v>
      </c>
      <c r="G3" t="s">
        <v>453</v>
      </c>
      <c r="H3" s="8">
        <v>44425</v>
      </c>
      <c r="I3" t="s">
        <v>455</v>
      </c>
      <c r="J3" t="s">
        <v>456</v>
      </c>
      <c r="K3">
        <v>480</v>
      </c>
      <c r="L3">
        <v>0</v>
      </c>
      <c r="M3">
        <v>0</v>
      </c>
      <c r="N3">
        <v>0</v>
      </c>
      <c r="O3">
        <v>0</v>
      </c>
      <c r="P3">
        <v>480</v>
      </c>
    </row>
    <row r="4" spans="1:16">
      <c r="A4">
        <v>1192</v>
      </c>
      <c r="B4" t="s">
        <v>623</v>
      </c>
      <c r="C4" t="s">
        <v>500</v>
      </c>
      <c r="D4" t="s">
        <v>501</v>
      </c>
      <c r="E4" t="s">
        <v>451</v>
      </c>
      <c r="F4" t="s">
        <v>452</v>
      </c>
      <c r="G4" t="s">
        <v>453</v>
      </c>
      <c r="H4" s="8">
        <v>44439</v>
      </c>
      <c r="I4" t="s">
        <v>455</v>
      </c>
      <c r="J4" t="s">
        <v>456</v>
      </c>
      <c r="K4">
        <v>241.72</v>
      </c>
      <c r="L4">
        <v>0</v>
      </c>
      <c r="M4">
        <v>0</v>
      </c>
      <c r="N4">
        <v>0</v>
      </c>
      <c r="O4">
        <v>0</v>
      </c>
      <c r="P4">
        <v>241.72</v>
      </c>
    </row>
    <row r="5" spans="1:16">
      <c r="A5">
        <v>667</v>
      </c>
      <c r="B5" t="s">
        <v>623</v>
      </c>
      <c r="C5" t="s">
        <v>555</v>
      </c>
      <c r="D5" t="s">
        <v>475</v>
      </c>
      <c r="E5" t="s">
        <v>556</v>
      </c>
      <c r="F5" t="s">
        <v>452</v>
      </c>
      <c r="G5" t="s">
        <v>453</v>
      </c>
      <c r="H5" s="8">
        <v>44442</v>
      </c>
      <c r="I5" t="s">
        <v>455</v>
      </c>
      <c r="J5" t="s">
        <v>456</v>
      </c>
      <c r="K5">
        <v>600</v>
      </c>
      <c r="L5">
        <v>0</v>
      </c>
      <c r="M5">
        <v>0</v>
      </c>
      <c r="N5">
        <v>0</v>
      </c>
      <c r="O5">
        <v>0</v>
      </c>
      <c r="P5">
        <v>600</v>
      </c>
    </row>
    <row r="6" spans="1:16">
      <c r="A6">
        <v>1226</v>
      </c>
      <c r="B6" t="s">
        <v>623</v>
      </c>
      <c r="C6" t="s">
        <v>495</v>
      </c>
      <c r="D6" t="s">
        <v>482</v>
      </c>
      <c r="E6" t="s">
        <v>451</v>
      </c>
      <c r="F6" t="s">
        <v>452</v>
      </c>
      <c r="G6" t="s">
        <v>453</v>
      </c>
      <c r="H6" s="8">
        <v>44459</v>
      </c>
      <c r="I6" t="s">
        <v>455</v>
      </c>
      <c r="J6" t="s">
        <v>456</v>
      </c>
      <c r="K6">
        <v>779.13</v>
      </c>
      <c r="L6">
        <v>0</v>
      </c>
      <c r="M6">
        <v>0</v>
      </c>
      <c r="N6">
        <v>0</v>
      </c>
      <c r="O6">
        <v>0</v>
      </c>
      <c r="P6">
        <v>779.13</v>
      </c>
    </row>
    <row r="7" spans="1:16">
      <c r="A7">
        <v>1258</v>
      </c>
      <c r="B7" t="s">
        <v>623</v>
      </c>
      <c r="C7" t="s">
        <v>500</v>
      </c>
      <c r="D7" t="s">
        <v>501</v>
      </c>
      <c r="E7" t="s">
        <v>451</v>
      </c>
      <c r="F7" t="s">
        <v>452</v>
      </c>
      <c r="G7" t="s">
        <v>453</v>
      </c>
      <c r="H7" s="8">
        <v>44469</v>
      </c>
      <c r="I7" t="s">
        <v>455</v>
      </c>
      <c r="J7" t="s">
        <v>456</v>
      </c>
      <c r="K7">
        <v>241.72</v>
      </c>
      <c r="L7">
        <v>0</v>
      </c>
      <c r="M7">
        <v>0</v>
      </c>
      <c r="N7">
        <v>0</v>
      </c>
      <c r="O7">
        <v>0</v>
      </c>
      <c r="P7">
        <v>241.72</v>
      </c>
    </row>
    <row r="8" spans="1:16">
      <c r="A8">
        <v>1288</v>
      </c>
      <c r="B8" t="s">
        <v>623</v>
      </c>
      <c r="C8" t="s">
        <v>555</v>
      </c>
      <c r="D8" t="s">
        <v>475</v>
      </c>
      <c r="E8" t="s">
        <v>451</v>
      </c>
      <c r="F8" t="s">
        <v>452</v>
      </c>
      <c r="G8" t="s">
        <v>453</v>
      </c>
      <c r="H8" s="8">
        <v>44474</v>
      </c>
      <c r="I8" t="s">
        <v>455</v>
      </c>
      <c r="J8" t="s">
        <v>456</v>
      </c>
      <c r="K8" s="9">
        <v>2202.81</v>
      </c>
      <c r="L8">
        <v>960.88</v>
      </c>
      <c r="M8">
        <v>0</v>
      </c>
      <c r="N8">
        <v>0</v>
      </c>
      <c r="O8">
        <v>0</v>
      </c>
      <c r="P8" s="9">
        <v>1241.93</v>
      </c>
    </row>
    <row r="9" spans="1:16">
      <c r="A9">
        <v>1322</v>
      </c>
      <c r="B9" t="s">
        <v>623</v>
      </c>
      <c r="C9" t="s">
        <v>495</v>
      </c>
      <c r="D9" t="s">
        <v>482</v>
      </c>
      <c r="E9" t="s">
        <v>451</v>
      </c>
      <c r="F9" t="s">
        <v>452</v>
      </c>
      <c r="G9" t="s">
        <v>453</v>
      </c>
      <c r="H9" s="8">
        <v>44489</v>
      </c>
      <c r="I9" t="s">
        <v>455</v>
      </c>
      <c r="J9" t="s">
        <v>456</v>
      </c>
      <c r="K9">
        <v>779.13</v>
      </c>
      <c r="L9">
        <v>0</v>
      </c>
      <c r="M9">
        <v>0</v>
      </c>
      <c r="N9">
        <v>0</v>
      </c>
      <c r="O9">
        <v>0</v>
      </c>
      <c r="P9">
        <v>779.13</v>
      </c>
    </row>
    <row r="10" spans="1:16">
      <c r="A10">
        <v>1395</v>
      </c>
      <c r="B10" t="s">
        <v>623</v>
      </c>
      <c r="C10" t="s">
        <v>500</v>
      </c>
      <c r="D10" t="s">
        <v>501</v>
      </c>
      <c r="E10" t="s">
        <v>451</v>
      </c>
      <c r="F10" t="s">
        <v>452</v>
      </c>
      <c r="G10" t="s">
        <v>453</v>
      </c>
      <c r="H10" s="8">
        <v>44498</v>
      </c>
      <c r="I10" t="s">
        <v>455</v>
      </c>
      <c r="J10" t="s">
        <v>456</v>
      </c>
      <c r="K10">
        <v>241.72</v>
      </c>
      <c r="L10">
        <v>0</v>
      </c>
      <c r="M10">
        <v>0</v>
      </c>
      <c r="N10">
        <v>0</v>
      </c>
      <c r="O10">
        <v>0</v>
      </c>
      <c r="P10">
        <v>241.72</v>
      </c>
    </row>
    <row r="11" spans="1:16">
      <c r="A11">
        <v>1365</v>
      </c>
      <c r="B11" t="s">
        <v>623</v>
      </c>
      <c r="C11" t="s">
        <v>489</v>
      </c>
      <c r="D11" t="s">
        <v>475</v>
      </c>
      <c r="E11" t="s">
        <v>451</v>
      </c>
      <c r="F11" t="s">
        <v>452</v>
      </c>
      <c r="G11" t="s">
        <v>453</v>
      </c>
      <c r="H11" s="8">
        <v>44504</v>
      </c>
      <c r="I11" t="s">
        <v>455</v>
      </c>
      <c r="J11" t="s">
        <v>456</v>
      </c>
      <c r="K11" s="9">
        <v>2280.9899999999998</v>
      </c>
      <c r="L11">
        <v>970.24</v>
      </c>
      <c r="M11">
        <v>0</v>
      </c>
      <c r="N11">
        <v>0</v>
      </c>
      <c r="O11">
        <v>0</v>
      </c>
      <c r="P11" s="9">
        <v>1310.75</v>
      </c>
    </row>
    <row r="12" spans="1:16">
      <c r="A12">
        <v>1372</v>
      </c>
      <c r="B12" t="s">
        <v>623</v>
      </c>
      <c r="C12" t="s">
        <v>495</v>
      </c>
      <c r="D12" t="s">
        <v>482</v>
      </c>
      <c r="E12" t="s">
        <v>451</v>
      </c>
      <c r="F12" t="s">
        <v>452</v>
      </c>
      <c r="G12" t="s">
        <v>453</v>
      </c>
      <c r="H12" s="8">
        <v>44518</v>
      </c>
      <c r="I12" t="s">
        <v>455</v>
      </c>
      <c r="J12" t="s">
        <v>456</v>
      </c>
      <c r="K12">
        <v>779.13</v>
      </c>
      <c r="L12">
        <v>13.94</v>
      </c>
      <c r="M12">
        <v>0</v>
      </c>
      <c r="N12">
        <v>0</v>
      </c>
      <c r="O12">
        <v>0</v>
      </c>
      <c r="P12">
        <v>765.19</v>
      </c>
    </row>
    <row r="13" spans="1:16">
      <c r="A13">
        <v>1478</v>
      </c>
      <c r="B13" t="s">
        <v>623</v>
      </c>
      <c r="C13" t="s">
        <v>624</v>
      </c>
      <c r="D13" t="s">
        <v>450</v>
      </c>
      <c r="E13" t="s">
        <v>451</v>
      </c>
      <c r="F13" t="s">
        <v>452</v>
      </c>
      <c r="G13" t="s">
        <v>453</v>
      </c>
      <c r="H13" s="8">
        <v>44530</v>
      </c>
      <c r="I13" t="s">
        <v>455</v>
      </c>
      <c r="J13" t="s">
        <v>456</v>
      </c>
      <c r="K13">
        <v>324.64</v>
      </c>
      <c r="L13">
        <v>0</v>
      </c>
      <c r="M13">
        <v>0</v>
      </c>
      <c r="N13">
        <v>0</v>
      </c>
      <c r="O13">
        <v>0</v>
      </c>
      <c r="P13">
        <v>324.64</v>
      </c>
    </row>
    <row r="14" spans="1:16">
      <c r="A14">
        <v>1490</v>
      </c>
      <c r="B14" t="s">
        <v>623</v>
      </c>
      <c r="C14" t="s">
        <v>500</v>
      </c>
      <c r="D14" t="s">
        <v>501</v>
      </c>
      <c r="E14" t="s">
        <v>451</v>
      </c>
      <c r="F14" t="s">
        <v>452</v>
      </c>
      <c r="G14" t="s">
        <v>453</v>
      </c>
      <c r="H14" s="8">
        <v>44530</v>
      </c>
      <c r="I14" t="s">
        <v>455</v>
      </c>
      <c r="J14" t="s">
        <v>456</v>
      </c>
      <c r="K14">
        <v>241.72</v>
      </c>
      <c r="L14">
        <v>0</v>
      </c>
      <c r="M14">
        <v>0</v>
      </c>
      <c r="N14">
        <v>0</v>
      </c>
      <c r="O14">
        <v>0</v>
      </c>
      <c r="P14">
        <v>241.72</v>
      </c>
    </row>
    <row r="15" spans="1:16">
      <c r="A15">
        <v>1528</v>
      </c>
      <c r="B15" t="s">
        <v>623</v>
      </c>
      <c r="C15" t="s">
        <v>625</v>
      </c>
      <c r="D15" t="s">
        <v>475</v>
      </c>
      <c r="E15" t="s">
        <v>451</v>
      </c>
      <c r="F15" t="s">
        <v>452</v>
      </c>
      <c r="G15" t="s">
        <v>453</v>
      </c>
      <c r="H15" s="8">
        <v>44536</v>
      </c>
      <c r="I15" t="s">
        <v>455</v>
      </c>
      <c r="J15" t="s">
        <v>456</v>
      </c>
      <c r="K15" s="9">
        <v>2180.23</v>
      </c>
      <c r="L15">
        <v>958.85</v>
      </c>
      <c r="M15">
        <v>0</v>
      </c>
      <c r="N15">
        <v>0</v>
      </c>
      <c r="O15">
        <v>0</v>
      </c>
      <c r="P15" s="9">
        <v>1221.3800000000001</v>
      </c>
    </row>
    <row r="16" spans="1:16">
      <c r="A16">
        <v>1592</v>
      </c>
      <c r="B16" t="s">
        <v>623</v>
      </c>
      <c r="C16" t="s">
        <v>626</v>
      </c>
      <c r="D16" t="s">
        <v>450</v>
      </c>
      <c r="E16" t="s">
        <v>451</v>
      </c>
      <c r="F16" t="s">
        <v>452</v>
      </c>
      <c r="G16" t="s">
        <v>453</v>
      </c>
      <c r="H16" s="8">
        <v>44550</v>
      </c>
      <c r="I16" t="s">
        <v>455</v>
      </c>
      <c r="J16" t="s">
        <v>456</v>
      </c>
      <c r="K16">
        <v>649.27</v>
      </c>
      <c r="L16">
        <v>373.33</v>
      </c>
      <c r="M16">
        <v>0</v>
      </c>
      <c r="N16">
        <v>0</v>
      </c>
      <c r="O16">
        <v>0</v>
      </c>
      <c r="P16">
        <v>275.94</v>
      </c>
    </row>
    <row r="17" spans="1:16">
      <c r="A17">
        <v>1649</v>
      </c>
      <c r="B17" t="s">
        <v>623</v>
      </c>
      <c r="C17" t="s">
        <v>627</v>
      </c>
      <c r="D17" t="s">
        <v>482</v>
      </c>
      <c r="E17" t="s">
        <v>451</v>
      </c>
      <c r="F17" t="s">
        <v>452</v>
      </c>
      <c r="G17" t="s">
        <v>453</v>
      </c>
      <c r="H17" s="8">
        <v>44550</v>
      </c>
      <c r="I17" t="s">
        <v>455</v>
      </c>
      <c r="J17" t="s">
        <v>456</v>
      </c>
      <c r="K17">
        <v>779.13</v>
      </c>
      <c r="L17">
        <v>0</v>
      </c>
      <c r="M17">
        <v>0</v>
      </c>
      <c r="N17">
        <v>0</v>
      </c>
      <c r="O17">
        <v>0</v>
      </c>
      <c r="P17">
        <v>779.13</v>
      </c>
    </row>
    <row r="18" spans="1:16">
      <c r="A18">
        <v>1676</v>
      </c>
      <c r="B18" t="s">
        <v>623</v>
      </c>
      <c r="C18" t="s">
        <v>500</v>
      </c>
      <c r="D18" t="s">
        <v>501</v>
      </c>
      <c r="E18" t="s">
        <v>451</v>
      </c>
      <c r="F18" t="s">
        <v>452</v>
      </c>
      <c r="G18" t="s">
        <v>453</v>
      </c>
      <c r="H18" s="8">
        <v>44552</v>
      </c>
      <c r="I18" t="s">
        <v>455</v>
      </c>
      <c r="J18" t="s">
        <v>456</v>
      </c>
      <c r="K18">
        <v>241.72</v>
      </c>
      <c r="L18">
        <v>0</v>
      </c>
      <c r="M18">
        <v>0</v>
      </c>
      <c r="N18">
        <v>0</v>
      </c>
      <c r="O18">
        <v>0</v>
      </c>
      <c r="P18">
        <v>241.72</v>
      </c>
    </row>
    <row r="19" spans="1:16">
      <c r="A19" t="s">
        <v>522</v>
      </c>
    </row>
    <row r="20" spans="1:16">
      <c r="A20" t="s">
        <v>523</v>
      </c>
      <c r="L20">
        <v>16</v>
      </c>
    </row>
    <row r="21" spans="1:16">
      <c r="A21" t="s">
        <v>525</v>
      </c>
      <c r="L21">
        <v>0</v>
      </c>
    </row>
    <row r="22" spans="1:16">
      <c r="A22" t="s">
        <v>526</v>
      </c>
      <c r="L22">
        <v>0</v>
      </c>
    </row>
    <row r="23" spans="1:16">
      <c r="A23" t="s">
        <v>527</v>
      </c>
      <c r="L23">
        <v>0</v>
      </c>
    </row>
    <row r="24" spans="1:16">
      <c r="A24" t="s">
        <v>528</v>
      </c>
      <c r="L24">
        <v>0</v>
      </c>
    </row>
    <row r="25" spans="1:16">
      <c r="A25" t="s">
        <v>529</v>
      </c>
      <c r="L25" s="9">
        <v>9765.82</v>
      </c>
    </row>
    <row r="26" spans="1:16">
      <c r="A26" t="s">
        <v>531</v>
      </c>
      <c r="L26" s="9">
        <v>3277.24</v>
      </c>
    </row>
    <row r="27" spans="1:16">
      <c r="A27" t="s">
        <v>533</v>
      </c>
      <c r="L27">
        <v>0</v>
      </c>
    </row>
    <row r="28" spans="1:16">
      <c r="A28" t="s">
        <v>534</v>
      </c>
      <c r="L28">
        <v>0</v>
      </c>
    </row>
    <row r="29" spans="1:16">
      <c r="A29" t="s">
        <v>535</v>
      </c>
      <c r="L29">
        <v>0</v>
      </c>
    </row>
    <row r="30" spans="1:16">
      <c r="A30" t="s">
        <v>536</v>
      </c>
      <c r="L30" s="9">
        <v>9765.82</v>
      </c>
    </row>
  </sheetData>
  <autoFilter ref="A2:P2" xr:uid="{55596F25-6DE5-4A33-9B40-5BB29E024D7F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276A-4F97-46F5-9AB2-76C2DB81F0EA}">
  <dimension ref="A1:P30"/>
  <sheetViews>
    <sheetView workbookViewId="0">
      <selection activeCell="C3" sqref="C3"/>
    </sheetView>
  </sheetViews>
  <sheetFormatPr defaultColWidth="9.140625" defaultRowHeight="14.45"/>
  <cols>
    <col min="3" max="3" width="15.5703125" customWidth="1"/>
    <col min="4" max="4" width="16" customWidth="1"/>
  </cols>
  <sheetData>
    <row r="1" spans="1:16" ht="15.6">
      <c r="A1" s="2" t="s">
        <v>432</v>
      </c>
      <c r="B1" s="2" t="s">
        <v>628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6">
      <c r="A2" s="2" t="s">
        <v>434</v>
      </c>
      <c r="B2" s="2" t="s">
        <v>435</v>
      </c>
      <c r="C2" s="2" t="s">
        <v>68</v>
      </c>
      <c r="D2" s="2" t="s">
        <v>436</v>
      </c>
      <c r="E2" s="2" t="s">
        <v>437</v>
      </c>
      <c r="F2" s="2" t="s">
        <v>438</v>
      </c>
      <c r="G2" s="2" t="s">
        <v>7</v>
      </c>
      <c r="H2" s="2" t="s">
        <v>439</v>
      </c>
      <c r="I2" s="2" t="s">
        <v>440</v>
      </c>
      <c r="J2" s="2" t="s">
        <v>441</v>
      </c>
      <c r="K2" s="2" t="s">
        <v>19</v>
      </c>
      <c r="L2" s="2" t="s">
        <v>442</v>
      </c>
      <c r="M2" s="2" t="s">
        <v>443</v>
      </c>
      <c r="N2" s="2" t="s">
        <v>444</v>
      </c>
      <c r="O2" s="2" t="s">
        <v>445</v>
      </c>
      <c r="P2" s="2" t="s">
        <v>446</v>
      </c>
    </row>
    <row r="3" spans="1:16" ht="15.6">
      <c r="A3" s="2" t="s">
        <v>629</v>
      </c>
      <c r="B3" s="2" t="s">
        <v>630</v>
      </c>
      <c r="C3" s="2" t="s">
        <v>631</v>
      </c>
      <c r="D3" s="2" t="s">
        <v>509</v>
      </c>
      <c r="E3" s="2" t="s">
        <v>510</v>
      </c>
      <c r="F3" s="2" t="s">
        <v>465</v>
      </c>
      <c r="G3" s="2" t="s">
        <v>453</v>
      </c>
      <c r="H3" s="2" t="s">
        <v>561</v>
      </c>
      <c r="I3" s="2" t="s">
        <v>455</v>
      </c>
      <c r="J3" s="2" t="s">
        <v>456</v>
      </c>
      <c r="K3" s="2" t="s">
        <v>558</v>
      </c>
      <c r="L3" s="2" t="s">
        <v>459</v>
      </c>
      <c r="M3" s="2" t="s">
        <v>459</v>
      </c>
      <c r="N3" s="2" t="s">
        <v>459</v>
      </c>
      <c r="O3" s="2" t="s">
        <v>459</v>
      </c>
      <c r="P3" s="2" t="s">
        <v>558</v>
      </c>
    </row>
    <row r="4" spans="1:16" ht="15.6">
      <c r="A4" s="2" t="s">
        <v>632</v>
      </c>
      <c r="B4" s="2" t="s">
        <v>630</v>
      </c>
      <c r="C4" s="2" t="s">
        <v>500</v>
      </c>
      <c r="D4" s="2" t="s">
        <v>501</v>
      </c>
      <c r="E4" s="2" t="s">
        <v>451</v>
      </c>
      <c r="F4" s="2" t="s">
        <v>452</v>
      </c>
      <c r="G4" s="2" t="s">
        <v>453</v>
      </c>
      <c r="H4" s="2" t="s">
        <v>564</v>
      </c>
      <c r="I4" s="2" t="s">
        <v>455</v>
      </c>
      <c r="J4" s="2" t="s">
        <v>456</v>
      </c>
      <c r="K4" s="2" t="s">
        <v>502</v>
      </c>
      <c r="L4" s="2" t="s">
        <v>459</v>
      </c>
      <c r="M4" s="2" t="s">
        <v>459</v>
      </c>
      <c r="N4" s="2" t="s">
        <v>459</v>
      </c>
      <c r="O4" s="2" t="s">
        <v>459</v>
      </c>
      <c r="P4" s="2" t="s">
        <v>502</v>
      </c>
    </row>
    <row r="5" spans="1:16" ht="15.6">
      <c r="A5" s="2" t="s">
        <v>633</v>
      </c>
      <c r="B5" s="2" t="s">
        <v>630</v>
      </c>
      <c r="C5" s="2" t="s">
        <v>504</v>
      </c>
      <c r="D5" s="2" t="s">
        <v>505</v>
      </c>
      <c r="E5" s="2" t="s">
        <v>451</v>
      </c>
      <c r="F5" s="2" t="s">
        <v>452</v>
      </c>
      <c r="G5" s="2" t="s">
        <v>453</v>
      </c>
      <c r="H5" s="2" t="s">
        <v>564</v>
      </c>
      <c r="I5" s="2" t="s">
        <v>455</v>
      </c>
      <c r="J5" s="2" t="s">
        <v>456</v>
      </c>
      <c r="K5" s="2" t="s">
        <v>634</v>
      </c>
      <c r="L5" s="2" t="s">
        <v>459</v>
      </c>
      <c r="M5" s="2" t="s">
        <v>459</v>
      </c>
      <c r="N5" s="2" t="s">
        <v>459</v>
      </c>
      <c r="O5" s="2" t="s">
        <v>459</v>
      </c>
      <c r="P5" s="2" t="s">
        <v>634</v>
      </c>
    </row>
    <row r="6" spans="1:16" ht="15.6">
      <c r="A6" s="2" t="s">
        <v>635</v>
      </c>
      <c r="B6" s="2" t="s">
        <v>630</v>
      </c>
      <c r="C6" s="2" t="s">
        <v>636</v>
      </c>
      <c r="D6" s="2" t="s">
        <v>475</v>
      </c>
      <c r="E6" s="2" t="s">
        <v>451</v>
      </c>
      <c r="F6" s="2" t="s">
        <v>452</v>
      </c>
      <c r="G6" s="2" t="s">
        <v>453</v>
      </c>
      <c r="H6" s="2" t="s">
        <v>568</v>
      </c>
      <c r="I6" s="2" t="s">
        <v>455</v>
      </c>
      <c r="J6" s="2" t="s">
        <v>456</v>
      </c>
      <c r="K6" s="2" t="s">
        <v>637</v>
      </c>
      <c r="L6" s="2" t="s">
        <v>638</v>
      </c>
      <c r="M6" s="2" t="s">
        <v>459</v>
      </c>
      <c r="N6" s="2" t="s">
        <v>459</v>
      </c>
      <c r="O6" s="2" t="s">
        <v>459</v>
      </c>
      <c r="P6" s="2" t="s">
        <v>569</v>
      </c>
    </row>
    <row r="7" spans="1:16" ht="15.6">
      <c r="A7" s="2" t="s">
        <v>639</v>
      </c>
      <c r="B7" s="2" t="s">
        <v>630</v>
      </c>
      <c r="C7" s="2" t="s">
        <v>495</v>
      </c>
      <c r="D7" s="2" t="s">
        <v>482</v>
      </c>
      <c r="E7" s="2" t="s">
        <v>451</v>
      </c>
      <c r="F7" s="2" t="s">
        <v>452</v>
      </c>
      <c r="G7" s="2" t="s">
        <v>453</v>
      </c>
      <c r="H7" s="2" t="s">
        <v>517</v>
      </c>
      <c r="I7" s="2" t="s">
        <v>455</v>
      </c>
      <c r="J7" s="2" t="s">
        <v>456</v>
      </c>
      <c r="K7" s="2" t="s">
        <v>483</v>
      </c>
      <c r="L7" s="2" t="s">
        <v>459</v>
      </c>
      <c r="M7" s="2" t="s">
        <v>459</v>
      </c>
      <c r="N7" s="2" t="s">
        <v>459</v>
      </c>
      <c r="O7" s="2" t="s">
        <v>459</v>
      </c>
      <c r="P7" s="2" t="s">
        <v>483</v>
      </c>
    </row>
    <row r="8" spans="1:16" ht="15.6">
      <c r="A8" s="2" t="s">
        <v>640</v>
      </c>
      <c r="B8" s="2" t="s">
        <v>630</v>
      </c>
      <c r="C8" s="2" t="s">
        <v>504</v>
      </c>
      <c r="D8" s="2" t="s">
        <v>505</v>
      </c>
      <c r="E8" s="2" t="s">
        <v>451</v>
      </c>
      <c r="F8" s="2" t="s">
        <v>452</v>
      </c>
      <c r="G8" s="2" t="s">
        <v>453</v>
      </c>
      <c r="H8" s="2" t="s">
        <v>520</v>
      </c>
      <c r="I8" s="2" t="s">
        <v>455</v>
      </c>
      <c r="J8" s="2" t="s">
        <v>456</v>
      </c>
      <c r="K8" s="2" t="s">
        <v>641</v>
      </c>
      <c r="L8" s="2" t="s">
        <v>459</v>
      </c>
      <c r="M8" s="2" t="s">
        <v>459</v>
      </c>
      <c r="N8" s="2" t="s">
        <v>459</v>
      </c>
      <c r="O8" s="2" t="s">
        <v>459</v>
      </c>
      <c r="P8" s="2" t="s">
        <v>641</v>
      </c>
    </row>
    <row r="9" spans="1:16" ht="15.6">
      <c r="A9" s="2" t="s">
        <v>642</v>
      </c>
      <c r="B9" s="2" t="s">
        <v>630</v>
      </c>
      <c r="C9" s="2" t="s">
        <v>500</v>
      </c>
      <c r="D9" s="2" t="s">
        <v>501</v>
      </c>
      <c r="E9" s="2" t="s">
        <v>451</v>
      </c>
      <c r="F9" s="2" t="s">
        <v>452</v>
      </c>
      <c r="G9" s="2" t="s">
        <v>453</v>
      </c>
      <c r="H9" s="2" t="s">
        <v>520</v>
      </c>
      <c r="I9" s="2" t="s">
        <v>455</v>
      </c>
      <c r="J9" s="2" t="s">
        <v>456</v>
      </c>
      <c r="K9" s="2" t="s">
        <v>502</v>
      </c>
      <c r="L9" s="2" t="s">
        <v>459</v>
      </c>
      <c r="M9" s="2" t="s">
        <v>459</v>
      </c>
      <c r="N9" s="2" t="s">
        <v>459</v>
      </c>
      <c r="O9" s="2" t="s">
        <v>459</v>
      </c>
      <c r="P9" s="2" t="s">
        <v>502</v>
      </c>
    </row>
    <row r="10" spans="1:16" ht="15.6">
      <c r="A10" s="2" t="s">
        <v>643</v>
      </c>
      <c r="B10" s="2" t="s">
        <v>630</v>
      </c>
      <c r="C10" s="2" t="s">
        <v>489</v>
      </c>
      <c r="D10" s="2" t="s">
        <v>475</v>
      </c>
      <c r="E10" s="2" t="s">
        <v>451</v>
      </c>
      <c r="F10" s="2" t="s">
        <v>452</v>
      </c>
      <c r="G10" s="2" t="s">
        <v>453</v>
      </c>
      <c r="H10" s="2" t="s">
        <v>490</v>
      </c>
      <c r="I10" s="2" t="s">
        <v>455</v>
      </c>
      <c r="J10" s="2" t="s">
        <v>456</v>
      </c>
      <c r="K10" s="2" t="s">
        <v>575</v>
      </c>
      <c r="L10" s="2" t="s">
        <v>576</v>
      </c>
      <c r="M10" s="2" t="s">
        <v>459</v>
      </c>
      <c r="N10" s="2" t="s">
        <v>459</v>
      </c>
      <c r="O10" s="2" t="s">
        <v>459</v>
      </c>
      <c r="P10" s="2" t="s">
        <v>577</v>
      </c>
    </row>
    <row r="11" spans="1:16" ht="15.6">
      <c r="A11" s="2" t="s">
        <v>644</v>
      </c>
      <c r="B11" s="2" t="s">
        <v>630</v>
      </c>
      <c r="C11" s="2" t="s">
        <v>495</v>
      </c>
      <c r="D11" s="2" t="s">
        <v>482</v>
      </c>
      <c r="E11" s="2" t="s">
        <v>451</v>
      </c>
      <c r="F11" s="2" t="s">
        <v>452</v>
      </c>
      <c r="G11" s="2" t="s">
        <v>453</v>
      </c>
      <c r="H11" s="2" t="s">
        <v>496</v>
      </c>
      <c r="I11" s="2" t="s">
        <v>455</v>
      </c>
      <c r="J11" s="2" t="s">
        <v>456</v>
      </c>
      <c r="K11" s="2" t="s">
        <v>483</v>
      </c>
      <c r="L11" s="2" t="s">
        <v>459</v>
      </c>
      <c r="M11" s="2" t="s">
        <v>459</v>
      </c>
      <c r="N11" s="2" t="s">
        <v>459</v>
      </c>
      <c r="O11" s="2" t="s">
        <v>459</v>
      </c>
      <c r="P11" s="2" t="s">
        <v>483</v>
      </c>
    </row>
    <row r="12" spans="1:16" ht="15.6">
      <c r="A12" s="2" t="s">
        <v>645</v>
      </c>
      <c r="B12" s="2" t="s">
        <v>630</v>
      </c>
      <c r="C12" s="2" t="s">
        <v>504</v>
      </c>
      <c r="D12" s="2" t="s">
        <v>505</v>
      </c>
      <c r="E12" s="2" t="s">
        <v>451</v>
      </c>
      <c r="F12" s="2" t="s">
        <v>452</v>
      </c>
      <c r="G12" s="2" t="s">
        <v>453</v>
      </c>
      <c r="H12" s="2" t="s">
        <v>486</v>
      </c>
      <c r="I12" s="2" t="s">
        <v>455</v>
      </c>
      <c r="J12" s="2" t="s">
        <v>456</v>
      </c>
      <c r="K12" s="2" t="s">
        <v>634</v>
      </c>
      <c r="L12" s="2" t="s">
        <v>459</v>
      </c>
      <c r="M12" s="2" t="s">
        <v>459</v>
      </c>
      <c r="N12" s="2" t="s">
        <v>459</v>
      </c>
      <c r="O12" s="2" t="s">
        <v>459</v>
      </c>
      <c r="P12" s="2" t="s">
        <v>634</v>
      </c>
    </row>
    <row r="13" spans="1:16" ht="18" customHeight="1">
      <c r="A13" s="2" t="s">
        <v>646</v>
      </c>
      <c r="B13" s="2" t="s">
        <v>630</v>
      </c>
      <c r="C13" s="2" t="s">
        <v>647</v>
      </c>
      <c r="D13" s="2" t="s">
        <v>450</v>
      </c>
      <c r="E13" s="2" t="s">
        <v>451</v>
      </c>
      <c r="F13" s="2" t="s">
        <v>452</v>
      </c>
      <c r="G13" s="2" t="s">
        <v>453</v>
      </c>
      <c r="H13" s="2" t="s">
        <v>486</v>
      </c>
      <c r="I13" s="2" t="s">
        <v>455</v>
      </c>
      <c r="J13" s="2" t="s">
        <v>456</v>
      </c>
      <c r="K13" s="2" t="s">
        <v>487</v>
      </c>
      <c r="L13" s="2" t="s">
        <v>459</v>
      </c>
      <c r="M13" s="2" t="s">
        <v>459</v>
      </c>
      <c r="N13" s="2" t="s">
        <v>459</v>
      </c>
      <c r="O13" s="2" t="s">
        <v>459</v>
      </c>
      <c r="P13" s="2" t="s">
        <v>487</v>
      </c>
    </row>
    <row r="14" spans="1:16" ht="15.6">
      <c r="A14" s="2" t="s">
        <v>648</v>
      </c>
      <c r="B14" s="2" t="s">
        <v>630</v>
      </c>
      <c r="C14" s="2" t="s">
        <v>500</v>
      </c>
      <c r="D14" s="2" t="s">
        <v>501</v>
      </c>
      <c r="E14" s="2" t="s">
        <v>451</v>
      </c>
      <c r="F14" s="2" t="s">
        <v>452</v>
      </c>
      <c r="G14" s="2" t="s">
        <v>453</v>
      </c>
      <c r="H14" s="2" t="s">
        <v>486</v>
      </c>
      <c r="I14" s="2" t="s">
        <v>455</v>
      </c>
      <c r="J14" s="2" t="s">
        <v>456</v>
      </c>
      <c r="K14" s="2" t="s">
        <v>502</v>
      </c>
      <c r="L14" s="2" t="s">
        <v>459</v>
      </c>
      <c r="M14" s="2" t="s">
        <v>459</v>
      </c>
      <c r="N14" s="2" t="s">
        <v>459</v>
      </c>
      <c r="O14" s="2" t="s">
        <v>459</v>
      </c>
      <c r="P14" s="2" t="s">
        <v>502</v>
      </c>
    </row>
    <row r="15" spans="1:16" ht="15.6">
      <c r="A15" s="2" t="s">
        <v>649</v>
      </c>
      <c r="B15" s="2" t="s">
        <v>630</v>
      </c>
      <c r="C15" s="2" t="s">
        <v>650</v>
      </c>
      <c r="D15" s="2" t="s">
        <v>475</v>
      </c>
      <c r="E15" s="2" t="s">
        <v>451</v>
      </c>
      <c r="F15" s="2" t="s">
        <v>452</v>
      </c>
      <c r="G15" s="2" t="s">
        <v>453</v>
      </c>
      <c r="H15" s="2" t="s">
        <v>476</v>
      </c>
      <c r="I15" s="2" t="s">
        <v>455</v>
      </c>
      <c r="J15" s="2" t="s">
        <v>456</v>
      </c>
      <c r="K15" s="2" t="s">
        <v>575</v>
      </c>
      <c r="L15" s="2" t="s">
        <v>576</v>
      </c>
      <c r="M15" s="2" t="s">
        <v>459</v>
      </c>
      <c r="N15" s="2" t="s">
        <v>459</v>
      </c>
      <c r="O15" s="2" t="s">
        <v>459</v>
      </c>
      <c r="P15" s="2" t="s">
        <v>577</v>
      </c>
    </row>
    <row r="16" spans="1:16" ht="15.6">
      <c r="A16" s="2" t="s">
        <v>651</v>
      </c>
      <c r="B16" s="2" t="s">
        <v>630</v>
      </c>
      <c r="C16" s="2" t="s">
        <v>652</v>
      </c>
      <c r="D16" s="2" t="s">
        <v>450</v>
      </c>
      <c r="E16" s="2" t="s">
        <v>451</v>
      </c>
      <c r="F16" s="2" t="s">
        <v>452</v>
      </c>
      <c r="G16" s="2" t="s">
        <v>453</v>
      </c>
      <c r="H16" s="2" t="s">
        <v>454</v>
      </c>
      <c r="I16" s="2" t="s">
        <v>455</v>
      </c>
      <c r="J16" s="2" t="s">
        <v>456</v>
      </c>
      <c r="K16" s="2" t="s">
        <v>457</v>
      </c>
      <c r="L16" s="2" t="s">
        <v>458</v>
      </c>
      <c r="M16" s="2" t="s">
        <v>459</v>
      </c>
      <c r="N16" s="2" t="s">
        <v>459</v>
      </c>
      <c r="O16" s="2" t="s">
        <v>459</v>
      </c>
      <c r="P16" s="2" t="s">
        <v>460</v>
      </c>
    </row>
    <row r="17" spans="1:16" ht="15.6">
      <c r="A17" s="2" t="s">
        <v>653</v>
      </c>
      <c r="B17" s="2" t="s">
        <v>630</v>
      </c>
      <c r="C17" s="2" t="s">
        <v>654</v>
      </c>
      <c r="D17" s="2" t="s">
        <v>482</v>
      </c>
      <c r="E17" s="2" t="s">
        <v>451</v>
      </c>
      <c r="F17" s="2" t="s">
        <v>452</v>
      </c>
      <c r="G17" s="2" t="s">
        <v>453</v>
      </c>
      <c r="H17" s="2" t="s">
        <v>454</v>
      </c>
      <c r="I17" s="2" t="s">
        <v>455</v>
      </c>
      <c r="J17" s="2" t="s">
        <v>456</v>
      </c>
      <c r="K17" s="2" t="s">
        <v>483</v>
      </c>
      <c r="L17" s="2" t="s">
        <v>459</v>
      </c>
      <c r="M17" s="2" t="s">
        <v>459</v>
      </c>
      <c r="N17" s="2" t="s">
        <v>459</v>
      </c>
      <c r="O17" s="2" t="s">
        <v>459</v>
      </c>
      <c r="P17" s="2" t="s">
        <v>483</v>
      </c>
    </row>
    <row r="18" spans="1:16" ht="15.6">
      <c r="A18" s="2" t="s">
        <v>655</v>
      </c>
      <c r="B18" s="2" t="s">
        <v>630</v>
      </c>
      <c r="C18" s="2" t="s">
        <v>500</v>
      </c>
      <c r="D18" s="2" t="s">
        <v>501</v>
      </c>
      <c r="E18" s="2" t="s">
        <v>451</v>
      </c>
      <c r="F18" s="2" t="s">
        <v>452</v>
      </c>
      <c r="G18" s="2" t="s">
        <v>453</v>
      </c>
      <c r="H18" s="2" t="s">
        <v>590</v>
      </c>
      <c r="I18" s="2" t="s">
        <v>455</v>
      </c>
      <c r="J18" s="2" t="s">
        <v>456</v>
      </c>
      <c r="K18" s="2" t="s">
        <v>502</v>
      </c>
      <c r="L18" s="2" t="s">
        <v>459</v>
      </c>
      <c r="M18" s="2" t="s">
        <v>459</v>
      </c>
      <c r="N18" s="2" t="s">
        <v>459</v>
      </c>
      <c r="O18" s="2" t="s">
        <v>459</v>
      </c>
      <c r="P18" s="2" t="s">
        <v>502</v>
      </c>
    </row>
    <row r="19" spans="1:16" ht="15.6">
      <c r="A19" s="2" t="s">
        <v>522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5.6">
      <c r="A20" s="2" t="s">
        <v>523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 t="s">
        <v>656</v>
      </c>
      <c r="M20" s="2"/>
      <c r="N20" s="2"/>
      <c r="O20" s="2"/>
      <c r="P20" s="2"/>
    </row>
    <row r="21" spans="1:16" ht="15.6">
      <c r="A21" s="2" t="s">
        <v>525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 t="s">
        <v>459</v>
      </c>
      <c r="M21" s="2"/>
      <c r="N21" s="2"/>
      <c r="O21" s="2"/>
      <c r="P21" s="2"/>
    </row>
    <row r="22" spans="1:16" ht="15.6">
      <c r="A22" s="2" t="s">
        <v>526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459</v>
      </c>
      <c r="M22" s="2"/>
      <c r="N22" s="2"/>
      <c r="O22" s="2"/>
      <c r="P22" s="2"/>
    </row>
    <row r="23" spans="1:16" ht="15.6">
      <c r="A23" s="2" t="s">
        <v>527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 t="s">
        <v>459</v>
      </c>
      <c r="M23" s="2"/>
      <c r="N23" s="2"/>
      <c r="O23" s="2"/>
      <c r="P23" s="2"/>
    </row>
    <row r="24" spans="1:16" ht="15.6">
      <c r="A24" s="2" t="s">
        <v>528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 t="s">
        <v>459</v>
      </c>
      <c r="M24" s="2"/>
      <c r="N24" s="2"/>
      <c r="O24" s="2"/>
      <c r="P24" s="2"/>
    </row>
    <row r="25" spans="1:16" ht="15.6">
      <c r="A25" s="2" t="s">
        <v>529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 t="s">
        <v>657</v>
      </c>
      <c r="M25" s="2"/>
      <c r="N25" s="2"/>
      <c r="O25" s="2"/>
      <c r="P25" s="2"/>
    </row>
    <row r="26" spans="1:16" ht="15.6">
      <c r="A26" s="2" t="s">
        <v>531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 t="s">
        <v>658</v>
      </c>
      <c r="M26" s="2"/>
      <c r="N26" s="2"/>
      <c r="O26" s="2"/>
      <c r="P26" s="2"/>
    </row>
    <row r="27" spans="1:16" ht="15.6">
      <c r="A27" s="2" t="s">
        <v>533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 t="s">
        <v>459</v>
      </c>
      <c r="M27" s="2"/>
      <c r="N27" s="2"/>
      <c r="O27" s="2"/>
      <c r="P27" s="2"/>
    </row>
    <row r="28" spans="1:16" ht="15.6">
      <c r="A28" s="2" t="s">
        <v>534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459</v>
      </c>
      <c r="M28" s="2"/>
      <c r="N28" s="2"/>
      <c r="O28" s="2"/>
      <c r="P28" s="2"/>
    </row>
    <row r="29" spans="1:16" ht="15.6">
      <c r="A29" s="2" t="s">
        <v>535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459</v>
      </c>
      <c r="M29" s="2"/>
      <c r="N29" s="2"/>
      <c r="O29" s="2"/>
      <c r="P29" s="2"/>
    </row>
    <row r="30" spans="1:16" ht="15.6">
      <c r="A30" s="2" t="s">
        <v>536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657</v>
      </c>
      <c r="M30" s="2"/>
      <c r="N30" s="2"/>
      <c r="O30" s="2"/>
      <c r="P30" s="2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1E37-2BD1-4FFC-A73C-5A2262FECDA5}">
  <dimension ref="A1:P38"/>
  <sheetViews>
    <sheetView topLeftCell="A11" workbookViewId="0">
      <selection activeCell="A19" sqref="A19:XFD21"/>
    </sheetView>
  </sheetViews>
  <sheetFormatPr defaultColWidth="9.140625" defaultRowHeight="14.45"/>
  <sheetData>
    <row r="1" spans="1:16" ht="15.6">
      <c r="A1" s="2" t="s">
        <v>432</v>
      </c>
      <c r="B1" s="2" t="s">
        <v>659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6">
      <c r="A2" s="2" t="s">
        <v>434</v>
      </c>
      <c r="B2" s="2" t="s">
        <v>435</v>
      </c>
      <c r="C2" s="2" t="s">
        <v>68</v>
      </c>
      <c r="D2" s="2" t="s">
        <v>436</v>
      </c>
      <c r="E2" s="2" t="s">
        <v>437</v>
      </c>
      <c r="F2" s="2" t="s">
        <v>438</v>
      </c>
      <c r="G2" s="2" t="s">
        <v>7</v>
      </c>
      <c r="H2" s="2" t="s">
        <v>439</v>
      </c>
      <c r="I2" s="2" t="s">
        <v>440</v>
      </c>
      <c r="J2" s="2" t="s">
        <v>441</v>
      </c>
      <c r="K2" s="2" t="s">
        <v>19</v>
      </c>
      <c r="L2" s="2" t="s">
        <v>442</v>
      </c>
      <c r="M2" s="2" t="s">
        <v>443</v>
      </c>
      <c r="N2" s="2" t="s">
        <v>444</v>
      </c>
      <c r="O2" s="2" t="s">
        <v>445</v>
      </c>
      <c r="P2" s="2" t="s">
        <v>446</v>
      </c>
    </row>
    <row r="3" spans="1:16" ht="15.6">
      <c r="A3" s="2" t="s">
        <v>660</v>
      </c>
      <c r="B3" s="2" t="s">
        <v>661</v>
      </c>
      <c r="C3" s="2" t="s">
        <v>500</v>
      </c>
      <c r="D3" s="2" t="s">
        <v>501</v>
      </c>
      <c r="E3" s="2" t="s">
        <v>451</v>
      </c>
      <c r="F3" s="2" t="s">
        <v>452</v>
      </c>
      <c r="G3" s="2" t="s">
        <v>453</v>
      </c>
      <c r="H3" s="2" t="s">
        <v>662</v>
      </c>
      <c r="I3" s="2" t="s">
        <v>455</v>
      </c>
      <c r="J3" s="2" t="s">
        <v>456</v>
      </c>
      <c r="K3" s="2" t="s">
        <v>502</v>
      </c>
      <c r="L3" s="2" t="s">
        <v>459</v>
      </c>
      <c r="M3" s="2" t="s">
        <v>459</v>
      </c>
      <c r="N3" s="2" t="s">
        <v>459</v>
      </c>
      <c r="O3" s="2" t="s">
        <v>459</v>
      </c>
      <c r="P3" s="2" t="s">
        <v>502</v>
      </c>
    </row>
    <row r="4" spans="1:16" ht="15.6">
      <c r="A4" s="2" t="s">
        <v>663</v>
      </c>
      <c r="B4" s="2" t="s">
        <v>661</v>
      </c>
      <c r="C4" s="2" t="s">
        <v>664</v>
      </c>
      <c r="D4" s="2" t="s">
        <v>475</v>
      </c>
      <c r="E4" s="2" t="s">
        <v>451</v>
      </c>
      <c r="F4" s="2" t="s">
        <v>452</v>
      </c>
      <c r="G4" s="2" t="s">
        <v>453</v>
      </c>
      <c r="H4" s="2" t="s">
        <v>665</v>
      </c>
      <c r="I4" s="2" t="s">
        <v>455</v>
      </c>
      <c r="J4" s="2" t="s">
        <v>456</v>
      </c>
      <c r="K4" s="2" t="s">
        <v>575</v>
      </c>
      <c r="L4" s="2" t="s">
        <v>666</v>
      </c>
      <c r="M4" s="2" t="s">
        <v>459</v>
      </c>
      <c r="N4" s="2" t="s">
        <v>459</v>
      </c>
      <c r="O4" s="2" t="s">
        <v>459</v>
      </c>
      <c r="P4" s="2" t="s">
        <v>667</v>
      </c>
    </row>
    <row r="5" spans="1:16" ht="15.6">
      <c r="A5" s="2" t="s">
        <v>668</v>
      </c>
      <c r="B5" s="2" t="s">
        <v>661</v>
      </c>
      <c r="C5" s="2" t="s">
        <v>495</v>
      </c>
      <c r="D5" s="2" t="s">
        <v>482</v>
      </c>
      <c r="E5" s="2" t="s">
        <v>451</v>
      </c>
      <c r="F5" s="2" t="s">
        <v>452</v>
      </c>
      <c r="G5" s="2" t="s">
        <v>453</v>
      </c>
      <c r="H5" s="2" t="s">
        <v>669</v>
      </c>
      <c r="I5" s="2" t="s">
        <v>455</v>
      </c>
      <c r="J5" s="2" t="s">
        <v>456</v>
      </c>
      <c r="K5" s="2" t="s">
        <v>483</v>
      </c>
      <c r="L5" s="2" t="s">
        <v>459</v>
      </c>
      <c r="M5" s="2" t="s">
        <v>459</v>
      </c>
      <c r="N5" s="2" t="s">
        <v>459</v>
      </c>
      <c r="O5" s="2" t="s">
        <v>459</v>
      </c>
      <c r="P5" s="2" t="s">
        <v>483</v>
      </c>
    </row>
    <row r="6" spans="1:16" ht="15.6">
      <c r="A6" s="2" t="s">
        <v>670</v>
      </c>
      <c r="B6" s="2" t="s">
        <v>661</v>
      </c>
      <c r="C6" s="2" t="s">
        <v>500</v>
      </c>
      <c r="D6" s="2" t="s">
        <v>501</v>
      </c>
      <c r="E6" s="2" t="s">
        <v>451</v>
      </c>
      <c r="F6" s="2" t="s">
        <v>452</v>
      </c>
      <c r="G6" s="2" t="s">
        <v>453</v>
      </c>
      <c r="H6" s="2" t="s">
        <v>671</v>
      </c>
      <c r="I6" s="2" t="s">
        <v>455</v>
      </c>
      <c r="J6" s="2" t="s">
        <v>456</v>
      </c>
      <c r="K6" s="2" t="s">
        <v>502</v>
      </c>
      <c r="L6" s="2" t="s">
        <v>459</v>
      </c>
      <c r="M6" s="2" t="s">
        <v>459</v>
      </c>
      <c r="N6" s="2" t="s">
        <v>459</v>
      </c>
      <c r="O6" s="2" t="s">
        <v>459</v>
      </c>
      <c r="P6" s="2" t="s">
        <v>502</v>
      </c>
    </row>
    <row r="7" spans="1:16" ht="15.6">
      <c r="A7" s="2" t="s">
        <v>672</v>
      </c>
      <c r="B7" s="2" t="s">
        <v>661</v>
      </c>
      <c r="C7" s="2" t="s">
        <v>664</v>
      </c>
      <c r="D7" s="2" t="s">
        <v>475</v>
      </c>
      <c r="E7" s="2" t="s">
        <v>451</v>
      </c>
      <c r="F7" s="2" t="s">
        <v>452</v>
      </c>
      <c r="G7" s="2" t="s">
        <v>453</v>
      </c>
      <c r="H7" s="2" t="s">
        <v>673</v>
      </c>
      <c r="I7" s="2" t="s">
        <v>455</v>
      </c>
      <c r="J7" s="2" t="s">
        <v>456</v>
      </c>
      <c r="K7" s="2" t="s">
        <v>575</v>
      </c>
      <c r="L7" s="2" t="s">
        <v>674</v>
      </c>
      <c r="M7" s="2" t="s">
        <v>459</v>
      </c>
      <c r="N7" s="2" t="s">
        <v>459</v>
      </c>
      <c r="O7" s="2" t="s">
        <v>459</v>
      </c>
      <c r="P7" s="2" t="s">
        <v>675</v>
      </c>
    </row>
    <row r="8" spans="1:16" ht="15.6">
      <c r="A8" s="2" t="s">
        <v>676</v>
      </c>
      <c r="B8" s="2" t="s">
        <v>661</v>
      </c>
      <c r="C8" s="2" t="s">
        <v>495</v>
      </c>
      <c r="D8" s="2" t="s">
        <v>482</v>
      </c>
      <c r="E8" s="2" t="s">
        <v>451</v>
      </c>
      <c r="F8" s="2" t="s">
        <v>452</v>
      </c>
      <c r="G8" s="2" t="s">
        <v>453</v>
      </c>
      <c r="H8" s="2" t="s">
        <v>677</v>
      </c>
      <c r="I8" s="2" t="s">
        <v>455</v>
      </c>
      <c r="J8" s="2" t="s">
        <v>456</v>
      </c>
      <c r="K8" s="2" t="s">
        <v>483</v>
      </c>
      <c r="L8" s="2" t="s">
        <v>459</v>
      </c>
      <c r="M8" s="2" t="s">
        <v>459</v>
      </c>
      <c r="N8" s="2" t="s">
        <v>459</v>
      </c>
      <c r="O8" s="2" t="s">
        <v>459</v>
      </c>
      <c r="P8" s="2" t="s">
        <v>483</v>
      </c>
    </row>
    <row r="9" spans="1:16" ht="15.6">
      <c r="A9" s="2" t="s">
        <v>678</v>
      </c>
      <c r="B9" s="2" t="s">
        <v>661</v>
      </c>
      <c r="C9" s="2" t="s">
        <v>500</v>
      </c>
      <c r="D9" s="2" t="s">
        <v>501</v>
      </c>
      <c r="E9" s="2" t="s">
        <v>451</v>
      </c>
      <c r="F9" s="2" t="s">
        <v>452</v>
      </c>
      <c r="G9" s="2" t="s">
        <v>453</v>
      </c>
      <c r="H9" s="2" t="s">
        <v>679</v>
      </c>
      <c r="I9" s="2" t="s">
        <v>455</v>
      </c>
      <c r="J9" s="2" t="s">
        <v>456</v>
      </c>
      <c r="K9" s="2" t="s">
        <v>502</v>
      </c>
      <c r="L9" s="2" t="s">
        <v>459</v>
      </c>
      <c r="M9" s="2" t="s">
        <v>459</v>
      </c>
      <c r="N9" s="2" t="s">
        <v>459</v>
      </c>
      <c r="O9" s="2" t="s">
        <v>459</v>
      </c>
      <c r="P9" s="2" t="s">
        <v>502</v>
      </c>
    </row>
    <row r="10" spans="1:16" ht="15.6">
      <c r="A10" s="2" t="s">
        <v>680</v>
      </c>
      <c r="B10" s="2" t="s">
        <v>661</v>
      </c>
      <c r="C10" s="2" t="s">
        <v>664</v>
      </c>
      <c r="D10" s="2" t="s">
        <v>475</v>
      </c>
      <c r="E10" s="2" t="s">
        <v>451</v>
      </c>
      <c r="F10" s="2" t="s">
        <v>452</v>
      </c>
      <c r="G10" s="2" t="s">
        <v>453</v>
      </c>
      <c r="H10" s="2" t="s">
        <v>681</v>
      </c>
      <c r="I10" s="2" t="s">
        <v>455</v>
      </c>
      <c r="J10" s="2" t="s">
        <v>456</v>
      </c>
      <c r="K10" s="2" t="s">
        <v>682</v>
      </c>
      <c r="L10" s="2" t="s">
        <v>683</v>
      </c>
      <c r="M10" s="2" t="s">
        <v>459</v>
      </c>
      <c r="N10" s="2" t="s">
        <v>459</v>
      </c>
      <c r="O10" s="2" t="s">
        <v>459</v>
      </c>
      <c r="P10" s="2" t="s">
        <v>684</v>
      </c>
    </row>
    <row r="11" spans="1:16" ht="15.6">
      <c r="A11" s="2" t="s">
        <v>685</v>
      </c>
      <c r="B11" s="2" t="s">
        <v>661</v>
      </c>
      <c r="C11" s="2" t="s">
        <v>495</v>
      </c>
      <c r="D11" s="2" t="s">
        <v>482</v>
      </c>
      <c r="E11" s="2" t="s">
        <v>451</v>
      </c>
      <c r="F11" s="2" t="s">
        <v>452</v>
      </c>
      <c r="G11" s="2" t="s">
        <v>453</v>
      </c>
      <c r="H11" s="2" t="s">
        <v>686</v>
      </c>
      <c r="I11" s="2" t="s">
        <v>455</v>
      </c>
      <c r="J11" s="2" t="s">
        <v>456</v>
      </c>
      <c r="K11" s="2" t="s">
        <v>483</v>
      </c>
      <c r="L11" s="2" t="s">
        <v>687</v>
      </c>
      <c r="M11" s="2" t="s">
        <v>459</v>
      </c>
      <c r="N11" s="2" t="s">
        <v>459</v>
      </c>
      <c r="O11" s="2" t="s">
        <v>459</v>
      </c>
      <c r="P11" s="2" t="s">
        <v>688</v>
      </c>
    </row>
    <row r="12" spans="1:16" ht="15.6">
      <c r="A12" s="2" t="s">
        <v>689</v>
      </c>
      <c r="B12" s="2" t="s">
        <v>661</v>
      </c>
      <c r="C12" s="2" t="s">
        <v>500</v>
      </c>
      <c r="D12" s="2" t="s">
        <v>501</v>
      </c>
      <c r="E12" s="2" t="s">
        <v>451</v>
      </c>
      <c r="F12" s="2" t="s">
        <v>452</v>
      </c>
      <c r="G12" s="2" t="s">
        <v>453</v>
      </c>
      <c r="H12" s="2" t="s">
        <v>690</v>
      </c>
      <c r="I12" s="2" t="s">
        <v>455</v>
      </c>
      <c r="J12" s="2" t="s">
        <v>456</v>
      </c>
      <c r="K12" s="2" t="s">
        <v>502</v>
      </c>
      <c r="L12" s="2" t="s">
        <v>459</v>
      </c>
      <c r="M12" s="2" t="s">
        <v>459</v>
      </c>
      <c r="N12" s="2" t="s">
        <v>459</v>
      </c>
      <c r="O12" s="2" t="s">
        <v>459</v>
      </c>
      <c r="P12" s="2" t="s">
        <v>502</v>
      </c>
    </row>
    <row r="13" spans="1:16" ht="15.6">
      <c r="A13" s="2" t="s">
        <v>691</v>
      </c>
      <c r="B13" s="2" t="s">
        <v>661</v>
      </c>
      <c r="C13" s="2" t="s">
        <v>664</v>
      </c>
      <c r="D13" s="2" t="s">
        <v>475</v>
      </c>
      <c r="E13" s="2" t="s">
        <v>451</v>
      </c>
      <c r="F13" s="2" t="s">
        <v>452</v>
      </c>
      <c r="G13" s="2" t="s">
        <v>453</v>
      </c>
      <c r="H13" s="2" t="s">
        <v>692</v>
      </c>
      <c r="I13" s="2" t="s">
        <v>455</v>
      </c>
      <c r="J13" s="2" t="s">
        <v>456</v>
      </c>
      <c r="K13" s="2" t="s">
        <v>575</v>
      </c>
      <c r="L13" s="2" t="s">
        <v>576</v>
      </c>
      <c r="M13" s="2" t="s">
        <v>459</v>
      </c>
      <c r="N13" s="2" t="s">
        <v>459</v>
      </c>
      <c r="O13" s="2" t="s">
        <v>459</v>
      </c>
      <c r="P13" s="2" t="s">
        <v>577</v>
      </c>
    </row>
    <row r="14" spans="1:16" ht="15.6">
      <c r="A14" s="2" t="s">
        <v>693</v>
      </c>
      <c r="B14" s="2" t="s">
        <v>661</v>
      </c>
      <c r="C14" s="2" t="s">
        <v>495</v>
      </c>
      <c r="D14" s="2" t="s">
        <v>482</v>
      </c>
      <c r="E14" s="2" t="s">
        <v>451</v>
      </c>
      <c r="F14" s="2" t="s">
        <v>452</v>
      </c>
      <c r="G14" s="2" t="s">
        <v>453</v>
      </c>
      <c r="H14" s="2" t="s">
        <v>694</v>
      </c>
      <c r="I14" s="2" t="s">
        <v>455</v>
      </c>
      <c r="J14" s="2" t="s">
        <v>456</v>
      </c>
      <c r="K14" s="2" t="s">
        <v>483</v>
      </c>
      <c r="L14" s="2" t="s">
        <v>459</v>
      </c>
      <c r="M14" s="2" t="s">
        <v>459</v>
      </c>
      <c r="N14" s="2" t="s">
        <v>459</v>
      </c>
      <c r="O14" s="2" t="s">
        <v>459</v>
      </c>
      <c r="P14" s="2" t="s">
        <v>483</v>
      </c>
    </row>
    <row r="15" spans="1:16" ht="15.6">
      <c r="A15" s="2" t="s">
        <v>695</v>
      </c>
      <c r="B15" s="2" t="s">
        <v>661</v>
      </c>
      <c r="C15" s="2" t="s">
        <v>500</v>
      </c>
      <c r="D15" s="2" t="s">
        <v>501</v>
      </c>
      <c r="E15" s="2" t="s">
        <v>451</v>
      </c>
      <c r="F15" s="2" t="s">
        <v>452</v>
      </c>
      <c r="G15" s="2" t="s">
        <v>453</v>
      </c>
      <c r="H15" s="2" t="s">
        <v>564</v>
      </c>
      <c r="I15" s="2" t="s">
        <v>455</v>
      </c>
      <c r="J15" s="2" t="s">
        <v>456</v>
      </c>
      <c r="K15" s="2" t="s">
        <v>502</v>
      </c>
      <c r="L15" s="2" t="s">
        <v>459</v>
      </c>
      <c r="M15" s="2" t="s">
        <v>459</v>
      </c>
      <c r="N15" s="2" t="s">
        <v>459</v>
      </c>
      <c r="O15" s="2" t="s">
        <v>459</v>
      </c>
      <c r="P15" s="2" t="s">
        <v>502</v>
      </c>
    </row>
    <row r="16" spans="1:16" ht="15.6">
      <c r="A16" s="2" t="s">
        <v>696</v>
      </c>
      <c r="B16" s="2" t="s">
        <v>661</v>
      </c>
      <c r="C16" s="2" t="s">
        <v>664</v>
      </c>
      <c r="D16" s="2" t="s">
        <v>475</v>
      </c>
      <c r="E16" s="2" t="s">
        <v>451</v>
      </c>
      <c r="F16" s="2" t="s">
        <v>452</v>
      </c>
      <c r="G16" s="2" t="s">
        <v>453</v>
      </c>
      <c r="H16" s="2" t="s">
        <v>568</v>
      </c>
      <c r="I16" s="2" t="s">
        <v>455</v>
      </c>
      <c r="J16" s="2" t="s">
        <v>456</v>
      </c>
      <c r="K16" s="2" t="s">
        <v>575</v>
      </c>
      <c r="L16" s="2" t="s">
        <v>576</v>
      </c>
      <c r="M16" s="2" t="s">
        <v>459</v>
      </c>
      <c r="N16" s="2" t="s">
        <v>459</v>
      </c>
      <c r="O16" s="2" t="s">
        <v>459</v>
      </c>
      <c r="P16" s="2" t="s">
        <v>577</v>
      </c>
    </row>
    <row r="17" spans="1:16" ht="15.6">
      <c r="A17" s="2" t="s">
        <v>697</v>
      </c>
      <c r="B17" s="2" t="s">
        <v>661</v>
      </c>
      <c r="C17" s="2" t="s">
        <v>495</v>
      </c>
      <c r="D17" s="2" t="s">
        <v>482</v>
      </c>
      <c r="E17" s="2" t="s">
        <v>451</v>
      </c>
      <c r="F17" s="2" t="s">
        <v>452</v>
      </c>
      <c r="G17" s="2" t="s">
        <v>453</v>
      </c>
      <c r="H17" s="2" t="s">
        <v>517</v>
      </c>
      <c r="I17" s="2" t="s">
        <v>455</v>
      </c>
      <c r="J17" s="2" t="s">
        <v>456</v>
      </c>
      <c r="K17" s="2" t="s">
        <v>483</v>
      </c>
      <c r="L17" s="2" t="s">
        <v>459</v>
      </c>
      <c r="M17" s="2" t="s">
        <v>459</v>
      </c>
      <c r="N17" s="2" t="s">
        <v>459</v>
      </c>
      <c r="O17" s="2" t="s">
        <v>459</v>
      </c>
      <c r="P17" s="2" t="s">
        <v>483</v>
      </c>
    </row>
    <row r="18" spans="1:16" ht="15.6">
      <c r="A18" s="2" t="s">
        <v>698</v>
      </c>
      <c r="B18" s="2" t="s">
        <v>661</v>
      </c>
      <c r="C18" s="2" t="s">
        <v>500</v>
      </c>
      <c r="D18" s="2" t="s">
        <v>501</v>
      </c>
      <c r="E18" s="2" t="s">
        <v>451</v>
      </c>
      <c r="F18" s="2" t="s">
        <v>452</v>
      </c>
      <c r="G18" s="2" t="s">
        <v>453</v>
      </c>
      <c r="H18" s="2" t="s">
        <v>520</v>
      </c>
      <c r="I18" s="2" t="s">
        <v>455</v>
      </c>
      <c r="J18" s="2" t="s">
        <v>456</v>
      </c>
      <c r="K18" s="2" t="s">
        <v>502</v>
      </c>
      <c r="L18" s="2" t="s">
        <v>459</v>
      </c>
      <c r="M18" s="2" t="s">
        <v>459</v>
      </c>
      <c r="N18" s="2" t="s">
        <v>459</v>
      </c>
      <c r="O18" s="2" t="s">
        <v>459</v>
      </c>
      <c r="P18" s="2" t="s">
        <v>502</v>
      </c>
    </row>
    <row r="19" spans="1:16" ht="15.6">
      <c r="A19" s="2" t="s">
        <v>699</v>
      </c>
      <c r="B19" s="2" t="s">
        <v>661</v>
      </c>
      <c r="C19" s="2" t="s">
        <v>489</v>
      </c>
      <c r="D19" s="2" t="s">
        <v>475</v>
      </c>
      <c r="E19" s="2" t="s">
        <v>451</v>
      </c>
      <c r="F19" s="2" t="s">
        <v>452</v>
      </c>
      <c r="G19" s="2" t="s">
        <v>453</v>
      </c>
      <c r="H19" s="2" t="s">
        <v>490</v>
      </c>
      <c r="I19" s="2" t="s">
        <v>455</v>
      </c>
      <c r="J19" s="2" t="s">
        <v>456</v>
      </c>
      <c r="K19" s="2" t="s">
        <v>700</v>
      </c>
      <c r="L19" s="2" t="s">
        <v>701</v>
      </c>
      <c r="M19" s="2" t="s">
        <v>459</v>
      </c>
      <c r="N19" s="2" t="s">
        <v>459</v>
      </c>
      <c r="O19" s="2" t="s">
        <v>459</v>
      </c>
      <c r="P19" s="2" t="s">
        <v>702</v>
      </c>
    </row>
    <row r="20" spans="1:16" ht="15.6">
      <c r="A20" s="2" t="s">
        <v>703</v>
      </c>
      <c r="B20" s="2" t="s">
        <v>661</v>
      </c>
      <c r="C20" s="2" t="s">
        <v>495</v>
      </c>
      <c r="D20" s="2" t="s">
        <v>482</v>
      </c>
      <c r="E20" s="2" t="s">
        <v>451</v>
      </c>
      <c r="F20" s="2" t="s">
        <v>452</v>
      </c>
      <c r="G20" s="2" t="s">
        <v>453</v>
      </c>
      <c r="H20" s="2" t="s">
        <v>496</v>
      </c>
      <c r="I20" s="2" t="s">
        <v>455</v>
      </c>
      <c r="J20" s="2" t="s">
        <v>456</v>
      </c>
      <c r="K20" s="2" t="s">
        <v>483</v>
      </c>
      <c r="L20" s="2" t="s">
        <v>704</v>
      </c>
      <c r="M20" s="2" t="s">
        <v>459</v>
      </c>
      <c r="N20" s="2" t="s">
        <v>459</v>
      </c>
      <c r="O20" s="2" t="s">
        <v>459</v>
      </c>
      <c r="P20" s="2" t="s">
        <v>705</v>
      </c>
    </row>
    <row r="21" spans="1:16" ht="15.6">
      <c r="A21" s="2" t="s">
        <v>706</v>
      </c>
      <c r="B21" s="2" t="s">
        <v>661</v>
      </c>
      <c r="C21" s="2" t="s">
        <v>500</v>
      </c>
      <c r="D21" s="2" t="s">
        <v>501</v>
      </c>
      <c r="E21" s="2" t="s">
        <v>451</v>
      </c>
      <c r="F21" s="2" t="s">
        <v>452</v>
      </c>
      <c r="G21" s="2" t="s">
        <v>453</v>
      </c>
      <c r="H21" s="2" t="s">
        <v>486</v>
      </c>
      <c r="I21" s="2" t="s">
        <v>455</v>
      </c>
      <c r="J21" s="2" t="s">
        <v>456</v>
      </c>
      <c r="K21" s="2" t="s">
        <v>502</v>
      </c>
      <c r="L21" s="2" t="s">
        <v>459</v>
      </c>
      <c r="M21" s="2" t="s">
        <v>459</v>
      </c>
      <c r="N21" s="2" t="s">
        <v>459</v>
      </c>
      <c r="O21" s="2" t="s">
        <v>459</v>
      </c>
      <c r="P21" s="2" t="s">
        <v>502</v>
      </c>
    </row>
    <row r="22" spans="1:16" ht="15.6">
      <c r="A22" s="2" t="s">
        <v>707</v>
      </c>
      <c r="B22" s="2" t="s">
        <v>661</v>
      </c>
      <c r="C22" s="2" t="s">
        <v>664</v>
      </c>
      <c r="D22" s="2" t="s">
        <v>475</v>
      </c>
      <c r="E22" s="2" t="s">
        <v>451</v>
      </c>
      <c r="F22" s="2" t="s">
        <v>452</v>
      </c>
      <c r="G22" s="2" t="s">
        <v>453</v>
      </c>
      <c r="H22" s="2" t="s">
        <v>476</v>
      </c>
      <c r="I22" s="2" t="s">
        <v>455</v>
      </c>
      <c r="J22" s="2" t="s">
        <v>456</v>
      </c>
      <c r="K22" s="2" t="s">
        <v>575</v>
      </c>
      <c r="L22" s="2" t="s">
        <v>576</v>
      </c>
      <c r="M22" s="2" t="s">
        <v>459</v>
      </c>
      <c r="N22" s="2" t="s">
        <v>459</v>
      </c>
      <c r="O22" s="2" t="s">
        <v>459</v>
      </c>
      <c r="P22" s="2" t="s">
        <v>577</v>
      </c>
    </row>
    <row r="23" spans="1:16" ht="15.6">
      <c r="A23" s="2" t="s">
        <v>708</v>
      </c>
      <c r="B23" s="2" t="s">
        <v>661</v>
      </c>
      <c r="C23" s="2" t="s">
        <v>709</v>
      </c>
      <c r="D23" s="2" t="s">
        <v>482</v>
      </c>
      <c r="E23" s="2" t="s">
        <v>451</v>
      </c>
      <c r="F23" s="2" t="s">
        <v>452</v>
      </c>
      <c r="G23" s="2" t="s">
        <v>453</v>
      </c>
      <c r="H23" s="2" t="s">
        <v>454</v>
      </c>
      <c r="I23" s="2" t="s">
        <v>455</v>
      </c>
      <c r="J23" s="2" t="s">
        <v>456</v>
      </c>
      <c r="K23" s="2" t="s">
        <v>483</v>
      </c>
      <c r="L23" s="2" t="s">
        <v>459</v>
      </c>
      <c r="M23" s="2" t="s">
        <v>459</v>
      </c>
      <c r="N23" s="2" t="s">
        <v>459</v>
      </c>
      <c r="O23" s="2" t="s">
        <v>459</v>
      </c>
      <c r="P23" s="2" t="s">
        <v>483</v>
      </c>
    </row>
    <row r="24" spans="1:16" ht="15.6">
      <c r="A24" s="2" t="s">
        <v>710</v>
      </c>
      <c r="B24" s="2" t="s">
        <v>661</v>
      </c>
      <c r="C24" s="2" t="s">
        <v>500</v>
      </c>
      <c r="D24" s="2" t="s">
        <v>501</v>
      </c>
      <c r="E24" s="2" t="s">
        <v>451</v>
      </c>
      <c r="F24" s="2" t="s">
        <v>452</v>
      </c>
      <c r="G24" s="2" t="s">
        <v>453</v>
      </c>
      <c r="H24" s="2" t="s">
        <v>590</v>
      </c>
      <c r="I24" s="2" t="s">
        <v>455</v>
      </c>
      <c r="J24" s="2" t="s">
        <v>456</v>
      </c>
      <c r="K24" s="2" t="s">
        <v>502</v>
      </c>
      <c r="L24" s="2" t="s">
        <v>459</v>
      </c>
      <c r="M24" s="2" t="s">
        <v>459</v>
      </c>
      <c r="N24" s="2" t="s">
        <v>459</v>
      </c>
      <c r="O24" s="2" t="s">
        <v>459</v>
      </c>
      <c r="P24" s="2" t="s">
        <v>502</v>
      </c>
    </row>
    <row r="25" spans="1:16" ht="15.6">
      <c r="A25" s="2" t="s">
        <v>711</v>
      </c>
      <c r="B25" s="2" t="s">
        <v>661</v>
      </c>
      <c r="C25" s="2" t="s">
        <v>712</v>
      </c>
      <c r="D25" s="2" t="s">
        <v>450</v>
      </c>
      <c r="E25" s="2" t="s">
        <v>451</v>
      </c>
      <c r="F25" s="2" t="s">
        <v>452</v>
      </c>
      <c r="G25" s="2" t="s">
        <v>453</v>
      </c>
      <c r="H25" s="2" t="s">
        <v>486</v>
      </c>
      <c r="I25" s="2" t="s">
        <v>455</v>
      </c>
      <c r="J25" s="2" t="s">
        <v>456</v>
      </c>
      <c r="K25" s="2" t="s">
        <v>713</v>
      </c>
      <c r="L25" s="2" t="s">
        <v>459</v>
      </c>
      <c r="M25" s="2" t="s">
        <v>459</v>
      </c>
      <c r="N25" s="2" t="s">
        <v>459</v>
      </c>
      <c r="O25" s="2" t="s">
        <v>459</v>
      </c>
      <c r="P25" s="2" t="s">
        <v>713</v>
      </c>
    </row>
    <row r="26" spans="1:16" ht="15.6">
      <c r="A26" s="2" t="s">
        <v>714</v>
      </c>
      <c r="B26" s="2" t="s">
        <v>661</v>
      </c>
      <c r="C26" s="2" t="s">
        <v>715</v>
      </c>
      <c r="D26" s="2" t="s">
        <v>450</v>
      </c>
      <c r="E26" s="2" t="s">
        <v>451</v>
      </c>
      <c r="F26" s="2" t="s">
        <v>452</v>
      </c>
      <c r="G26" s="2" t="s">
        <v>453</v>
      </c>
      <c r="H26" s="2" t="s">
        <v>454</v>
      </c>
      <c r="I26" s="2" t="s">
        <v>455</v>
      </c>
      <c r="J26" s="2" t="s">
        <v>456</v>
      </c>
      <c r="K26" s="2" t="s">
        <v>716</v>
      </c>
      <c r="L26" s="2" t="s">
        <v>717</v>
      </c>
      <c r="M26" s="2" t="s">
        <v>459</v>
      </c>
      <c r="N26" s="2" t="s">
        <v>459</v>
      </c>
      <c r="O26" s="2" t="s">
        <v>459</v>
      </c>
      <c r="P26" s="2" t="s">
        <v>718</v>
      </c>
    </row>
    <row r="27" spans="1:16" ht="15.6">
      <c r="A27" s="2" t="s">
        <v>522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5.6">
      <c r="A28" s="2" t="s">
        <v>523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719</v>
      </c>
      <c r="M28" s="2"/>
      <c r="N28" s="2"/>
      <c r="O28" s="2"/>
      <c r="P28" s="2"/>
    </row>
    <row r="29" spans="1:16" ht="15.6">
      <c r="A29" s="2" t="s">
        <v>525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459</v>
      </c>
      <c r="M29" s="2"/>
      <c r="N29" s="2"/>
      <c r="O29" s="2"/>
      <c r="P29" s="2"/>
    </row>
    <row r="30" spans="1:16" ht="15.6">
      <c r="A30" s="2" t="s">
        <v>526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459</v>
      </c>
      <c r="M30" s="2"/>
      <c r="N30" s="2"/>
      <c r="O30" s="2"/>
      <c r="P30" s="2"/>
    </row>
    <row r="31" spans="1:16" ht="15.6">
      <c r="A31" s="2" t="s">
        <v>527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 t="s">
        <v>459</v>
      </c>
      <c r="M31" s="2"/>
      <c r="N31" s="2"/>
      <c r="O31" s="2"/>
      <c r="P31" s="2"/>
    </row>
    <row r="32" spans="1:16" ht="15.6">
      <c r="A32" s="2" t="s">
        <v>528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 t="s">
        <v>459</v>
      </c>
      <c r="M32" s="2"/>
      <c r="N32" s="2"/>
      <c r="O32" s="2"/>
      <c r="P32" s="2"/>
    </row>
    <row r="33" spans="1:12" ht="15.6">
      <c r="A33" s="2" t="s">
        <v>529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 t="s">
        <v>720</v>
      </c>
    </row>
    <row r="34" spans="1:12" ht="15.6">
      <c r="A34" s="2" t="s">
        <v>531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 t="s">
        <v>721</v>
      </c>
    </row>
    <row r="35" spans="1:12" ht="15.6">
      <c r="A35" s="2" t="s">
        <v>533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 t="s">
        <v>459</v>
      </c>
    </row>
    <row r="36" spans="1:12" ht="15.6">
      <c r="A36" s="2" t="s">
        <v>534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 t="s">
        <v>459</v>
      </c>
    </row>
    <row r="37" spans="1:12" ht="15.6">
      <c r="A37" s="2" t="s">
        <v>535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 t="s">
        <v>459</v>
      </c>
    </row>
    <row r="38" spans="1:12" ht="15.6">
      <c r="A38" s="2" t="s">
        <v>536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 t="s">
        <v>720</v>
      </c>
    </row>
  </sheetData>
  <autoFilter ref="A2:P38" xr:uid="{7D011E37-2BD1-4FFC-A73C-5A2262FECDA5}">
    <sortState xmlns:xlrd2="http://schemas.microsoft.com/office/spreadsheetml/2017/richdata2" ref="A3:P38">
      <sortCondition sortBy="cellColor" ref="D2:D38" dxfId="2"/>
    </sortState>
  </autoFilter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BA3E-1B45-4BA4-AC81-B53D66739081}">
  <dimension ref="A1:P47"/>
  <sheetViews>
    <sheetView topLeftCell="A36" workbookViewId="0">
      <selection activeCell="A16" sqref="A16:XFD27"/>
    </sheetView>
  </sheetViews>
  <sheetFormatPr defaultColWidth="9.140625" defaultRowHeight="14.45"/>
  <sheetData>
    <row r="1" spans="1:16" ht="15.6">
      <c r="A1" s="2" t="s">
        <v>432</v>
      </c>
      <c r="B1" s="2" t="s">
        <v>722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6">
      <c r="A2" s="2" t="s">
        <v>434</v>
      </c>
      <c r="B2" s="2" t="s">
        <v>435</v>
      </c>
      <c r="C2" s="2" t="s">
        <v>68</v>
      </c>
      <c r="D2" s="2" t="s">
        <v>436</v>
      </c>
      <c r="E2" s="2" t="s">
        <v>437</v>
      </c>
      <c r="F2" s="2" t="s">
        <v>438</v>
      </c>
      <c r="G2" s="2" t="s">
        <v>7</v>
      </c>
      <c r="H2" s="2" t="s">
        <v>439</v>
      </c>
      <c r="I2" s="2" t="s">
        <v>440</v>
      </c>
      <c r="J2" s="2" t="s">
        <v>441</v>
      </c>
      <c r="K2" s="2" t="s">
        <v>19</v>
      </c>
      <c r="L2" s="2" t="s">
        <v>442</v>
      </c>
      <c r="M2" s="2" t="s">
        <v>443</v>
      </c>
      <c r="N2" s="2" t="s">
        <v>444</v>
      </c>
      <c r="O2" s="2" t="s">
        <v>445</v>
      </c>
      <c r="P2" s="2" t="s">
        <v>446</v>
      </c>
    </row>
    <row r="3" spans="1:16" ht="15.6">
      <c r="A3" s="2" t="s">
        <v>723</v>
      </c>
      <c r="B3" s="2" t="s">
        <v>724</v>
      </c>
      <c r="C3" s="2" t="s">
        <v>500</v>
      </c>
      <c r="D3" s="2" t="s">
        <v>501</v>
      </c>
      <c r="E3" s="2" t="s">
        <v>451</v>
      </c>
      <c r="F3" s="2" t="s">
        <v>540</v>
      </c>
      <c r="G3" s="2" t="s">
        <v>453</v>
      </c>
      <c r="H3" s="2" t="s">
        <v>544</v>
      </c>
      <c r="I3" s="2" t="s">
        <v>455</v>
      </c>
      <c r="J3" s="2" t="s">
        <v>456</v>
      </c>
      <c r="K3" s="2" t="s">
        <v>502</v>
      </c>
      <c r="L3" s="2" t="s">
        <v>459</v>
      </c>
      <c r="M3" s="2" t="s">
        <v>459</v>
      </c>
      <c r="N3" s="2" t="s">
        <v>459</v>
      </c>
      <c r="O3" s="2" t="s">
        <v>459</v>
      </c>
      <c r="P3" s="2" t="s">
        <v>502</v>
      </c>
    </row>
    <row r="4" spans="1:16" ht="15.6">
      <c r="A4" s="2" t="s">
        <v>725</v>
      </c>
      <c r="B4" s="2" t="s">
        <v>724</v>
      </c>
      <c r="C4" s="2" t="s">
        <v>500</v>
      </c>
      <c r="D4" s="2" t="s">
        <v>501</v>
      </c>
      <c r="E4" s="2" t="s">
        <v>451</v>
      </c>
      <c r="F4" s="2" t="s">
        <v>540</v>
      </c>
      <c r="G4" s="2" t="s">
        <v>453</v>
      </c>
      <c r="H4" s="2" t="s">
        <v>550</v>
      </c>
      <c r="I4" s="2" t="s">
        <v>455</v>
      </c>
      <c r="J4" s="2" t="s">
        <v>456</v>
      </c>
      <c r="K4" s="2" t="s">
        <v>502</v>
      </c>
      <c r="L4" s="2" t="s">
        <v>459</v>
      </c>
      <c r="M4" s="2" t="s">
        <v>459</v>
      </c>
      <c r="N4" s="2" t="s">
        <v>459</v>
      </c>
      <c r="O4" s="2" t="s">
        <v>459</v>
      </c>
      <c r="P4" s="2" t="s">
        <v>502</v>
      </c>
    </row>
    <row r="5" spans="1:16" ht="15.6">
      <c r="A5" s="2" t="s">
        <v>726</v>
      </c>
      <c r="B5" s="2" t="s">
        <v>724</v>
      </c>
      <c r="C5" s="2" t="s">
        <v>500</v>
      </c>
      <c r="D5" s="2" t="s">
        <v>501</v>
      </c>
      <c r="E5" s="2" t="s">
        <v>451</v>
      </c>
      <c r="F5" s="2" t="s">
        <v>452</v>
      </c>
      <c r="G5" s="2" t="s">
        <v>453</v>
      </c>
      <c r="H5" s="2" t="s">
        <v>727</v>
      </c>
      <c r="I5" s="2" t="s">
        <v>455</v>
      </c>
      <c r="J5" s="2" t="s">
        <v>456</v>
      </c>
      <c r="K5" s="2" t="s">
        <v>502</v>
      </c>
      <c r="L5" s="2" t="s">
        <v>459</v>
      </c>
      <c r="M5" s="2" t="s">
        <v>459</v>
      </c>
      <c r="N5" s="2" t="s">
        <v>459</v>
      </c>
      <c r="O5" s="2" t="s">
        <v>459</v>
      </c>
      <c r="P5" s="2" t="s">
        <v>502</v>
      </c>
    </row>
    <row r="6" spans="1:16" ht="15.6">
      <c r="A6" s="2" t="s">
        <v>728</v>
      </c>
      <c r="B6" s="2" t="s">
        <v>724</v>
      </c>
      <c r="C6" s="2" t="s">
        <v>500</v>
      </c>
      <c r="D6" s="2" t="s">
        <v>501</v>
      </c>
      <c r="E6" s="2" t="s">
        <v>451</v>
      </c>
      <c r="F6" s="2" t="s">
        <v>452</v>
      </c>
      <c r="G6" s="2" t="s">
        <v>453</v>
      </c>
      <c r="H6" s="2" t="s">
        <v>662</v>
      </c>
      <c r="I6" s="2" t="s">
        <v>455</v>
      </c>
      <c r="J6" s="2" t="s">
        <v>456</v>
      </c>
      <c r="K6" s="2" t="s">
        <v>502</v>
      </c>
      <c r="L6" s="2" t="s">
        <v>459</v>
      </c>
      <c r="M6" s="2" t="s">
        <v>459</v>
      </c>
      <c r="N6" s="2" t="s">
        <v>459</v>
      </c>
      <c r="O6" s="2" t="s">
        <v>459</v>
      </c>
      <c r="P6" s="2" t="s">
        <v>502</v>
      </c>
    </row>
    <row r="7" spans="1:16" ht="15.6">
      <c r="A7" s="2" t="s">
        <v>729</v>
      </c>
      <c r="B7" s="2" t="s">
        <v>724</v>
      </c>
      <c r="C7" s="2" t="s">
        <v>500</v>
      </c>
      <c r="D7" s="2" t="s">
        <v>501</v>
      </c>
      <c r="E7" s="2" t="s">
        <v>451</v>
      </c>
      <c r="F7" s="2" t="s">
        <v>452</v>
      </c>
      <c r="G7" s="2" t="s">
        <v>453</v>
      </c>
      <c r="H7" s="2" t="s">
        <v>671</v>
      </c>
      <c r="I7" s="2" t="s">
        <v>455</v>
      </c>
      <c r="J7" s="2" t="s">
        <v>456</v>
      </c>
      <c r="K7" s="2" t="s">
        <v>502</v>
      </c>
      <c r="L7" s="2" t="s">
        <v>459</v>
      </c>
      <c r="M7" s="2" t="s">
        <v>459</v>
      </c>
      <c r="N7" s="2" t="s">
        <v>459</v>
      </c>
      <c r="O7" s="2" t="s">
        <v>459</v>
      </c>
      <c r="P7" s="2" t="s">
        <v>502</v>
      </c>
    </row>
    <row r="8" spans="1:16" ht="15.6">
      <c r="A8" s="2" t="s">
        <v>730</v>
      </c>
      <c r="B8" s="2" t="s">
        <v>724</v>
      </c>
      <c r="C8" s="2" t="s">
        <v>500</v>
      </c>
      <c r="D8" s="2" t="s">
        <v>501</v>
      </c>
      <c r="E8" s="2" t="s">
        <v>451</v>
      </c>
      <c r="F8" s="2" t="s">
        <v>452</v>
      </c>
      <c r="G8" s="2" t="s">
        <v>453</v>
      </c>
      <c r="H8" s="2" t="s">
        <v>679</v>
      </c>
      <c r="I8" s="2" t="s">
        <v>455</v>
      </c>
      <c r="J8" s="2" t="s">
        <v>456</v>
      </c>
      <c r="K8" s="2" t="s">
        <v>502</v>
      </c>
      <c r="L8" s="2" t="s">
        <v>459</v>
      </c>
      <c r="M8" s="2" t="s">
        <v>459</v>
      </c>
      <c r="N8" s="2" t="s">
        <v>459</v>
      </c>
      <c r="O8" s="2" t="s">
        <v>459</v>
      </c>
      <c r="P8" s="2" t="s">
        <v>502</v>
      </c>
    </row>
    <row r="9" spans="1:16" ht="15.6">
      <c r="A9" s="2" t="s">
        <v>731</v>
      </c>
      <c r="B9" s="2" t="s">
        <v>724</v>
      </c>
      <c r="C9" s="2" t="s">
        <v>500</v>
      </c>
      <c r="D9" s="2" t="s">
        <v>501</v>
      </c>
      <c r="E9" s="2" t="s">
        <v>451</v>
      </c>
      <c r="F9" s="2" t="s">
        <v>452</v>
      </c>
      <c r="G9" s="2" t="s">
        <v>453</v>
      </c>
      <c r="H9" s="2" t="s">
        <v>690</v>
      </c>
      <c r="I9" s="2" t="s">
        <v>455</v>
      </c>
      <c r="J9" s="2" t="s">
        <v>456</v>
      </c>
      <c r="K9" s="2" t="s">
        <v>502</v>
      </c>
      <c r="L9" s="2" t="s">
        <v>459</v>
      </c>
      <c r="M9" s="2" t="s">
        <v>459</v>
      </c>
      <c r="N9" s="2" t="s">
        <v>459</v>
      </c>
      <c r="O9" s="2" t="s">
        <v>459</v>
      </c>
      <c r="P9" s="2" t="s">
        <v>502</v>
      </c>
    </row>
    <row r="10" spans="1:16" ht="15.6">
      <c r="A10" s="2" t="s">
        <v>732</v>
      </c>
      <c r="B10" s="2" t="s">
        <v>724</v>
      </c>
      <c r="C10" s="2" t="s">
        <v>500</v>
      </c>
      <c r="D10" s="2" t="s">
        <v>501</v>
      </c>
      <c r="E10" s="2" t="s">
        <v>451</v>
      </c>
      <c r="F10" s="2" t="s">
        <v>452</v>
      </c>
      <c r="G10" s="2" t="s">
        <v>453</v>
      </c>
      <c r="H10" s="2" t="s">
        <v>564</v>
      </c>
      <c r="I10" s="2" t="s">
        <v>455</v>
      </c>
      <c r="J10" s="2" t="s">
        <v>456</v>
      </c>
      <c r="K10" s="2" t="s">
        <v>502</v>
      </c>
      <c r="L10" s="2" t="s">
        <v>459</v>
      </c>
      <c r="M10" s="2" t="s">
        <v>459</v>
      </c>
      <c r="N10" s="2" t="s">
        <v>459</v>
      </c>
      <c r="O10" s="2" t="s">
        <v>459</v>
      </c>
      <c r="P10" s="2" t="s">
        <v>502</v>
      </c>
    </row>
    <row r="11" spans="1:16" ht="15.6">
      <c r="A11" s="2" t="s">
        <v>733</v>
      </c>
      <c r="B11" s="2" t="s">
        <v>724</v>
      </c>
      <c r="C11" s="2" t="s">
        <v>500</v>
      </c>
      <c r="D11" s="2" t="s">
        <v>501</v>
      </c>
      <c r="E11" s="2" t="s">
        <v>451</v>
      </c>
      <c r="F11" s="2" t="s">
        <v>452</v>
      </c>
      <c r="G11" s="2" t="s">
        <v>453</v>
      </c>
      <c r="H11" s="2" t="s">
        <v>520</v>
      </c>
      <c r="I11" s="2" t="s">
        <v>455</v>
      </c>
      <c r="J11" s="2" t="s">
        <v>456</v>
      </c>
      <c r="K11" s="2" t="s">
        <v>502</v>
      </c>
      <c r="L11" s="2" t="s">
        <v>459</v>
      </c>
      <c r="M11" s="2" t="s">
        <v>459</v>
      </c>
      <c r="N11" s="2" t="s">
        <v>459</v>
      </c>
      <c r="O11" s="2" t="s">
        <v>459</v>
      </c>
      <c r="P11" s="2" t="s">
        <v>502</v>
      </c>
    </row>
    <row r="12" spans="1:16" ht="15.6">
      <c r="A12" s="2" t="s">
        <v>734</v>
      </c>
      <c r="B12" s="2" t="s">
        <v>724</v>
      </c>
      <c r="C12" s="2" t="s">
        <v>500</v>
      </c>
      <c r="D12" s="2" t="s">
        <v>501</v>
      </c>
      <c r="E12" s="2" t="s">
        <v>451</v>
      </c>
      <c r="F12" s="2" t="s">
        <v>452</v>
      </c>
      <c r="G12" s="2" t="s">
        <v>453</v>
      </c>
      <c r="H12" s="2" t="s">
        <v>486</v>
      </c>
      <c r="I12" s="2" t="s">
        <v>455</v>
      </c>
      <c r="J12" s="2" t="s">
        <v>456</v>
      </c>
      <c r="K12" s="2" t="s">
        <v>502</v>
      </c>
      <c r="L12" s="2" t="s">
        <v>459</v>
      </c>
      <c r="M12" s="2" t="s">
        <v>459</v>
      </c>
      <c r="N12" s="2" t="s">
        <v>459</v>
      </c>
      <c r="O12" s="2" t="s">
        <v>459</v>
      </c>
      <c r="P12" s="2" t="s">
        <v>502</v>
      </c>
    </row>
    <row r="13" spans="1:16" ht="15.6">
      <c r="A13" s="2" t="s">
        <v>735</v>
      </c>
      <c r="B13" s="2" t="s">
        <v>724</v>
      </c>
      <c r="C13" s="2" t="s">
        <v>736</v>
      </c>
      <c r="D13" s="2" t="s">
        <v>450</v>
      </c>
      <c r="E13" s="2" t="s">
        <v>451</v>
      </c>
      <c r="F13" s="2" t="s">
        <v>452</v>
      </c>
      <c r="G13" s="2" t="s">
        <v>453</v>
      </c>
      <c r="H13" s="2" t="s">
        <v>486</v>
      </c>
      <c r="I13" s="2" t="s">
        <v>455</v>
      </c>
      <c r="J13" s="2" t="s">
        <v>456</v>
      </c>
      <c r="K13" s="2" t="s">
        <v>737</v>
      </c>
      <c r="L13" s="2" t="s">
        <v>459</v>
      </c>
      <c r="M13" s="2" t="s">
        <v>459</v>
      </c>
      <c r="N13" s="2" t="s">
        <v>459</v>
      </c>
      <c r="O13" s="2" t="s">
        <v>459</v>
      </c>
      <c r="P13" s="2" t="s">
        <v>737</v>
      </c>
    </row>
    <row r="14" spans="1:16" ht="15.6">
      <c r="A14" s="2" t="s">
        <v>738</v>
      </c>
      <c r="B14" s="2" t="s">
        <v>724</v>
      </c>
      <c r="C14" s="2" t="s">
        <v>739</v>
      </c>
      <c r="D14" s="2" t="s">
        <v>450</v>
      </c>
      <c r="E14" s="2" t="s">
        <v>451</v>
      </c>
      <c r="F14" s="2" t="s">
        <v>452</v>
      </c>
      <c r="G14" s="2" t="s">
        <v>453</v>
      </c>
      <c r="H14" s="2" t="s">
        <v>454</v>
      </c>
      <c r="I14" s="2" t="s">
        <v>455</v>
      </c>
      <c r="J14" s="2" t="s">
        <v>456</v>
      </c>
      <c r="K14" s="2" t="s">
        <v>740</v>
      </c>
      <c r="L14" s="2" t="s">
        <v>741</v>
      </c>
      <c r="M14" s="2" t="s">
        <v>459</v>
      </c>
      <c r="N14" s="2" t="s">
        <v>459</v>
      </c>
      <c r="O14" s="2" t="s">
        <v>459</v>
      </c>
      <c r="P14" s="2" t="s">
        <v>742</v>
      </c>
    </row>
    <row r="15" spans="1:16" ht="15.6">
      <c r="A15" s="2" t="s">
        <v>743</v>
      </c>
      <c r="B15" s="2" t="s">
        <v>724</v>
      </c>
      <c r="C15" s="2" t="s">
        <v>500</v>
      </c>
      <c r="D15" s="2" t="s">
        <v>501</v>
      </c>
      <c r="E15" s="2" t="s">
        <v>451</v>
      </c>
      <c r="F15" s="2" t="s">
        <v>452</v>
      </c>
      <c r="G15" s="2" t="s">
        <v>453</v>
      </c>
      <c r="H15" s="2" t="s">
        <v>590</v>
      </c>
      <c r="I15" s="2" t="s">
        <v>455</v>
      </c>
      <c r="J15" s="2" t="s">
        <v>456</v>
      </c>
      <c r="K15" s="2" t="s">
        <v>502</v>
      </c>
      <c r="L15" s="2" t="s">
        <v>459</v>
      </c>
      <c r="M15" s="2" t="s">
        <v>459</v>
      </c>
      <c r="N15" s="2" t="s">
        <v>459</v>
      </c>
      <c r="O15" s="2" t="s">
        <v>459</v>
      </c>
      <c r="P15" s="2" t="s">
        <v>502</v>
      </c>
    </row>
    <row r="16" spans="1:16" ht="15.6">
      <c r="A16" s="2" t="s">
        <v>744</v>
      </c>
      <c r="B16" s="2" t="s">
        <v>724</v>
      </c>
      <c r="C16" s="2" t="s">
        <v>495</v>
      </c>
      <c r="D16" s="2" t="s">
        <v>482</v>
      </c>
      <c r="E16" s="2" t="s">
        <v>451</v>
      </c>
      <c r="F16" s="2" t="s">
        <v>540</v>
      </c>
      <c r="G16" s="2" t="s">
        <v>453</v>
      </c>
      <c r="H16" s="2" t="s">
        <v>546</v>
      </c>
      <c r="I16" s="2" t="s">
        <v>455</v>
      </c>
      <c r="J16" s="2" t="s">
        <v>456</v>
      </c>
      <c r="K16" s="2" t="s">
        <v>745</v>
      </c>
      <c r="L16" s="2" t="s">
        <v>459</v>
      </c>
      <c r="M16" s="2" t="s">
        <v>459</v>
      </c>
      <c r="N16" s="2" t="s">
        <v>459</v>
      </c>
      <c r="O16" s="2" t="s">
        <v>459</v>
      </c>
      <c r="P16" s="2" t="s">
        <v>745</v>
      </c>
    </row>
    <row r="17" spans="1:16" ht="15.6">
      <c r="A17" s="2" t="s">
        <v>746</v>
      </c>
      <c r="B17" s="2" t="s">
        <v>724</v>
      </c>
      <c r="C17" s="2" t="s">
        <v>489</v>
      </c>
      <c r="D17" s="2" t="s">
        <v>475</v>
      </c>
      <c r="E17" s="2" t="s">
        <v>451</v>
      </c>
      <c r="F17" s="2" t="s">
        <v>540</v>
      </c>
      <c r="G17" s="2" t="s">
        <v>453</v>
      </c>
      <c r="H17" s="2" t="s">
        <v>747</v>
      </c>
      <c r="I17" s="2" t="s">
        <v>455</v>
      </c>
      <c r="J17" s="2" t="s">
        <v>456</v>
      </c>
      <c r="K17" s="2" t="s">
        <v>748</v>
      </c>
      <c r="L17" s="2" t="s">
        <v>749</v>
      </c>
      <c r="M17" s="2" t="s">
        <v>459</v>
      </c>
      <c r="N17" s="2" t="s">
        <v>459</v>
      </c>
      <c r="O17" s="2" t="s">
        <v>459</v>
      </c>
      <c r="P17" s="2" t="s">
        <v>750</v>
      </c>
    </row>
    <row r="18" spans="1:16" ht="15.6">
      <c r="A18" s="2" t="s">
        <v>751</v>
      </c>
      <c r="B18" s="2" t="s">
        <v>724</v>
      </c>
      <c r="C18" s="2" t="s">
        <v>495</v>
      </c>
      <c r="D18" s="2" t="s">
        <v>482</v>
      </c>
      <c r="E18" s="2" t="s">
        <v>451</v>
      </c>
      <c r="F18" s="2" t="s">
        <v>540</v>
      </c>
      <c r="G18" s="2" t="s">
        <v>453</v>
      </c>
      <c r="H18" s="2" t="s">
        <v>752</v>
      </c>
      <c r="I18" s="2" t="s">
        <v>455</v>
      </c>
      <c r="J18" s="2" t="s">
        <v>456</v>
      </c>
      <c r="K18" s="2" t="s">
        <v>483</v>
      </c>
      <c r="L18" s="2" t="s">
        <v>459</v>
      </c>
      <c r="M18" s="2" t="s">
        <v>459</v>
      </c>
      <c r="N18" s="2" t="s">
        <v>459</v>
      </c>
      <c r="O18" s="2" t="s">
        <v>459</v>
      </c>
      <c r="P18" s="2" t="s">
        <v>483</v>
      </c>
    </row>
    <row r="19" spans="1:16" ht="15.6">
      <c r="A19" s="2" t="s">
        <v>753</v>
      </c>
      <c r="B19" s="2" t="s">
        <v>724</v>
      </c>
      <c r="C19" s="2" t="s">
        <v>489</v>
      </c>
      <c r="D19" s="2" t="s">
        <v>475</v>
      </c>
      <c r="E19" s="2" t="s">
        <v>451</v>
      </c>
      <c r="F19" s="2" t="s">
        <v>452</v>
      </c>
      <c r="G19" s="2" t="s">
        <v>453</v>
      </c>
      <c r="H19" s="2" t="s">
        <v>754</v>
      </c>
      <c r="I19" s="2" t="s">
        <v>455</v>
      </c>
      <c r="J19" s="2" t="s">
        <v>456</v>
      </c>
      <c r="K19" s="2" t="s">
        <v>575</v>
      </c>
      <c r="L19" s="2" t="s">
        <v>576</v>
      </c>
      <c r="M19" s="2" t="s">
        <v>459</v>
      </c>
      <c r="N19" s="2" t="s">
        <v>459</v>
      </c>
      <c r="O19" s="2" t="s">
        <v>459</v>
      </c>
      <c r="P19" s="2" t="s">
        <v>577</v>
      </c>
    </row>
    <row r="20" spans="1:16" ht="15.6">
      <c r="A20" s="2" t="s">
        <v>755</v>
      </c>
      <c r="B20" s="2" t="s">
        <v>724</v>
      </c>
      <c r="C20" s="2" t="s">
        <v>495</v>
      </c>
      <c r="D20" s="2" t="s">
        <v>482</v>
      </c>
      <c r="E20" s="2" t="s">
        <v>451</v>
      </c>
      <c r="F20" s="2" t="s">
        <v>452</v>
      </c>
      <c r="G20" s="2" t="s">
        <v>453</v>
      </c>
      <c r="H20" s="2" t="s">
        <v>756</v>
      </c>
      <c r="I20" s="2" t="s">
        <v>455</v>
      </c>
      <c r="J20" s="2" t="s">
        <v>456</v>
      </c>
      <c r="K20" s="2" t="s">
        <v>483</v>
      </c>
      <c r="L20" s="2" t="s">
        <v>459</v>
      </c>
      <c r="M20" s="2" t="s">
        <v>459</v>
      </c>
      <c r="N20" s="2" t="s">
        <v>459</v>
      </c>
      <c r="O20" s="2" t="s">
        <v>459</v>
      </c>
      <c r="P20" s="2" t="s">
        <v>483</v>
      </c>
    </row>
    <row r="21" spans="1:16" ht="15.6">
      <c r="A21" s="2" t="s">
        <v>757</v>
      </c>
      <c r="B21" s="2" t="s">
        <v>724</v>
      </c>
      <c r="C21" s="2" t="s">
        <v>489</v>
      </c>
      <c r="D21" s="2" t="s">
        <v>475</v>
      </c>
      <c r="E21" s="2" t="s">
        <v>451</v>
      </c>
      <c r="F21" s="2" t="s">
        <v>452</v>
      </c>
      <c r="G21" s="2" t="s">
        <v>453</v>
      </c>
      <c r="H21" s="2" t="s">
        <v>665</v>
      </c>
      <c r="I21" s="2" t="s">
        <v>455</v>
      </c>
      <c r="J21" s="2" t="s">
        <v>456</v>
      </c>
      <c r="K21" s="2" t="s">
        <v>575</v>
      </c>
      <c r="L21" s="2" t="s">
        <v>576</v>
      </c>
      <c r="M21" s="2" t="s">
        <v>459</v>
      </c>
      <c r="N21" s="2" t="s">
        <v>459</v>
      </c>
      <c r="O21" s="2" t="s">
        <v>459</v>
      </c>
      <c r="P21" s="2" t="s">
        <v>577</v>
      </c>
    </row>
    <row r="22" spans="1:16" ht="15.6">
      <c r="A22" s="2" t="s">
        <v>758</v>
      </c>
      <c r="B22" s="2" t="s">
        <v>724</v>
      </c>
      <c r="C22" s="2" t="s">
        <v>495</v>
      </c>
      <c r="D22" s="2" t="s">
        <v>482</v>
      </c>
      <c r="E22" s="2" t="s">
        <v>451</v>
      </c>
      <c r="F22" s="2" t="s">
        <v>452</v>
      </c>
      <c r="G22" s="2" t="s">
        <v>453</v>
      </c>
      <c r="H22" s="2" t="s">
        <v>669</v>
      </c>
      <c r="I22" s="2" t="s">
        <v>455</v>
      </c>
      <c r="J22" s="2" t="s">
        <v>456</v>
      </c>
      <c r="K22" s="2" t="s">
        <v>483</v>
      </c>
      <c r="L22" s="2" t="s">
        <v>459</v>
      </c>
      <c r="M22" s="2" t="s">
        <v>459</v>
      </c>
      <c r="N22" s="2" t="s">
        <v>459</v>
      </c>
      <c r="O22" s="2" t="s">
        <v>459</v>
      </c>
      <c r="P22" s="2" t="s">
        <v>483</v>
      </c>
    </row>
    <row r="23" spans="1:16" ht="15.6">
      <c r="A23" s="2" t="s">
        <v>759</v>
      </c>
      <c r="B23" s="2" t="s">
        <v>724</v>
      </c>
      <c r="C23" s="2" t="s">
        <v>489</v>
      </c>
      <c r="D23" s="2" t="s">
        <v>475</v>
      </c>
      <c r="E23" s="2" t="s">
        <v>451</v>
      </c>
      <c r="F23" s="2" t="s">
        <v>452</v>
      </c>
      <c r="G23" s="2" t="s">
        <v>453</v>
      </c>
      <c r="H23" s="2" t="s">
        <v>673</v>
      </c>
      <c r="I23" s="2" t="s">
        <v>455</v>
      </c>
      <c r="J23" s="2" t="s">
        <v>456</v>
      </c>
      <c r="K23" s="2" t="s">
        <v>575</v>
      </c>
      <c r="L23" s="2" t="s">
        <v>576</v>
      </c>
      <c r="M23" s="2" t="s">
        <v>459</v>
      </c>
      <c r="N23" s="2" t="s">
        <v>459</v>
      </c>
      <c r="O23" s="2" t="s">
        <v>459</v>
      </c>
      <c r="P23" s="2" t="s">
        <v>577</v>
      </c>
    </row>
    <row r="24" spans="1:16" ht="15.6">
      <c r="A24" s="2" t="s">
        <v>760</v>
      </c>
      <c r="B24" s="2" t="s">
        <v>724</v>
      </c>
      <c r="C24" s="2" t="s">
        <v>495</v>
      </c>
      <c r="D24" s="2" t="s">
        <v>482</v>
      </c>
      <c r="E24" s="2" t="s">
        <v>451</v>
      </c>
      <c r="F24" s="2" t="s">
        <v>452</v>
      </c>
      <c r="G24" s="2" t="s">
        <v>453</v>
      </c>
      <c r="H24" s="2" t="s">
        <v>677</v>
      </c>
      <c r="I24" s="2" t="s">
        <v>455</v>
      </c>
      <c r="J24" s="2" t="s">
        <v>456</v>
      </c>
      <c r="K24" s="2" t="s">
        <v>483</v>
      </c>
      <c r="L24" s="2" t="s">
        <v>459</v>
      </c>
      <c r="M24" s="2" t="s">
        <v>459</v>
      </c>
      <c r="N24" s="2" t="s">
        <v>459</v>
      </c>
      <c r="O24" s="2" t="s">
        <v>459</v>
      </c>
      <c r="P24" s="2" t="s">
        <v>483</v>
      </c>
    </row>
    <row r="25" spans="1:16" ht="15.6">
      <c r="A25" s="2" t="s">
        <v>761</v>
      </c>
      <c r="B25" s="2" t="s">
        <v>724</v>
      </c>
      <c r="C25" s="2" t="s">
        <v>489</v>
      </c>
      <c r="D25" s="2" t="s">
        <v>475</v>
      </c>
      <c r="E25" s="2" t="s">
        <v>451</v>
      </c>
      <c r="F25" s="2" t="s">
        <v>452</v>
      </c>
      <c r="G25" s="2" t="s">
        <v>453</v>
      </c>
      <c r="H25" s="2" t="s">
        <v>681</v>
      </c>
      <c r="I25" s="2" t="s">
        <v>455</v>
      </c>
      <c r="J25" s="2" t="s">
        <v>456</v>
      </c>
      <c r="K25" s="2" t="s">
        <v>762</v>
      </c>
      <c r="L25" s="2" t="s">
        <v>763</v>
      </c>
      <c r="M25" s="2" t="s">
        <v>459</v>
      </c>
      <c r="N25" s="2" t="s">
        <v>459</v>
      </c>
      <c r="O25" s="2" t="s">
        <v>459</v>
      </c>
      <c r="P25" s="2" t="s">
        <v>764</v>
      </c>
    </row>
    <row r="26" spans="1:16" ht="15.6">
      <c r="A26" s="2" t="s">
        <v>765</v>
      </c>
      <c r="B26" s="2" t="s">
        <v>724</v>
      </c>
      <c r="C26" s="2" t="s">
        <v>495</v>
      </c>
      <c r="D26" s="2" t="s">
        <v>482</v>
      </c>
      <c r="E26" s="2" t="s">
        <v>451</v>
      </c>
      <c r="F26" s="2" t="s">
        <v>452</v>
      </c>
      <c r="G26" s="2" t="s">
        <v>453</v>
      </c>
      <c r="H26" s="2" t="s">
        <v>686</v>
      </c>
      <c r="I26" s="2" t="s">
        <v>455</v>
      </c>
      <c r="J26" s="2" t="s">
        <v>456</v>
      </c>
      <c r="K26" s="2" t="s">
        <v>483</v>
      </c>
      <c r="L26" s="2" t="s">
        <v>766</v>
      </c>
      <c r="M26" s="2" t="s">
        <v>459</v>
      </c>
      <c r="N26" s="2" t="s">
        <v>459</v>
      </c>
      <c r="O26" s="2" t="s">
        <v>459</v>
      </c>
      <c r="P26" s="2" t="s">
        <v>767</v>
      </c>
    </row>
    <row r="27" spans="1:16" ht="15.6">
      <c r="A27" s="2" t="s">
        <v>768</v>
      </c>
      <c r="B27" s="2" t="s">
        <v>724</v>
      </c>
      <c r="C27" s="2" t="s">
        <v>489</v>
      </c>
      <c r="D27" s="2" t="s">
        <v>475</v>
      </c>
      <c r="E27" s="2" t="s">
        <v>451</v>
      </c>
      <c r="F27" s="2" t="s">
        <v>452</v>
      </c>
      <c r="G27" s="2" t="s">
        <v>453</v>
      </c>
      <c r="H27" s="2" t="s">
        <v>692</v>
      </c>
      <c r="I27" s="2" t="s">
        <v>455</v>
      </c>
      <c r="J27" s="2" t="s">
        <v>456</v>
      </c>
      <c r="K27" s="2" t="s">
        <v>575</v>
      </c>
      <c r="L27" s="2" t="s">
        <v>576</v>
      </c>
      <c r="M27" s="2" t="s">
        <v>459</v>
      </c>
      <c r="N27" s="2" t="s">
        <v>459</v>
      </c>
      <c r="O27" s="2" t="s">
        <v>459</v>
      </c>
      <c r="P27" s="2" t="s">
        <v>577</v>
      </c>
    </row>
    <row r="28" spans="1:16" ht="15.6">
      <c r="A28" s="2" t="s">
        <v>769</v>
      </c>
      <c r="B28" s="2" t="s">
        <v>724</v>
      </c>
      <c r="C28" s="2" t="s">
        <v>495</v>
      </c>
      <c r="D28" s="2" t="s">
        <v>482</v>
      </c>
      <c r="E28" s="2" t="s">
        <v>451</v>
      </c>
      <c r="F28" s="2" t="s">
        <v>452</v>
      </c>
      <c r="G28" s="2" t="s">
        <v>453</v>
      </c>
      <c r="H28" s="2" t="s">
        <v>694</v>
      </c>
      <c r="I28" s="2" t="s">
        <v>455</v>
      </c>
      <c r="J28" s="2" t="s">
        <v>456</v>
      </c>
      <c r="K28" s="2" t="s">
        <v>483</v>
      </c>
      <c r="L28" s="2" t="s">
        <v>459</v>
      </c>
      <c r="M28" s="2" t="s">
        <v>459</v>
      </c>
      <c r="N28" s="2" t="s">
        <v>459</v>
      </c>
      <c r="O28" s="2" t="s">
        <v>459</v>
      </c>
      <c r="P28" s="2" t="s">
        <v>483</v>
      </c>
    </row>
    <row r="29" spans="1:16" ht="15.6">
      <c r="A29" s="2" t="s">
        <v>770</v>
      </c>
      <c r="B29" s="2" t="s">
        <v>724</v>
      </c>
      <c r="C29" s="2" t="s">
        <v>489</v>
      </c>
      <c r="D29" s="2" t="s">
        <v>475</v>
      </c>
      <c r="E29" s="2" t="s">
        <v>451</v>
      </c>
      <c r="F29" s="2" t="s">
        <v>452</v>
      </c>
      <c r="G29" s="2" t="s">
        <v>453</v>
      </c>
      <c r="H29" s="2" t="s">
        <v>568</v>
      </c>
      <c r="I29" s="2" t="s">
        <v>455</v>
      </c>
      <c r="J29" s="2" t="s">
        <v>456</v>
      </c>
      <c r="K29" s="2" t="s">
        <v>575</v>
      </c>
      <c r="L29" s="2" t="s">
        <v>576</v>
      </c>
      <c r="M29" s="2" t="s">
        <v>459</v>
      </c>
      <c r="N29" s="2" t="s">
        <v>459</v>
      </c>
      <c r="O29" s="2" t="s">
        <v>459</v>
      </c>
      <c r="P29" s="2" t="s">
        <v>577</v>
      </c>
    </row>
    <row r="30" spans="1:16" ht="15.6">
      <c r="A30" s="2" t="s">
        <v>771</v>
      </c>
      <c r="B30" s="2" t="s">
        <v>724</v>
      </c>
      <c r="C30" s="2" t="s">
        <v>495</v>
      </c>
      <c r="D30" s="2" t="s">
        <v>482</v>
      </c>
      <c r="E30" s="2" t="s">
        <v>451</v>
      </c>
      <c r="F30" s="2" t="s">
        <v>452</v>
      </c>
      <c r="G30" s="2" t="s">
        <v>453</v>
      </c>
      <c r="H30" s="2" t="s">
        <v>517</v>
      </c>
      <c r="I30" s="2" t="s">
        <v>455</v>
      </c>
      <c r="J30" s="2" t="s">
        <v>456</v>
      </c>
      <c r="K30" s="2" t="s">
        <v>483</v>
      </c>
      <c r="L30" s="2" t="s">
        <v>459</v>
      </c>
      <c r="M30" s="2" t="s">
        <v>459</v>
      </c>
      <c r="N30" s="2" t="s">
        <v>459</v>
      </c>
      <c r="O30" s="2" t="s">
        <v>459</v>
      </c>
      <c r="P30" s="2" t="s">
        <v>483</v>
      </c>
    </row>
    <row r="31" spans="1:16" ht="15.6">
      <c r="A31" s="2" t="s">
        <v>772</v>
      </c>
      <c r="B31" s="2" t="s">
        <v>724</v>
      </c>
      <c r="C31" s="2" t="s">
        <v>489</v>
      </c>
      <c r="D31" s="2" t="s">
        <v>475</v>
      </c>
      <c r="E31" s="2" t="s">
        <v>451</v>
      </c>
      <c r="F31" s="2" t="s">
        <v>452</v>
      </c>
      <c r="G31" s="2" t="s">
        <v>453</v>
      </c>
      <c r="H31" s="2" t="s">
        <v>490</v>
      </c>
      <c r="I31" s="2" t="s">
        <v>455</v>
      </c>
      <c r="J31" s="2" t="s">
        <v>456</v>
      </c>
      <c r="K31" s="2" t="s">
        <v>773</v>
      </c>
      <c r="L31" s="2" t="s">
        <v>774</v>
      </c>
      <c r="M31" s="2" t="s">
        <v>459</v>
      </c>
      <c r="N31" s="2" t="s">
        <v>459</v>
      </c>
      <c r="O31" s="2" t="s">
        <v>459</v>
      </c>
      <c r="P31" s="2" t="s">
        <v>775</v>
      </c>
    </row>
    <row r="32" spans="1:16" ht="15.6">
      <c r="A32" s="2" t="s">
        <v>776</v>
      </c>
      <c r="B32" s="2" t="s">
        <v>724</v>
      </c>
      <c r="C32" s="2" t="s">
        <v>495</v>
      </c>
      <c r="D32" s="2" t="s">
        <v>482</v>
      </c>
      <c r="E32" s="2" t="s">
        <v>451</v>
      </c>
      <c r="F32" s="2" t="s">
        <v>452</v>
      </c>
      <c r="G32" s="2" t="s">
        <v>453</v>
      </c>
      <c r="H32" s="2" t="s">
        <v>496</v>
      </c>
      <c r="I32" s="2" t="s">
        <v>455</v>
      </c>
      <c r="J32" s="2" t="s">
        <v>456</v>
      </c>
      <c r="K32" s="2" t="s">
        <v>483</v>
      </c>
      <c r="L32" s="2" t="s">
        <v>777</v>
      </c>
      <c r="M32" s="2" t="s">
        <v>459</v>
      </c>
      <c r="N32" s="2" t="s">
        <v>459</v>
      </c>
      <c r="O32" s="2" t="s">
        <v>459</v>
      </c>
      <c r="P32" s="2" t="s">
        <v>778</v>
      </c>
    </row>
    <row r="33" spans="1:16" ht="15.6">
      <c r="A33" s="2" t="s">
        <v>779</v>
      </c>
      <c r="B33" s="2" t="s">
        <v>724</v>
      </c>
      <c r="C33" s="2" t="s">
        <v>780</v>
      </c>
      <c r="D33" s="2" t="s">
        <v>475</v>
      </c>
      <c r="E33" s="2" t="s">
        <v>451</v>
      </c>
      <c r="F33" s="2" t="s">
        <v>452</v>
      </c>
      <c r="G33" s="2" t="s">
        <v>453</v>
      </c>
      <c r="H33" s="2" t="s">
        <v>476</v>
      </c>
      <c r="I33" s="2" t="s">
        <v>455</v>
      </c>
      <c r="J33" s="2" t="s">
        <v>456</v>
      </c>
      <c r="K33" s="2" t="s">
        <v>575</v>
      </c>
      <c r="L33" s="2" t="s">
        <v>576</v>
      </c>
      <c r="M33" s="2" t="s">
        <v>459</v>
      </c>
      <c r="N33" s="2" t="s">
        <v>459</v>
      </c>
      <c r="O33" s="2" t="s">
        <v>459</v>
      </c>
      <c r="P33" s="2" t="s">
        <v>577</v>
      </c>
    </row>
    <row r="34" spans="1:16" ht="15.6">
      <c r="A34" s="2" t="s">
        <v>781</v>
      </c>
      <c r="B34" s="2" t="s">
        <v>724</v>
      </c>
      <c r="C34" s="2" t="s">
        <v>782</v>
      </c>
      <c r="D34" s="2" t="s">
        <v>482</v>
      </c>
      <c r="E34" s="2" t="s">
        <v>451</v>
      </c>
      <c r="F34" s="2" t="s">
        <v>452</v>
      </c>
      <c r="G34" s="2" t="s">
        <v>453</v>
      </c>
      <c r="H34" s="2" t="s">
        <v>454</v>
      </c>
      <c r="I34" s="2" t="s">
        <v>455</v>
      </c>
      <c r="J34" s="2" t="s">
        <v>456</v>
      </c>
      <c r="K34" s="2" t="s">
        <v>483</v>
      </c>
      <c r="L34" s="2" t="s">
        <v>459</v>
      </c>
      <c r="M34" s="2" t="s">
        <v>459</v>
      </c>
      <c r="N34" s="2" t="s">
        <v>459</v>
      </c>
      <c r="O34" s="2" t="s">
        <v>459</v>
      </c>
      <c r="P34" s="2" t="s">
        <v>483</v>
      </c>
    </row>
    <row r="36" spans="1:16" ht="15.6">
      <c r="A36" s="2" t="s">
        <v>522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6" ht="15.6">
      <c r="A37" s="2" t="s">
        <v>523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 t="s">
        <v>783</v>
      </c>
      <c r="M37" s="2"/>
      <c r="N37" s="2"/>
    </row>
    <row r="38" spans="1:16" ht="15.6">
      <c r="A38" s="2" t="s">
        <v>525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 t="s">
        <v>459</v>
      </c>
      <c r="M38" s="2"/>
      <c r="N38" s="2"/>
    </row>
    <row r="39" spans="1:16" ht="15.6">
      <c r="A39" s="2" t="s">
        <v>526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 t="s">
        <v>459</v>
      </c>
      <c r="M39" s="2"/>
      <c r="N39" s="2"/>
    </row>
    <row r="40" spans="1:16" ht="15.6">
      <c r="A40" s="2" t="s">
        <v>527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 t="s">
        <v>459</v>
      </c>
      <c r="M40" s="2"/>
      <c r="N40" s="2"/>
    </row>
    <row r="41" spans="1:16" ht="15.6">
      <c r="A41" s="2" t="s">
        <v>528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 t="s">
        <v>459</v>
      </c>
      <c r="M41" s="2"/>
      <c r="N41" s="2"/>
    </row>
    <row r="42" spans="1:16" ht="15.6">
      <c r="A42" s="2" t="s">
        <v>529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 t="s">
        <v>784</v>
      </c>
      <c r="M42" s="2"/>
      <c r="N42" s="2"/>
    </row>
    <row r="43" spans="1:16" ht="15.6">
      <c r="A43" s="2" t="s">
        <v>531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 t="s">
        <v>785</v>
      </c>
      <c r="M43" s="2"/>
      <c r="N43" s="2"/>
    </row>
    <row r="44" spans="1:16" ht="15.6">
      <c r="A44" s="2" t="s">
        <v>533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 t="s">
        <v>459</v>
      </c>
      <c r="M44" s="2"/>
      <c r="N44" s="2"/>
    </row>
    <row r="45" spans="1:16" ht="15.6">
      <c r="A45" s="2" t="s">
        <v>534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 t="s">
        <v>459</v>
      </c>
      <c r="M45" s="2"/>
      <c r="N45" s="2"/>
    </row>
    <row r="46" spans="1:16" ht="15.6">
      <c r="A46" s="2" t="s">
        <v>535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 t="s">
        <v>459</v>
      </c>
      <c r="M46" s="2"/>
      <c r="N46" s="2"/>
    </row>
    <row r="47" spans="1:16" ht="15.6">
      <c r="A47" s="2" t="s">
        <v>536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 t="s">
        <v>784</v>
      </c>
      <c r="M47" s="2"/>
      <c r="N47" s="2"/>
    </row>
  </sheetData>
  <autoFilter ref="A2:P34" xr:uid="{FE70BA3E-1B45-4BA4-AC81-B53D66739081}">
    <sortState xmlns:xlrd2="http://schemas.microsoft.com/office/spreadsheetml/2017/richdata2" ref="A3:P34">
      <sortCondition sortBy="cellColor" ref="D2:D34" dxfId="1"/>
    </sortState>
  </autoFilter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63E8-50C9-4A8B-AE42-40FDFCAAB265}">
  <dimension ref="A1:P25"/>
  <sheetViews>
    <sheetView topLeftCell="A10" workbookViewId="0">
      <selection activeCell="A4" sqref="A1:XFD1048576"/>
    </sheetView>
  </sheetViews>
  <sheetFormatPr defaultColWidth="9.140625" defaultRowHeight="14.45"/>
  <sheetData>
    <row r="1" spans="1:16" ht="15.6">
      <c r="A1" s="2" t="s">
        <v>432</v>
      </c>
      <c r="B1" s="2" t="s">
        <v>786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6">
      <c r="A2" s="2" t="s">
        <v>434</v>
      </c>
      <c r="B2" s="2" t="s">
        <v>435</v>
      </c>
      <c r="C2" s="2" t="s">
        <v>68</v>
      </c>
      <c r="D2" s="2" t="s">
        <v>436</v>
      </c>
      <c r="E2" s="2" t="s">
        <v>437</v>
      </c>
      <c r="F2" s="2" t="s">
        <v>438</v>
      </c>
      <c r="G2" s="2" t="s">
        <v>7</v>
      </c>
      <c r="H2" s="2" t="s">
        <v>439</v>
      </c>
      <c r="I2" s="2" t="s">
        <v>440</v>
      </c>
      <c r="J2" s="2" t="s">
        <v>441</v>
      </c>
      <c r="K2" s="2" t="s">
        <v>19</v>
      </c>
      <c r="L2" s="2" t="s">
        <v>442</v>
      </c>
      <c r="M2" s="2" t="s">
        <v>443</v>
      </c>
      <c r="N2" s="2" t="s">
        <v>444</v>
      </c>
      <c r="O2" s="2" t="s">
        <v>445</v>
      </c>
      <c r="P2" s="2" t="s">
        <v>446</v>
      </c>
    </row>
    <row r="3" spans="1:16" ht="15.6">
      <c r="A3" s="2" t="s">
        <v>787</v>
      </c>
      <c r="B3" s="2" t="s">
        <v>788</v>
      </c>
      <c r="C3" s="2" t="s">
        <v>789</v>
      </c>
      <c r="D3" s="2" t="s">
        <v>509</v>
      </c>
      <c r="E3" s="2" t="s">
        <v>510</v>
      </c>
      <c r="F3" s="2" t="s">
        <v>465</v>
      </c>
      <c r="G3" s="2" t="s">
        <v>790</v>
      </c>
      <c r="H3" s="2" t="s">
        <v>791</v>
      </c>
      <c r="I3" s="2" t="s">
        <v>455</v>
      </c>
      <c r="J3" s="2" t="s">
        <v>456</v>
      </c>
      <c r="K3" s="2" t="s">
        <v>792</v>
      </c>
      <c r="L3" s="2" t="s">
        <v>459</v>
      </c>
      <c r="M3" s="2" t="s">
        <v>459</v>
      </c>
      <c r="N3" s="2" t="s">
        <v>459</v>
      </c>
      <c r="O3" s="2" t="s">
        <v>459</v>
      </c>
      <c r="P3" s="2" t="s">
        <v>792</v>
      </c>
    </row>
    <row r="4" spans="1:16" ht="15.6">
      <c r="A4" s="2" t="s">
        <v>793</v>
      </c>
      <c r="B4" s="2" t="s">
        <v>788</v>
      </c>
      <c r="C4" s="2" t="s">
        <v>495</v>
      </c>
      <c r="D4" s="2" t="s">
        <v>482</v>
      </c>
      <c r="E4" s="2" t="s">
        <v>451</v>
      </c>
      <c r="F4" s="2" t="s">
        <v>452</v>
      </c>
      <c r="G4" s="2" t="s">
        <v>453</v>
      </c>
      <c r="H4" s="2" t="s">
        <v>517</v>
      </c>
      <c r="I4" s="2" t="s">
        <v>455</v>
      </c>
      <c r="J4" s="2" t="s">
        <v>456</v>
      </c>
      <c r="K4" s="2" t="s">
        <v>794</v>
      </c>
      <c r="L4" s="2" t="s">
        <v>459</v>
      </c>
      <c r="M4" s="2" t="s">
        <v>459</v>
      </c>
      <c r="N4" s="2" t="s">
        <v>459</v>
      </c>
      <c r="O4" s="2" t="s">
        <v>459</v>
      </c>
      <c r="P4" s="2" t="s">
        <v>794</v>
      </c>
    </row>
    <row r="5" spans="1:16" ht="15.6">
      <c r="A5" s="2" t="s">
        <v>795</v>
      </c>
      <c r="B5" s="2" t="s">
        <v>788</v>
      </c>
      <c r="C5" s="2" t="s">
        <v>500</v>
      </c>
      <c r="D5" s="2" t="s">
        <v>501</v>
      </c>
      <c r="E5" s="2" t="s">
        <v>451</v>
      </c>
      <c r="F5" s="2" t="s">
        <v>452</v>
      </c>
      <c r="G5" s="2" t="s">
        <v>453</v>
      </c>
      <c r="H5" s="2" t="s">
        <v>520</v>
      </c>
      <c r="I5" s="2" t="s">
        <v>455</v>
      </c>
      <c r="J5" s="2" t="s">
        <v>456</v>
      </c>
      <c r="K5" s="2" t="s">
        <v>502</v>
      </c>
      <c r="L5" s="2" t="s">
        <v>459</v>
      </c>
      <c r="M5" s="2" t="s">
        <v>459</v>
      </c>
      <c r="N5" s="2" t="s">
        <v>459</v>
      </c>
      <c r="O5" s="2" t="s">
        <v>459</v>
      </c>
      <c r="P5" s="2" t="s">
        <v>502</v>
      </c>
    </row>
    <row r="6" spans="1:16" ht="15.6">
      <c r="A6" s="2" t="s">
        <v>796</v>
      </c>
      <c r="B6" s="2" t="s">
        <v>788</v>
      </c>
      <c r="C6" s="2" t="s">
        <v>489</v>
      </c>
      <c r="D6" s="2" t="s">
        <v>475</v>
      </c>
      <c r="E6" s="2" t="s">
        <v>451</v>
      </c>
      <c r="F6" s="2" t="s">
        <v>452</v>
      </c>
      <c r="G6" s="2" t="s">
        <v>453</v>
      </c>
      <c r="H6" s="2" t="s">
        <v>490</v>
      </c>
      <c r="I6" s="2" t="s">
        <v>455</v>
      </c>
      <c r="J6" s="2" t="s">
        <v>456</v>
      </c>
      <c r="K6" s="2" t="s">
        <v>797</v>
      </c>
      <c r="L6" s="2" t="s">
        <v>798</v>
      </c>
      <c r="M6" s="2" t="s">
        <v>459</v>
      </c>
      <c r="N6" s="2" t="s">
        <v>459</v>
      </c>
      <c r="O6" s="2" t="s">
        <v>459</v>
      </c>
      <c r="P6" s="2" t="s">
        <v>799</v>
      </c>
    </row>
    <row r="7" spans="1:16" ht="15.6">
      <c r="A7" s="2" t="s">
        <v>800</v>
      </c>
      <c r="B7" s="2" t="s">
        <v>788</v>
      </c>
      <c r="C7" s="2" t="s">
        <v>495</v>
      </c>
      <c r="D7" s="2" t="s">
        <v>482</v>
      </c>
      <c r="E7" s="2" t="s">
        <v>451</v>
      </c>
      <c r="F7" s="2" t="s">
        <v>452</v>
      </c>
      <c r="G7" s="2" t="s">
        <v>453</v>
      </c>
      <c r="H7" s="2" t="s">
        <v>496</v>
      </c>
      <c r="I7" s="2" t="s">
        <v>455</v>
      </c>
      <c r="J7" s="2" t="s">
        <v>456</v>
      </c>
      <c r="K7" s="2" t="s">
        <v>483</v>
      </c>
      <c r="L7" s="2" t="s">
        <v>459</v>
      </c>
      <c r="M7" s="2" t="s">
        <v>459</v>
      </c>
      <c r="N7" s="2" t="s">
        <v>459</v>
      </c>
      <c r="O7" s="2" t="s">
        <v>459</v>
      </c>
      <c r="P7" s="2" t="s">
        <v>483</v>
      </c>
    </row>
    <row r="8" spans="1:16" ht="15.6">
      <c r="A8" s="2" t="s">
        <v>801</v>
      </c>
      <c r="B8" s="2" t="s">
        <v>788</v>
      </c>
      <c r="C8" s="2" t="s">
        <v>802</v>
      </c>
      <c r="D8" s="2" t="s">
        <v>450</v>
      </c>
      <c r="E8" s="2" t="s">
        <v>451</v>
      </c>
      <c r="F8" s="2" t="s">
        <v>452</v>
      </c>
      <c r="G8" s="2" t="s">
        <v>453</v>
      </c>
      <c r="H8" s="2" t="s">
        <v>486</v>
      </c>
      <c r="I8" s="2" t="s">
        <v>455</v>
      </c>
      <c r="J8" s="2" t="s">
        <v>456</v>
      </c>
      <c r="K8" s="2" t="s">
        <v>487</v>
      </c>
      <c r="L8" s="2" t="s">
        <v>459</v>
      </c>
      <c r="M8" s="2" t="s">
        <v>459</v>
      </c>
      <c r="N8" s="2" t="s">
        <v>459</v>
      </c>
      <c r="O8" s="2" t="s">
        <v>459</v>
      </c>
      <c r="P8" s="2" t="s">
        <v>487</v>
      </c>
    </row>
    <row r="9" spans="1:16" ht="15.6">
      <c r="A9" s="2" t="s">
        <v>803</v>
      </c>
      <c r="B9" s="2" t="s">
        <v>788</v>
      </c>
      <c r="C9" s="2" t="s">
        <v>500</v>
      </c>
      <c r="D9" s="2" t="s">
        <v>501</v>
      </c>
      <c r="E9" s="2" t="s">
        <v>451</v>
      </c>
      <c r="F9" s="2" t="s">
        <v>452</v>
      </c>
      <c r="G9" s="2" t="s">
        <v>453</v>
      </c>
      <c r="H9" s="2" t="s">
        <v>486</v>
      </c>
      <c r="I9" s="2" t="s">
        <v>455</v>
      </c>
      <c r="J9" s="2" t="s">
        <v>456</v>
      </c>
      <c r="K9" s="2" t="s">
        <v>502</v>
      </c>
      <c r="L9" s="2" t="s">
        <v>459</v>
      </c>
      <c r="M9" s="2" t="s">
        <v>459</v>
      </c>
      <c r="N9" s="2" t="s">
        <v>459</v>
      </c>
      <c r="O9" s="2" t="s">
        <v>459</v>
      </c>
      <c r="P9" s="2" t="s">
        <v>502</v>
      </c>
    </row>
    <row r="10" spans="1:16" ht="15.6">
      <c r="A10" s="2" t="s">
        <v>804</v>
      </c>
      <c r="B10" s="2" t="s">
        <v>788</v>
      </c>
      <c r="C10" s="2" t="s">
        <v>805</v>
      </c>
      <c r="D10" s="2" t="s">
        <v>475</v>
      </c>
      <c r="E10" s="2" t="s">
        <v>451</v>
      </c>
      <c r="F10" s="2" t="s">
        <v>452</v>
      </c>
      <c r="G10" s="2" t="s">
        <v>453</v>
      </c>
      <c r="H10" s="2" t="s">
        <v>476</v>
      </c>
      <c r="I10" s="2" t="s">
        <v>455</v>
      </c>
      <c r="J10" s="2" t="s">
        <v>456</v>
      </c>
      <c r="K10" s="2" t="s">
        <v>575</v>
      </c>
      <c r="L10" s="2" t="s">
        <v>576</v>
      </c>
      <c r="M10" s="2" t="s">
        <v>459</v>
      </c>
      <c r="N10" s="2" t="s">
        <v>459</v>
      </c>
      <c r="O10" s="2" t="s">
        <v>459</v>
      </c>
      <c r="P10" s="2" t="s">
        <v>577</v>
      </c>
    </row>
    <row r="11" spans="1:16" ht="15.6">
      <c r="A11" s="2" t="s">
        <v>806</v>
      </c>
      <c r="B11" s="2" t="s">
        <v>788</v>
      </c>
      <c r="C11" s="2" t="s">
        <v>807</v>
      </c>
      <c r="D11" s="2" t="s">
        <v>482</v>
      </c>
      <c r="E11" s="2" t="s">
        <v>451</v>
      </c>
      <c r="F11" s="2" t="s">
        <v>452</v>
      </c>
      <c r="G11" s="2" t="s">
        <v>453</v>
      </c>
      <c r="H11" s="2" t="s">
        <v>454</v>
      </c>
      <c r="I11" s="2" t="s">
        <v>455</v>
      </c>
      <c r="J11" s="2" t="s">
        <v>456</v>
      </c>
      <c r="K11" s="2" t="s">
        <v>483</v>
      </c>
      <c r="L11" s="2" t="s">
        <v>459</v>
      </c>
      <c r="M11" s="2" t="s">
        <v>459</v>
      </c>
      <c r="N11" s="2" t="s">
        <v>459</v>
      </c>
      <c r="O11" s="2" t="s">
        <v>459</v>
      </c>
      <c r="P11" s="2" t="s">
        <v>483</v>
      </c>
    </row>
    <row r="12" spans="1:16" ht="15.6">
      <c r="A12" s="2" t="s">
        <v>808</v>
      </c>
      <c r="B12" s="2" t="s">
        <v>788</v>
      </c>
      <c r="C12" s="2" t="s">
        <v>809</v>
      </c>
      <c r="D12" s="2" t="s">
        <v>450</v>
      </c>
      <c r="E12" s="2" t="s">
        <v>451</v>
      </c>
      <c r="F12" s="2" t="s">
        <v>452</v>
      </c>
      <c r="G12" s="2" t="s">
        <v>453</v>
      </c>
      <c r="H12" s="2" t="s">
        <v>454</v>
      </c>
      <c r="I12" s="2" t="s">
        <v>455</v>
      </c>
      <c r="J12" s="2" t="s">
        <v>456</v>
      </c>
      <c r="K12" s="2" t="s">
        <v>457</v>
      </c>
      <c r="L12" s="2" t="s">
        <v>458</v>
      </c>
      <c r="M12" s="2" t="s">
        <v>459</v>
      </c>
      <c r="N12" s="2" t="s">
        <v>459</v>
      </c>
      <c r="O12" s="2" t="s">
        <v>459</v>
      </c>
      <c r="P12" s="2" t="s">
        <v>460</v>
      </c>
    </row>
    <row r="13" spans="1:16" ht="15.6">
      <c r="A13" s="2" t="s">
        <v>810</v>
      </c>
      <c r="B13" s="2" t="s">
        <v>788</v>
      </c>
      <c r="C13" s="2" t="s">
        <v>500</v>
      </c>
      <c r="D13" s="2" t="s">
        <v>501</v>
      </c>
      <c r="E13" s="2" t="s">
        <v>451</v>
      </c>
      <c r="F13" s="2" t="s">
        <v>452</v>
      </c>
      <c r="G13" s="2" t="s">
        <v>453</v>
      </c>
      <c r="H13" s="2" t="s">
        <v>590</v>
      </c>
      <c r="I13" s="2" t="s">
        <v>455</v>
      </c>
      <c r="J13" s="2" t="s">
        <v>456</v>
      </c>
      <c r="K13" s="2" t="s">
        <v>502</v>
      </c>
      <c r="L13" s="2" t="s">
        <v>459</v>
      </c>
      <c r="M13" s="2" t="s">
        <v>459</v>
      </c>
      <c r="N13" s="2" t="s">
        <v>459</v>
      </c>
      <c r="O13" s="2" t="s">
        <v>459</v>
      </c>
      <c r="P13" s="2" t="s">
        <v>502</v>
      </c>
    </row>
    <row r="14" spans="1:16" ht="15.6">
      <c r="A14" s="2" t="s">
        <v>522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.6">
      <c r="A15" s="2" t="s">
        <v>523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 t="s">
        <v>619</v>
      </c>
      <c r="M15" s="2"/>
      <c r="N15" s="2"/>
      <c r="O15" s="2"/>
      <c r="P15" s="2"/>
    </row>
    <row r="16" spans="1:16" ht="15.6">
      <c r="A16" s="2" t="s">
        <v>525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 t="s">
        <v>459</v>
      </c>
      <c r="M16" s="2"/>
      <c r="N16" s="2"/>
      <c r="O16" s="2"/>
      <c r="P16" s="2"/>
    </row>
    <row r="17" spans="1:12" ht="15.6">
      <c r="A17" s="2" t="s">
        <v>526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 t="s">
        <v>459</v>
      </c>
    </row>
    <row r="18" spans="1:12" ht="15.6">
      <c r="A18" s="2" t="s">
        <v>527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 t="s">
        <v>459</v>
      </c>
    </row>
    <row r="19" spans="1:12" ht="15.6">
      <c r="A19" s="2" t="s">
        <v>528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459</v>
      </c>
    </row>
    <row r="20" spans="1:12" ht="15.6">
      <c r="A20" s="2" t="s">
        <v>529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 t="s">
        <v>811</v>
      </c>
    </row>
    <row r="21" spans="1:12" ht="15.6">
      <c r="A21" s="2" t="s">
        <v>531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 t="s">
        <v>812</v>
      </c>
    </row>
    <row r="22" spans="1:12" ht="15.6">
      <c r="A22" s="2" t="s">
        <v>533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459</v>
      </c>
    </row>
    <row r="23" spans="1:12" ht="15.6">
      <c r="A23" s="2" t="s">
        <v>534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 t="s">
        <v>459</v>
      </c>
    </row>
    <row r="24" spans="1:12" ht="15.6">
      <c r="A24" s="2" t="s">
        <v>535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 t="s">
        <v>459</v>
      </c>
    </row>
    <row r="25" spans="1:12" ht="15.6">
      <c r="A25" s="2" t="s">
        <v>536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 t="s">
        <v>811</v>
      </c>
    </row>
  </sheetData>
  <autoFilter ref="A2:P25" xr:uid="{712663E8-50C9-4A8B-AE42-40FDFCAAB265}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4C88-4B1A-45B2-8C3F-07C5F19EB093}">
  <dimension ref="A1:P47"/>
  <sheetViews>
    <sheetView workbookViewId="0">
      <selection activeCell="H3" sqref="H3:P3"/>
    </sheetView>
  </sheetViews>
  <sheetFormatPr defaultRowHeight="14.45"/>
  <cols>
    <col min="2" max="2" width="21.42578125" customWidth="1"/>
    <col min="7" max="7" width="14" customWidth="1"/>
  </cols>
  <sheetData>
    <row r="1" spans="1:16" ht="15.6">
      <c r="A1" s="2" t="s">
        <v>432</v>
      </c>
      <c r="B1" s="2" t="s">
        <v>813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6">
      <c r="A2" s="2" t="s">
        <v>434</v>
      </c>
      <c r="B2" s="2" t="s">
        <v>435</v>
      </c>
      <c r="C2" s="2" t="s">
        <v>68</v>
      </c>
      <c r="D2" s="2" t="s">
        <v>436</v>
      </c>
      <c r="E2" s="2" t="s">
        <v>437</v>
      </c>
      <c r="F2" s="2" t="s">
        <v>438</v>
      </c>
      <c r="G2" s="2" t="s">
        <v>7</v>
      </c>
      <c r="H2" s="2" t="s">
        <v>439</v>
      </c>
      <c r="I2" s="2" t="s">
        <v>440</v>
      </c>
      <c r="J2" s="2" t="s">
        <v>441</v>
      </c>
      <c r="K2" s="2" t="s">
        <v>19</v>
      </c>
      <c r="L2" s="2" t="s">
        <v>442</v>
      </c>
      <c r="M2" s="2" t="s">
        <v>443</v>
      </c>
      <c r="N2" s="2" t="s">
        <v>444</v>
      </c>
      <c r="O2" s="2" t="s">
        <v>445</v>
      </c>
      <c r="P2" s="2" t="s">
        <v>446</v>
      </c>
    </row>
    <row r="3" spans="1:16" ht="15.6">
      <c r="A3" s="2" t="s">
        <v>814</v>
      </c>
      <c r="B3" s="2" t="s">
        <v>815</v>
      </c>
      <c r="C3" s="2" t="s">
        <v>500</v>
      </c>
      <c r="D3" s="2" t="s">
        <v>501</v>
      </c>
      <c r="E3" s="2" t="s">
        <v>451</v>
      </c>
      <c r="F3" s="2" t="s">
        <v>540</v>
      </c>
      <c r="G3" s="2" t="s">
        <v>453</v>
      </c>
      <c r="H3" s="2" t="s">
        <v>544</v>
      </c>
      <c r="I3" s="2" t="s">
        <v>455</v>
      </c>
      <c r="J3" s="2" t="s">
        <v>456</v>
      </c>
      <c r="K3" s="2" t="s">
        <v>502</v>
      </c>
      <c r="L3" s="2" t="s">
        <v>459</v>
      </c>
      <c r="M3" s="2" t="s">
        <v>459</v>
      </c>
      <c r="N3" s="2" t="s">
        <v>459</v>
      </c>
      <c r="O3" s="2" t="s">
        <v>459</v>
      </c>
      <c r="P3" s="2" t="s">
        <v>502</v>
      </c>
    </row>
    <row r="4" spans="1:16" ht="15.6">
      <c r="A4" s="2" t="s">
        <v>816</v>
      </c>
      <c r="B4" s="2" t="s">
        <v>815</v>
      </c>
      <c r="C4" s="2" t="s">
        <v>495</v>
      </c>
      <c r="D4" s="2" t="s">
        <v>482</v>
      </c>
      <c r="E4" s="2" t="s">
        <v>451</v>
      </c>
      <c r="F4" s="2" t="s">
        <v>540</v>
      </c>
      <c r="G4" s="2" t="s">
        <v>453</v>
      </c>
      <c r="H4" s="2" t="s">
        <v>546</v>
      </c>
      <c r="I4" s="2" t="s">
        <v>455</v>
      </c>
      <c r="J4" s="2" t="s">
        <v>456</v>
      </c>
      <c r="K4" s="2" t="s">
        <v>547</v>
      </c>
      <c r="L4" s="2" t="s">
        <v>459</v>
      </c>
      <c r="M4" s="2" t="s">
        <v>459</v>
      </c>
      <c r="N4" s="2" t="s">
        <v>459</v>
      </c>
      <c r="O4" s="2" t="s">
        <v>459</v>
      </c>
      <c r="P4" s="2" t="s">
        <v>547</v>
      </c>
    </row>
    <row r="5" spans="1:16" ht="15.6">
      <c r="A5" s="2" t="s">
        <v>817</v>
      </c>
      <c r="B5" s="2" t="s">
        <v>815</v>
      </c>
      <c r="C5" s="2" t="s">
        <v>818</v>
      </c>
      <c r="D5" s="2" t="s">
        <v>505</v>
      </c>
      <c r="E5" s="2" t="s">
        <v>451</v>
      </c>
      <c r="F5" s="2" t="s">
        <v>540</v>
      </c>
      <c r="G5" s="2" t="s">
        <v>453</v>
      </c>
      <c r="H5" s="2" t="s">
        <v>819</v>
      </c>
      <c r="I5" s="2" t="s">
        <v>455</v>
      </c>
      <c r="J5" s="2" t="s">
        <v>456</v>
      </c>
      <c r="K5" s="2" t="s">
        <v>820</v>
      </c>
      <c r="L5" s="2" t="s">
        <v>459</v>
      </c>
      <c r="M5" s="2" t="s">
        <v>459</v>
      </c>
      <c r="N5" s="2" t="s">
        <v>459</v>
      </c>
      <c r="O5" s="2" t="s">
        <v>459</v>
      </c>
      <c r="P5" s="2" t="s">
        <v>820</v>
      </c>
    </row>
    <row r="6" spans="1:16" ht="15.6">
      <c r="A6" s="2" t="s">
        <v>821</v>
      </c>
      <c r="B6" s="2" t="s">
        <v>815</v>
      </c>
      <c r="C6" s="2" t="s">
        <v>500</v>
      </c>
      <c r="D6" s="2" t="s">
        <v>501</v>
      </c>
      <c r="E6" s="2" t="s">
        <v>451</v>
      </c>
      <c r="F6" s="2" t="s">
        <v>540</v>
      </c>
      <c r="G6" s="2" t="s">
        <v>453</v>
      </c>
      <c r="H6" s="2" t="s">
        <v>550</v>
      </c>
      <c r="I6" s="2" t="s">
        <v>455</v>
      </c>
      <c r="J6" s="2" t="s">
        <v>456</v>
      </c>
      <c r="K6" s="2" t="s">
        <v>502</v>
      </c>
      <c r="L6" s="2" t="s">
        <v>459</v>
      </c>
      <c r="M6" s="2" t="s">
        <v>459</v>
      </c>
      <c r="N6" s="2" t="s">
        <v>459</v>
      </c>
      <c r="O6" s="2" t="s">
        <v>459</v>
      </c>
      <c r="P6" s="2" t="s">
        <v>502</v>
      </c>
    </row>
    <row r="7" spans="1:16" ht="15.6">
      <c r="A7" s="2" t="s">
        <v>822</v>
      </c>
      <c r="B7" s="2" t="s">
        <v>815</v>
      </c>
      <c r="C7" s="2" t="s">
        <v>489</v>
      </c>
      <c r="D7" s="2" t="s">
        <v>475</v>
      </c>
      <c r="E7" s="2" t="s">
        <v>451</v>
      </c>
      <c r="F7" s="2" t="s">
        <v>540</v>
      </c>
      <c r="G7" s="2" t="s">
        <v>453</v>
      </c>
      <c r="H7" s="2" t="s">
        <v>747</v>
      </c>
      <c r="I7" s="2" t="s">
        <v>455</v>
      </c>
      <c r="J7" s="2" t="s">
        <v>456</v>
      </c>
      <c r="K7" s="2" t="s">
        <v>823</v>
      </c>
      <c r="L7" s="2" t="s">
        <v>824</v>
      </c>
      <c r="M7" s="2" t="s">
        <v>459</v>
      </c>
      <c r="N7" s="2" t="s">
        <v>459</v>
      </c>
      <c r="O7" s="2" t="s">
        <v>459</v>
      </c>
      <c r="P7" s="2" t="s">
        <v>825</v>
      </c>
    </row>
    <row r="8" spans="1:16" ht="15.6">
      <c r="A8" s="2" t="s">
        <v>826</v>
      </c>
      <c r="B8" s="2" t="s">
        <v>815</v>
      </c>
      <c r="C8" s="2" t="s">
        <v>495</v>
      </c>
      <c r="D8" s="2" t="s">
        <v>482</v>
      </c>
      <c r="E8" s="2" t="s">
        <v>451</v>
      </c>
      <c r="F8" s="2" t="s">
        <v>540</v>
      </c>
      <c r="G8" s="2" t="s">
        <v>453</v>
      </c>
      <c r="H8" s="2" t="s">
        <v>752</v>
      </c>
      <c r="I8" s="2" t="s">
        <v>455</v>
      </c>
      <c r="J8" s="2" t="s">
        <v>456</v>
      </c>
      <c r="K8" s="2" t="s">
        <v>483</v>
      </c>
      <c r="L8" s="2" t="s">
        <v>459</v>
      </c>
      <c r="M8" s="2" t="s">
        <v>459</v>
      </c>
      <c r="N8" s="2" t="s">
        <v>459</v>
      </c>
      <c r="O8" s="2" t="s">
        <v>459</v>
      </c>
      <c r="P8" s="2" t="s">
        <v>483</v>
      </c>
    </row>
    <row r="9" spans="1:16" ht="15.6">
      <c r="A9" s="2" t="s">
        <v>827</v>
      </c>
      <c r="B9" s="2" t="s">
        <v>815</v>
      </c>
      <c r="C9" s="2" t="s">
        <v>500</v>
      </c>
      <c r="D9" s="2" t="s">
        <v>501</v>
      </c>
      <c r="E9" s="2" t="s">
        <v>451</v>
      </c>
      <c r="F9" s="2" t="s">
        <v>452</v>
      </c>
      <c r="G9" s="2" t="s">
        <v>453</v>
      </c>
      <c r="H9" s="2" t="s">
        <v>727</v>
      </c>
      <c r="I9" s="2" t="s">
        <v>455</v>
      </c>
      <c r="J9" s="2" t="s">
        <v>456</v>
      </c>
      <c r="K9" s="2" t="s">
        <v>502</v>
      </c>
      <c r="L9" s="2" t="s">
        <v>459</v>
      </c>
      <c r="M9" s="2" t="s">
        <v>459</v>
      </c>
      <c r="N9" s="2" t="s">
        <v>459</v>
      </c>
      <c r="O9" s="2" t="s">
        <v>459</v>
      </c>
      <c r="P9" s="2" t="s">
        <v>502</v>
      </c>
    </row>
    <row r="10" spans="1:16" ht="15.6">
      <c r="A10" s="2" t="s">
        <v>828</v>
      </c>
      <c r="B10" s="2" t="s">
        <v>815</v>
      </c>
      <c r="C10" s="2" t="s">
        <v>829</v>
      </c>
      <c r="D10" s="2" t="s">
        <v>475</v>
      </c>
      <c r="E10" s="2" t="s">
        <v>451</v>
      </c>
      <c r="F10" s="2" t="s">
        <v>452</v>
      </c>
      <c r="G10" s="2" t="s">
        <v>453</v>
      </c>
      <c r="H10" s="2" t="s">
        <v>754</v>
      </c>
      <c r="I10" s="2" t="s">
        <v>455</v>
      </c>
      <c r="J10" s="2" t="s">
        <v>456</v>
      </c>
      <c r="K10" s="2" t="s">
        <v>830</v>
      </c>
      <c r="L10" s="2" t="s">
        <v>831</v>
      </c>
      <c r="M10" s="2" t="s">
        <v>459</v>
      </c>
      <c r="N10" s="2" t="s">
        <v>459</v>
      </c>
      <c r="O10" s="2" t="s">
        <v>459</v>
      </c>
      <c r="P10" s="2" t="s">
        <v>832</v>
      </c>
    </row>
    <row r="11" spans="1:16" ht="15.6">
      <c r="A11" s="2" t="s">
        <v>833</v>
      </c>
      <c r="B11" s="2" t="s">
        <v>815</v>
      </c>
      <c r="C11" s="2" t="s">
        <v>495</v>
      </c>
      <c r="D11" s="2" t="s">
        <v>482</v>
      </c>
      <c r="E11" s="2" t="s">
        <v>451</v>
      </c>
      <c r="F11" s="2" t="s">
        <v>452</v>
      </c>
      <c r="G11" s="2" t="s">
        <v>453</v>
      </c>
      <c r="H11" s="2" t="s">
        <v>756</v>
      </c>
      <c r="I11" s="2" t="s">
        <v>455</v>
      </c>
      <c r="J11" s="2" t="s">
        <v>456</v>
      </c>
      <c r="K11" s="2" t="s">
        <v>483</v>
      </c>
      <c r="L11" s="2" t="s">
        <v>459</v>
      </c>
      <c r="M11" s="2" t="s">
        <v>459</v>
      </c>
      <c r="N11" s="2" t="s">
        <v>459</v>
      </c>
      <c r="O11" s="2" t="s">
        <v>459</v>
      </c>
      <c r="P11" s="2" t="s">
        <v>483</v>
      </c>
    </row>
    <row r="12" spans="1:16" ht="15.6">
      <c r="A12" s="2" t="s">
        <v>834</v>
      </c>
      <c r="B12" s="2" t="s">
        <v>815</v>
      </c>
      <c r="C12" s="2" t="s">
        <v>500</v>
      </c>
      <c r="D12" s="2" t="s">
        <v>501</v>
      </c>
      <c r="E12" s="2" t="s">
        <v>451</v>
      </c>
      <c r="F12" s="2" t="s">
        <v>452</v>
      </c>
      <c r="G12" s="2" t="s">
        <v>453</v>
      </c>
      <c r="H12" s="2" t="s">
        <v>662</v>
      </c>
      <c r="I12" s="2" t="s">
        <v>455</v>
      </c>
      <c r="J12" s="2" t="s">
        <v>456</v>
      </c>
      <c r="K12" s="2" t="s">
        <v>502</v>
      </c>
      <c r="L12" s="2" t="s">
        <v>459</v>
      </c>
      <c r="M12" s="2" t="s">
        <v>459</v>
      </c>
      <c r="N12" s="2" t="s">
        <v>459</v>
      </c>
      <c r="O12" s="2" t="s">
        <v>459</v>
      </c>
      <c r="P12" s="2" t="s">
        <v>502</v>
      </c>
    </row>
    <row r="13" spans="1:16" ht="15.6">
      <c r="A13" s="2" t="s">
        <v>835</v>
      </c>
      <c r="B13" s="2" t="s">
        <v>815</v>
      </c>
      <c r="C13" s="2" t="s">
        <v>489</v>
      </c>
      <c r="D13" s="2" t="s">
        <v>475</v>
      </c>
      <c r="E13" s="2" t="s">
        <v>451</v>
      </c>
      <c r="F13" s="2" t="s">
        <v>452</v>
      </c>
      <c r="G13" s="2" t="s">
        <v>453</v>
      </c>
      <c r="H13" s="2" t="s">
        <v>665</v>
      </c>
      <c r="I13" s="2" t="s">
        <v>455</v>
      </c>
      <c r="J13" s="2" t="s">
        <v>456</v>
      </c>
      <c r="K13" s="2" t="s">
        <v>575</v>
      </c>
      <c r="L13" s="2" t="s">
        <v>576</v>
      </c>
      <c r="M13" s="2" t="s">
        <v>459</v>
      </c>
      <c r="N13" s="2" t="s">
        <v>459</v>
      </c>
      <c r="O13" s="2" t="s">
        <v>459</v>
      </c>
      <c r="P13" s="2" t="s">
        <v>577</v>
      </c>
    </row>
    <row r="14" spans="1:16" ht="15.6">
      <c r="A14" s="2" t="s">
        <v>836</v>
      </c>
      <c r="B14" s="2" t="s">
        <v>815</v>
      </c>
      <c r="C14" s="2" t="s">
        <v>495</v>
      </c>
      <c r="D14" s="2" t="s">
        <v>482</v>
      </c>
      <c r="E14" s="2" t="s">
        <v>451</v>
      </c>
      <c r="F14" s="2" t="s">
        <v>452</v>
      </c>
      <c r="G14" s="2" t="s">
        <v>453</v>
      </c>
      <c r="H14" s="2" t="s">
        <v>669</v>
      </c>
      <c r="I14" s="2" t="s">
        <v>455</v>
      </c>
      <c r="J14" s="2" t="s">
        <v>456</v>
      </c>
      <c r="K14" s="2" t="s">
        <v>483</v>
      </c>
      <c r="L14" s="2" t="s">
        <v>459</v>
      </c>
      <c r="M14" s="2" t="s">
        <v>459</v>
      </c>
      <c r="N14" s="2" t="s">
        <v>459</v>
      </c>
      <c r="O14" s="2" t="s">
        <v>459</v>
      </c>
      <c r="P14" s="2" t="s">
        <v>483</v>
      </c>
    </row>
    <row r="15" spans="1:16" ht="15.6">
      <c r="A15" s="2" t="s">
        <v>837</v>
      </c>
      <c r="B15" s="2" t="s">
        <v>815</v>
      </c>
      <c r="C15" s="2" t="s">
        <v>500</v>
      </c>
      <c r="D15" s="2" t="s">
        <v>501</v>
      </c>
      <c r="E15" s="2" t="s">
        <v>451</v>
      </c>
      <c r="F15" s="2" t="s">
        <v>452</v>
      </c>
      <c r="G15" s="2" t="s">
        <v>453</v>
      </c>
      <c r="H15" s="2" t="s">
        <v>671</v>
      </c>
      <c r="I15" s="2" t="s">
        <v>455</v>
      </c>
      <c r="J15" s="2" t="s">
        <v>456</v>
      </c>
      <c r="K15" s="2" t="s">
        <v>502</v>
      </c>
      <c r="L15" s="2" t="s">
        <v>459</v>
      </c>
      <c r="M15" s="2" t="s">
        <v>459</v>
      </c>
      <c r="N15" s="2" t="s">
        <v>459</v>
      </c>
      <c r="O15" s="2" t="s">
        <v>459</v>
      </c>
      <c r="P15" s="2" t="s">
        <v>502</v>
      </c>
    </row>
    <row r="16" spans="1:16" ht="15.6">
      <c r="A16" s="2" t="s">
        <v>838</v>
      </c>
      <c r="B16" s="2" t="s">
        <v>815</v>
      </c>
      <c r="C16" s="2" t="s">
        <v>489</v>
      </c>
      <c r="D16" s="2" t="s">
        <v>475</v>
      </c>
      <c r="E16" s="2" t="s">
        <v>451</v>
      </c>
      <c r="F16" s="2" t="s">
        <v>452</v>
      </c>
      <c r="G16" s="2" t="s">
        <v>453</v>
      </c>
      <c r="H16" s="2" t="s">
        <v>673</v>
      </c>
      <c r="I16" s="2" t="s">
        <v>455</v>
      </c>
      <c r="J16" s="2" t="s">
        <v>456</v>
      </c>
      <c r="K16" s="2" t="s">
        <v>839</v>
      </c>
      <c r="L16" s="2" t="s">
        <v>840</v>
      </c>
      <c r="M16" s="2" t="s">
        <v>459</v>
      </c>
      <c r="N16" s="2" t="s">
        <v>459</v>
      </c>
      <c r="O16" s="2" t="s">
        <v>459</v>
      </c>
      <c r="P16" s="2" t="s">
        <v>841</v>
      </c>
    </row>
    <row r="17" spans="1:16" ht="15.6">
      <c r="A17" s="2" t="s">
        <v>842</v>
      </c>
      <c r="B17" s="2" t="s">
        <v>815</v>
      </c>
      <c r="C17" s="2" t="s">
        <v>495</v>
      </c>
      <c r="D17" s="2" t="s">
        <v>482</v>
      </c>
      <c r="E17" s="2" t="s">
        <v>451</v>
      </c>
      <c r="F17" s="2" t="s">
        <v>452</v>
      </c>
      <c r="G17" s="2" t="s">
        <v>453</v>
      </c>
      <c r="H17" s="2" t="s">
        <v>677</v>
      </c>
      <c r="I17" s="2" t="s">
        <v>455</v>
      </c>
      <c r="J17" s="2" t="s">
        <v>456</v>
      </c>
      <c r="K17" s="2" t="s">
        <v>483</v>
      </c>
      <c r="L17" s="2" t="s">
        <v>459</v>
      </c>
      <c r="M17" s="2" t="s">
        <v>459</v>
      </c>
      <c r="N17" s="2" t="s">
        <v>459</v>
      </c>
      <c r="O17" s="2" t="s">
        <v>459</v>
      </c>
      <c r="P17" s="2" t="s">
        <v>483</v>
      </c>
    </row>
    <row r="18" spans="1:16" ht="15.6">
      <c r="A18" s="2" t="s">
        <v>843</v>
      </c>
      <c r="B18" s="2" t="s">
        <v>815</v>
      </c>
      <c r="C18" s="2" t="s">
        <v>500</v>
      </c>
      <c r="D18" s="2" t="s">
        <v>501</v>
      </c>
      <c r="E18" s="2" t="s">
        <v>451</v>
      </c>
      <c r="F18" s="2" t="s">
        <v>452</v>
      </c>
      <c r="G18" s="2" t="s">
        <v>453</v>
      </c>
      <c r="H18" s="2" t="s">
        <v>679</v>
      </c>
      <c r="I18" s="2" t="s">
        <v>455</v>
      </c>
      <c r="J18" s="2" t="s">
        <v>456</v>
      </c>
      <c r="K18" s="2" t="s">
        <v>502</v>
      </c>
      <c r="L18" s="2" t="s">
        <v>459</v>
      </c>
      <c r="M18" s="2" t="s">
        <v>459</v>
      </c>
      <c r="N18" s="2" t="s">
        <v>459</v>
      </c>
      <c r="O18" s="2" t="s">
        <v>459</v>
      </c>
      <c r="P18" s="2" t="s">
        <v>502</v>
      </c>
    </row>
    <row r="19" spans="1:16" ht="15.6">
      <c r="A19" s="2" t="s">
        <v>844</v>
      </c>
      <c r="B19" s="2" t="s">
        <v>815</v>
      </c>
      <c r="C19" s="2" t="s">
        <v>489</v>
      </c>
      <c r="D19" s="2" t="s">
        <v>475</v>
      </c>
      <c r="E19" s="2" t="s">
        <v>451</v>
      </c>
      <c r="F19" s="2" t="s">
        <v>452</v>
      </c>
      <c r="G19" s="2" t="s">
        <v>453</v>
      </c>
      <c r="H19" s="2" t="s">
        <v>681</v>
      </c>
      <c r="I19" s="2" t="s">
        <v>455</v>
      </c>
      <c r="J19" s="2" t="s">
        <v>456</v>
      </c>
      <c r="K19" s="2" t="s">
        <v>845</v>
      </c>
      <c r="L19" s="2" t="s">
        <v>846</v>
      </c>
      <c r="M19" s="2" t="s">
        <v>459</v>
      </c>
      <c r="N19" s="2" t="s">
        <v>459</v>
      </c>
      <c r="O19" s="2" t="s">
        <v>459</v>
      </c>
      <c r="P19" s="2" t="s">
        <v>847</v>
      </c>
    </row>
    <row r="20" spans="1:16" ht="15.6">
      <c r="A20" s="2" t="s">
        <v>848</v>
      </c>
      <c r="B20" s="2" t="s">
        <v>815</v>
      </c>
      <c r="C20" s="2" t="s">
        <v>495</v>
      </c>
      <c r="D20" s="2" t="s">
        <v>482</v>
      </c>
      <c r="E20" s="2" t="s">
        <v>451</v>
      </c>
      <c r="F20" s="2" t="s">
        <v>452</v>
      </c>
      <c r="G20" s="2" t="s">
        <v>453</v>
      </c>
      <c r="H20" s="2" t="s">
        <v>686</v>
      </c>
      <c r="I20" s="2" t="s">
        <v>455</v>
      </c>
      <c r="J20" s="2" t="s">
        <v>456</v>
      </c>
      <c r="K20" s="2" t="s">
        <v>483</v>
      </c>
      <c r="L20" s="2" t="s">
        <v>849</v>
      </c>
      <c r="M20" s="2" t="s">
        <v>459</v>
      </c>
      <c r="N20" s="2" t="s">
        <v>459</v>
      </c>
      <c r="O20" s="2" t="s">
        <v>459</v>
      </c>
      <c r="P20" s="2" t="s">
        <v>850</v>
      </c>
    </row>
    <row r="21" spans="1:16" ht="15.6">
      <c r="A21" s="2" t="s">
        <v>851</v>
      </c>
      <c r="B21" s="2" t="s">
        <v>815</v>
      </c>
      <c r="C21" s="2" t="s">
        <v>500</v>
      </c>
      <c r="D21" s="2" t="s">
        <v>501</v>
      </c>
      <c r="E21" s="2" t="s">
        <v>451</v>
      </c>
      <c r="F21" s="2" t="s">
        <v>452</v>
      </c>
      <c r="G21" s="2" t="s">
        <v>453</v>
      </c>
      <c r="H21" s="2" t="s">
        <v>690</v>
      </c>
      <c r="I21" s="2" t="s">
        <v>455</v>
      </c>
      <c r="J21" s="2" t="s">
        <v>456</v>
      </c>
      <c r="K21" s="2" t="s">
        <v>502</v>
      </c>
      <c r="L21" s="2" t="s">
        <v>459</v>
      </c>
      <c r="M21" s="2" t="s">
        <v>459</v>
      </c>
      <c r="N21" s="2" t="s">
        <v>459</v>
      </c>
      <c r="O21" s="2" t="s">
        <v>459</v>
      </c>
      <c r="P21" s="2" t="s">
        <v>502</v>
      </c>
    </row>
    <row r="22" spans="1:16" ht="15.6">
      <c r="A22" s="2" t="s">
        <v>852</v>
      </c>
      <c r="B22" s="2" t="s">
        <v>815</v>
      </c>
      <c r="C22" s="2" t="s">
        <v>489</v>
      </c>
      <c r="D22" s="2" t="s">
        <v>475</v>
      </c>
      <c r="E22" s="2" t="s">
        <v>451</v>
      </c>
      <c r="F22" s="2" t="s">
        <v>452</v>
      </c>
      <c r="G22" s="2" t="s">
        <v>453</v>
      </c>
      <c r="H22" s="2" t="s">
        <v>692</v>
      </c>
      <c r="I22" s="2" t="s">
        <v>455</v>
      </c>
      <c r="J22" s="2" t="s">
        <v>456</v>
      </c>
      <c r="K22" s="2" t="s">
        <v>853</v>
      </c>
      <c r="L22" s="2" t="s">
        <v>854</v>
      </c>
      <c r="M22" s="2" t="s">
        <v>459</v>
      </c>
      <c r="N22" s="2" t="s">
        <v>459</v>
      </c>
      <c r="O22" s="2" t="s">
        <v>459</v>
      </c>
      <c r="P22" s="2" t="s">
        <v>855</v>
      </c>
    </row>
    <row r="23" spans="1:16" ht="15.6">
      <c r="A23" s="2" t="s">
        <v>856</v>
      </c>
      <c r="B23" s="2" t="s">
        <v>815</v>
      </c>
      <c r="C23" s="2" t="s">
        <v>495</v>
      </c>
      <c r="D23" s="2" t="s">
        <v>482</v>
      </c>
      <c r="E23" s="2" t="s">
        <v>451</v>
      </c>
      <c r="F23" s="2" t="s">
        <v>452</v>
      </c>
      <c r="G23" s="2" t="s">
        <v>453</v>
      </c>
      <c r="H23" s="2" t="s">
        <v>694</v>
      </c>
      <c r="I23" s="2" t="s">
        <v>455</v>
      </c>
      <c r="J23" s="2" t="s">
        <v>456</v>
      </c>
      <c r="K23" s="2" t="s">
        <v>483</v>
      </c>
      <c r="L23" s="2" t="s">
        <v>459</v>
      </c>
      <c r="M23" s="2" t="s">
        <v>459</v>
      </c>
      <c r="N23" s="2" t="s">
        <v>459</v>
      </c>
      <c r="O23" s="2" t="s">
        <v>459</v>
      </c>
      <c r="P23" s="2" t="s">
        <v>483</v>
      </c>
    </row>
    <row r="24" spans="1:16" ht="15.6">
      <c r="A24" s="2" t="s">
        <v>857</v>
      </c>
      <c r="B24" s="2" t="s">
        <v>815</v>
      </c>
      <c r="C24" s="2" t="s">
        <v>500</v>
      </c>
      <c r="D24" s="2" t="s">
        <v>501</v>
      </c>
      <c r="E24" s="2" t="s">
        <v>451</v>
      </c>
      <c r="F24" s="2" t="s">
        <v>452</v>
      </c>
      <c r="G24" s="2" t="s">
        <v>453</v>
      </c>
      <c r="H24" s="2" t="s">
        <v>564</v>
      </c>
      <c r="I24" s="2" t="s">
        <v>455</v>
      </c>
      <c r="J24" s="2" t="s">
        <v>456</v>
      </c>
      <c r="K24" s="2" t="s">
        <v>502</v>
      </c>
      <c r="L24" s="2" t="s">
        <v>459</v>
      </c>
      <c r="M24" s="2" t="s">
        <v>459</v>
      </c>
      <c r="N24" s="2" t="s">
        <v>459</v>
      </c>
      <c r="O24" s="2" t="s">
        <v>459</v>
      </c>
      <c r="P24" s="2" t="s">
        <v>502</v>
      </c>
    </row>
    <row r="25" spans="1:16" ht="15.6">
      <c r="A25" s="2" t="s">
        <v>858</v>
      </c>
      <c r="B25" s="2" t="s">
        <v>815</v>
      </c>
      <c r="C25" s="2" t="s">
        <v>489</v>
      </c>
      <c r="D25" s="2" t="s">
        <v>475</v>
      </c>
      <c r="E25" s="2" t="s">
        <v>451</v>
      </c>
      <c r="F25" s="2" t="s">
        <v>452</v>
      </c>
      <c r="G25" s="2" t="s">
        <v>453</v>
      </c>
      <c r="H25" s="2" t="s">
        <v>568</v>
      </c>
      <c r="I25" s="2" t="s">
        <v>455</v>
      </c>
      <c r="J25" s="2" t="s">
        <v>456</v>
      </c>
      <c r="K25" s="2" t="s">
        <v>859</v>
      </c>
      <c r="L25" s="2" t="s">
        <v>860</v>
      </c>
      <c r="M25" s="2" t="s">
        <v>459</v>
      </c>
      <c r="N25" s="2" t="s">
        <v>459</v>
      </c>
      <c r="O25" s="2" t="s">
        <v>459</v>
      </c>
      <c r="P25" s="2" t="s">
        <v>861</v>
      </c>
    </row>
    <row r="26" spans="1:16" ht="15.6">
      <c r="A26" s="2" t="s">
        <v>862</v>
      </c>
      <c r="B26" s="2" t="s">
        <v>815</v>
      </c>
      <c r="C26" s="2" t="s">
        <v>495</v>
      </c>
      <c r="D26" s="2" t="s">
        <v>482</v>
      </c>
      <c r="E26" s="2" t="s">
        <v>451</v>
      </c>
      <c r="F26" s="2" t="s">
        <v>452</v>
      </c>
      <c r="G26" s="2" t="s">
        <v>453</v>
      </c>
      <c r="H26" s="2" t="s">
        <v>517</v>
      </c>
      <c r="I26" s="2" t="s">
        <v>455</v>
      </c>
      <c r="J26" s="2" t="s">
        <v>456</v>
      </c>
      <c r="K26" s="2" t="s">
        <v>483</v>
      </c>
      <c r="L26" s="2" t="s">
        <v>459</v>
      </c>
      <c r="M26" s="2" t="s">
        <v>459</v>
      </c>
      <c r="N26" s="2" t="s">
        <v>459</v>
      </c>
      <c r="O26" s="2" t="s">
        <v>459</v>
      </c>
      <c r="P26" s="2" t="s">
        <v>483</v>
      </c>
    </row>
    <row r="27" spans="1:16" ht="15.6">
      <c r="A27" s="2" t="s">
        <v>863</v>
      </c>
      <c r="B27" s="2" t="s">
        <v>815</v>
      </c>
      <c r="C27" s="2" t="s">
        <v>500</v>
      </c>
      <c r="D27" s="2" t="s">
        <v>501</v>
      </c>
      <c r="E27" s="2" t="s">
        <v>451</v>
      </c>
      <c r="F27" s="2" t="s">
        <v>452</v>
      </c>
      <c r="G27" s="2" t="s">
        <v>453</v>
      </c>
      <c r="H27" s="2" t="s">
        <v>520</v>
      </c>
      <c r="I27" s="2" t="s">
        <v>455</v>
      </c>
      <c r="J27" s="2" t="s">
        <v>456</v>
      </c>
      <c r="K27" s="2" t="s">
        <v>502</v>
      </c>
      <c r="L27" s="2" t="s">
        <v>459</v>
      </c>
      <c r="M27" s="2" t="s">
        <v>459</v>
      </c>
      <c r="N27" s="2" t="s">
        <v>459</v>
      </c>
      <c r="O27" s="2" t="s">
        <v>459</v>
      </c>
      <c r="P27" s="2" t="s">
        <v>502</v>
      </c>
    </row>
    <row r="28" spans="1:16" ht="15.6">
      <c r="A28" s="2" t="s">
        <v>864</v>
      </c>
      <c r="B28" s="2" t="s">
        <v>815</v>
      </c>
      <c r="C28" s="2" t="s">
        <v>489</v>
      </c>
      <c r="D28" s="2" t="s">
        <v>475</v>
      </c>
      <c r="E28" s="2" t="s">
        <v>451</v>
      </c>
      <c r="F28" s="2" t="s">
        <v>452</v>
      </c>
      <c r="G28" s="2" t="s">
        <v>453</v>
      </c>
      <c r="H28" s="2" t="s">
        <v>490</v>
      </c>
      <c r="I28" s="2" t="s">
        <v>455</v>
      </c>
      <c r="J28" s="2" t="s">
        <v>456</v>
      </c>
      <c r="K28" s="2" t="s">
        <v>865</v>
      </c>
      <c r="L28" s="2" t="s">
        <v>866</v>
      </c>
      <c r="M28" s="2" t="s">
        <v>459</v>
      </c>
      <c r="N28" s="2" t="s">
        <v>459</v>
      </c>
      <c r="O28" s="2" t="s">
        <v>459</v>
      </c>
      <c r="P28" s="2" t="s">
        <v>867</v>
      </c>
    </row>
    <row r="29" spans="1:16" ht="15.6">
      <c r="A29" s="2" t="s">
        <v>868</v>
      </c>
      <c r="B29" s="2" t="s">
        <v>815</v>
      </c>
      <c r="C29" s="2" t="s">
        <v>495</v>
      </c>
      <c r="D29" s="2" t="s">
        <v>482</v>
      </c>
      <c r="E29" s="2" t="s">
        <v>451</v>
      </c>
      <c r="F29" s="2" t="s">
        <v>452</v>
      </c>
      <c r="G29" s="2" t="s">
        <v>453</v>
      </c>
      <c r="H29" s="2" t="s">
        <v>496</v>
      </c>
      <c r="I29" s="2" t="s">
        <v>455</v>
      </c>
      <c r="J29" s="2" t="s">
        <v>456</v>
      </c>
      <c r="K29" s="2" t="s">
        <v>483</v>
      </c>
      <c r="L29" s="2" t="s">
        <v>869</v>
      </c>
      <c r="M29" s="2" t="s">
        <v>459</v>
      </c>
      <c r="N29" s="2" t="s">
        <v>459</v>
      </c>
      <c r="O29" s="2" t="s">
        <v>459</v>
      </c>
      <c r="P29" s="2" t="s">
        <v>870</v>
      </c>
    </row>
    <row r="30" spans="1:16" ht="15.6">
      <c r="A30" s="2" t="s">
        <v>871</v>
      </c>
      <c r="B30" s="2" t="s">
        <v>815</v>
      </c>
      <c r="C30" s="2" t="s">
        <v>500</v>
      </c>
      <c r="D30" s="2" t="s">
        <v>501</v>
      </c>
      <c r="E30" s="2" t="s">
        <v>451</v>
      </c>
      <c r="F30" s="2" t="s">
        <v>452</v>
      </c>
      <c r="G30" s="2" t="s">
        <v>453</v>
      </c>
      <c r="H30" s="2" t="s">
        <v>486</v>
      </c>
      <c r="I30" s="2" t="s">
        <v>455</v>
      </c>
      <c r="J30" s="2" t="s">
        <v>456</v>
      </c>
      <c r="K30" s="2" t="s">
        <v>502</v>
      </c>
      <c r="L30" s="2" t="s">
        <v>459</v>
      </c>
      <c r="M30" s="2" t="s">
        <v>459</v>
      </c>
      <c r="N30" s="2" t="s">
        <v>459</v>
      </c>
      <c r="O30" s="2" t="s">
        <v>459</v>
      </c>
      <c r="P30" s="2" t="s">
        <v>502</v>
      </c>
    </row>
    <row r="31" spans="1:16" ht="15.6">
      <c r="A31" s="2" t="s">
        <v>872</v>
      </c>
      <c r="B31" s="2" t="s">
        <v>815</v>
      </c>
      <c r="C31" s="2" t="s">
        <v>873</v>
      </c>
      <c r="D31" s="2" t="s">
        <v>450</v>
      </c>
      <c r="E31" s="2" t="s">
        <v>451</v>
      </c>
      <c r="F31" s="2" t="s">
        <v>452</v>
      </c>
      <c r="G31" s="2" t="s">
        <v>453</v>
      </c>
      <c r="H31" s="2" t="s">
        <v>486</v>
      </c>
      <c r="I31" s="2" t="s">
        <v>455</v>
      </c>
      <c r="J31" s="2" t="s">
        <v>456</v>
      </c>
      <c r="K31" s="2" t="s">
        <v>737</v>
      </c>
      <c r="L31" s="2" t="s">
        <v>459</v>
      </c>
      <c r="M31" s="2" t="s">
        <v>459</v>
      </c>
      <c r="N31" s="2" t="s">
        <v>459</v>
      </c>
      <c r="O31" s="2" t="s">
        <v>459</v>
      </c>
      <c r="P31" s="2" t="s">
        <v>737</v>
      </c>
    </row>
    <row r="32" spans="1:16" ht="15.6">
      <c r="A32" s="2" t="s">
        <v>874</v>
      </c>
      <c r="B32" s="2" t="s">
        <v>815</v>
      </c>
      <c r="C32" s="2" t="s">
        <v>829</v>
      </c>
      <c r="D32" s="2" t="s">
        <v>475</v>
      </c>
      <c r="E32" s="2" t="s">
        <v>451</v>
      </c>
      <c r="F32" s="2" t="s">
        <v>452</v>
      </c>
      <c r="G32" s="2" t="s">
        <v>453</v>
      </c>
      <c r="H32" s="2" t="s">
        <v>476</v>
      </c>
      <c r="I32" s="2" t="s">
        <v>455</v>
      </c>
      <c r="J32" s="2" t="s">
        <v>456</v>
      </c>
      <c r="K32" s="2" t="s">
        <v>611</v>
      </c>
      <c r="L32" s="2" t="s">
        <v>612</v>
      </c>
      <c r="M32" s="2" t="s">
        <v>459</v>
      </c>
      <c r="N32" s="2" t="s">
        <v>459</v>
      </c>
      <c r="O32" s="2" t="s">
        <v>459</v>
      </c>
      <c r="P32" s="2" t="s">
        <v>613</v>
      </c>
    </row>
    <row r="33" spans="1:16" ht="15.6">
      <c r="A33" s="2" t="s">
        <v>875</v>
      </c>
      <c r="B33" s="2" t="s">
        <v>815</v>
      </c>
      <c r="C33" s="2" t="s">
        <v>876</v>
      </c>
      <c r="D33" s="2" t="s">
        <v>482</v>
      </c>
      <c r="E33" s="2" t="s">
        <v>451</v>
      </c>
      <c r="F33" s="2" t="s">
        <v>452</v>
      </c>
      <c r="G33" s="2" t="s">
        <v>453</v>
      </c>
      <c r="H33" s="2" t="s">
        <v>454</v>
      </c>
      <c r="I33" s="2" t="s">
        <v>455</v>
      </c>
      <c r="J33" s="2" t="s">
        <v>456</v>
      </c>
      <c r="K33" s="2" t="s">
        <v>483</v>
      </c>
      <c r="L33" s="2" t="s">
        <v>459</v>
      </c>
      <c r="M33" s="2" t="s">
        <v>459</v>
      </c>
      <c r="N33" s="2" t="s">
        <v>459</v>
      </c>
      <c r="O33" s="2" t="s">
        <v>459</v>
      </c>
      <c r="P33" s="2" t="s">
        <v>483</v>
      </c>
    </row>
    <row r="34" spans="1:16" ht="15.6">
      <c r="A34" s="2" t="s">
        <v>877</v>
      </c>
      <c r="B34" s="2" t="s">
        <v>815</v>
      </c>
      <c r="C34" s="2" t="s">
        <v>878</v>
      </c>
      <c r="D34" s="2" t="s">
        <v>450</v>
      </c>
      <c r="E34" s="2" t="s">
        <v>451</v>
      </c>
      <c r="F34" s="2" t="s">
        <v>452</v>
      </c>
      <c r="G34" s="2" t="s">
        <v>453</v>
      </c>
      <c r="H34" s="2" t="s">
        <v>454</v>
      </c>
      <c r="I34" s="2" t="s">
        <v>455</v>
      </c>
      <c r="J34" s="2" t="s">
        <v>456</v>
      </c>
      <c r="K34" s="2" t="s">
        <v>740</v>
      </c>
      <c r="L34" s="2" t="s">
        <v>741</v>
      </c>
      <c r="M34" s="2" t="s">
        <v>459</v>
      </c>
      <c r="N34" s="2" t="s">
        <v>459</v>
      </c>
      <c r="O34" s="2" t="s">
        <v>459</v>
      </c>
      <c r="P34" s="2" t="s">
        <v>742</v>
      </c>
    </row>
    <row r="35" spans="1:16" ht="15.6">
      <c r="A35" s="2" t="s">
        <v>879</v>
      </c>
      <c r="B35" s="2" t="s">
        <v>815</v>
      </c>
      <c r="C35" s="2" t="s">
        <v>500</v>
      </c>
      <c r="D35" s="2" t="s">
        <v>501</v>
      </c>
      <c r="E35" s="2" t="s">
        <v>451</v>
      </c>
      <c r="F35" s="2" t="s">
        <v>452</v>
      </c>
      <c r="G35" s="2" t="s">
        <v>453</v>
      </c>
      <c r="H35" s="2" t="s">
        <v>590</v>
      </c>
      <c r="I35" s="2" t="s">
        <v>455</v>
      </c>
      <c r="J35" s="2" t="s">
        <v>456</v>
      </c>
      <c r="K35" s="2" t="s">
        <v>502</v>
      </c>
      <c r="L35" s="2" t="s">
        <v>459</v>
      </c>
      <c r="M35" s="2" t="s">
        <v>459</v>
      </c>
      <c r="N35" s="2" t="s">
        <v>459</v>
      </c>
      <c r="O35" s="2" t="s">
        <v>459</v>
      </c>
      <c r="P35" s="2" t="s">
        <v>502</v>
      </c>
    </row>
    <row r="36" spans="1:16" ht="15.6">
      <c r="A36" s="2" t="s">
        <v>522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5.6">
      <c r="A37" s="2" t="s">
        <v>523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 t="s">
        <v>880</v>
      </c>
      <c r="M37" s="2"/>
      <c r="N37" s="2"/>
      <c r="O37" s="2"/>
      <c r="P37" s="2"/>
    </row>
    <row r="38" spans="1:16" ht="15.6">
      <c r="A38" s="2" t="s">
        <v>525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 t="s">
        <v>459</v>
      </c>
      <c r="M38" s="2"/>
      <c r="N38" s="2"/>
      <c r="O38" s="2"/>
      <c r="P38" s="2"/>
    </row>
    <row r="39" spans="1:16" ht="15.6">
      <c r="A39" s="2" t="s">
        <v>526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 t="s">
        <v>459</v>
      </c>
      <c r="M39" s="2"/>
      <c r="N39" s="2"/>
      <c r="O39" s="2"/>
      <c r="P39" s="2"/>
    </row>
    <row r="40" spans="1:16" ht="15.6">
      <c r="A40" s="2" t="s">
        <v>527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 t="s">
        <v>459</v>
      </c>
      <c r="M40" s="2"/>
      <c r="N40" s="2"/>
      <c r="O40" s="2"/>
      <c r="P40" s="2"/>
    </row>
    <row r="41" spans="1:16" ht="15.6">
      <c r="A41" s="2" t="s">
        <v>528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 t="s">
        <v>459</v>
      </c>
      <c r="M41" s="2"/>
      <c r="N41" s="2"/>
      <c r="O41" s="2"/>
      <c r="P41" s="2"/>
    </row>
    <row r="42" spans="1:16" ht="15.6">
      <c r="A42" s="2" t="s">
        <v>529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 t="s">
        <v>881</v>
      </c>
      <c r="M42" s="2"/>
      <c r="N42" s="2"/>
      <c r="O42" s="2"/>
      <c r="P42" s="2"/>
    </row>
    <row r="43" spans="1:16" ht="15.6">
      <c r="A43" s="2" t="s">
        <v>531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 t="s">
        <v>882</v>
      </c>
      <c r="M43" s="2"/>
      <c r="N43" s="2"/>
      <c r="O43" s="2"/>
      <c r="P43" s="2"/>
    </row>
    <row r="44" spans="1:16" ht="15.6">
      <c r="A44" s="2" t="s">
        <v>533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 t="s">
        <v>459</v>
      </c>
      <c r="M44" s="2"/>
      <c r="N44" s="2"/>
      <c r="O44" s="2"/>
      <c r="P44" s="2"/>
    </row>
    <row r="45" spans="1:16" ht="15.6">
      <c r="A45" s="2" t="s">
        <v>534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 t="s">
        <v>459</v>
      </c>
      <c r="M45" s="2"/>
      <c r="N45" s="2"/>
      <c r="O45" s="2"/>
      <c r="P45" s="2"/>
    </row>
    <row r="46" spans="1:16" ht="15.6">
      <c r="A46" s="2" t="s">
        <v>535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 t="s">
        <v>459</v>
      </c>
      <c r="M46" s="2"/>
      <c r="N46" s="2"/>
      <c r="O46" s="2"/>
      <c r="P46" s="2"/>
    </row>
    <row r="47" spans="1:16" ht="15.6">
      <c r="A47" s="2" t="s">
        <v>536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 t="s">
        <v>881</v>
      </c>
      <c r="M47" s="2"/>
      <c r="N47" s="2"/>
      <c r="O47" s="2"/>
      <c r="P47" s="2"/>
    </row>
  </sheetData>
  <autoFilter ref="A2:P47" xr:uid="{4BA84C88-4B1A-45B2-8C3F-07C5F19EB093}">
    <sortState xmlns:xlrd2="http://schemas.microsoft.com/office/spreadsheetml/2017/richdata2" ref="A4:P33">
      <sortCondition sortBy="cellColor" ref="C2:C47" dxfId="0"/>
    </sortState>
  </autoFilter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EBAF-D95F-400A-BC57-DE7CA03A4F33}">
  <dimension ref="A1:P27"/>
  <sheetViews>
    <sheetView topLeftCell="A10" workbookViewId="0">
      <selection activeCell="M26" sqref="M26"/>
    </sheetView>
  </sheetViews>
  <sheetFormatPr defaultRowHeight="14.45"/>
  <sheetData>
    <row r="1" spans="1:16" ht="16.5" customHeight="1">
      <c r="A1" s="2" t="s">
        <v>432</v>
      </c>
      <c r="B1" s="2" t="s">
        <v>883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6">
      <c r="A2" s="2" t="s">
        <v>434</v>
      </c>
      <c r="B2" s="2" t="s">
        <v>435</v>
      </c>
      <c r="C2" s="2" t="s">
        <v>68</v>
      </c>
      <c r="D2" s="2" t="s">
        <v>436</v>
      </c>
      <c r="E2" s="2" t="s">
        <v>437</v>
      </c>
      <c r="F2" s="2" t="s">
        <v>438</v>
      </c>
      <c r="G2" s="2" t="s">
        <v>7</v>
      </c>
      <c r="H2" s="2" t="s">
        <v>439</v>
      </c>
      <c r="I2" s="2" t="s">
        <v>440</v>
      </c>
      <c r="J2" s="2" t="s">
        <v>441</v>
      </c>
      <c r="K2" s="2" t="s">
        <v>19</v>
      </c>
      <c r="L2" s="2" t="s">
        <v>442</v>
      </c>
      <c r="M2" s="2" t="s">
        <v>443</v>
      </c>
      <c r="N2" s="2" t="s">
        <v>444</v>
      </c>
      <c r="O2" s="2" t="s">
        <v>445</v>
      </c>
      <c r="P2" s="2" t="s">
        <v>446</v>
      </c>
    </row>
    <row r="3" spans="1:16" ht="15.6">
      <c r="A3" s="2" t="s">
        <v>884</v>
      </c>
      <c r="B3" s="2" t="s">
        <v>885</v>
      </c>
      <c r="C3" s="2" t="s">
        <v>886</v>
      </c>
      <c r="D3" s="2" t="s">
        <v>509</v>
      </c>
      <c r="E3" s="2" t="s">
        <v>510</v>
      </c>
      <c r="F3" s="2" t="s">
        <v>465</v>
      </c>
      <c r="G3" s="2" t="s">
        <v>453</v>
      </c>
      <c r="H3" s="2" t="s">
        <v>561</v>
      </c>
      <c r="I3" s="2" t="s">
        <v>455</v>
      </c>
      <c r="J3" s="2" t="s">
        <v>456</v>
      </c>
      <c r="K3" s="2" t="s">
        <v>792</v>
      </c>
      <c r="L3" s="2" t="s">
        <v>459</v>
      </c>
      <c r="M3" s="2" t="s">
        <v>459</v>
      </c>
      <c r="N3" s="2" t="s">
        <v>459</v>
      </c>
      <c r="O3" s="2" t="s">
        <v>459</v>
      </c>
      <c r="P3" s="2" t="s">
        <v>792</v>
      </c>
    </row>
    <row r="4" spans="1:16" ht="15.6">
      <c r="A4" s="2" t="s">
        <v>887</v>
      </c>
      <c r="B4" s="2" t="s">
        <v>885</v>
      </c>
      <c r="C4" s="2" t="s">
        <v>500</v>
      </c>
      <c r="D4" s="2" t="s">
        <v>501</v>
      </c>
      <c r="E4" s="2" t="s">
        <v>451</v>
      </c>
      <c r="F4" s="2" t="s">
        <v>452</v>
      </c>
      <c r="G4" s="2" t="s">
        <v>453</v>
      </c>
      <c r="H4" s="2" t="s">
        <v>564</v>
      </c>
      <c r="I4" s="2" t="s">
        <v>455</v>
      </c>
      <c r="J4" s="2" t="s">
        <v>456</v>
      </c>
      <c r="K4" s="2" t="s">
        <v>502</v>
      </c>
      <c r="L4" s="2" t="s">
        <v>459</v>
      </c>
      <c r="M4" s="2" t="s">
        <v>459</v>
      </c>
      <c r="N4" s="2" t="s">
        <v>459</v>
      </c>
      <c r="O4" s="2" t="s">
        <v>459</v>
      </c>
      <c r="P4" s="2" t="s">
        <v>502</v>
      </c>
    </row>
    <row r="5" spans="1:16" ht="15.6">
      <c r="A5" s="2" t="s">
        <v>888</v>
      </c>
      <c r="B5" s="2" t="s">
        <v>885</v>
      </c>
      <c r="C5" s="2" t="s">
        <v>489</v>
      </c>
      <c r="D5" s="2" t="s">
        <v>475</v>
      </c>
      <c r="E5" s="2" t="s">
        <v>451</v>
      </c>
      <c r="F5" s="2" t="s">
        <v>452</v>
      </c>
      <c r="G5" s="2" t="s">
        <v>453</v>
      </c>
      <c r="H5" s="2" t="s">
        <v>568</v>
      </c>
      <c r="I5" s="2" t="s">
        <v>455</v>
      </c>
      <c r="J5" s="2" t="s">
        <v>456</v>
      </c>
      <c r="K5" s="2" t="s">
        <v>889</v>
      </c>
      <c r="L5" s="2" t="s">
        <v>890</v>
      </c>
      <c r="M5" s="2" t="s">
        <v>459</v>
      </c>
      <c r="N5" s="2" t="s">
        <v>459</v>
      </c>
      <c r="O5" s="2" t="s">
        <v>459</v>
      </c>
      <c r="P5" s="2" t="s">
        <v>891</v>
      </c>
    </row>
    <row r="6" spans="1:16" ht="15.6">
      <c r="A6" s="2" t="s">
        <v>892</v>
      </c>
      <c r="B6" s="2" t="s">
        <v>885</v>
      </c>
      <c r="C6" s="2" t="s">
        <v>495</v>
      </c>
      <c r="D6" s="2" t="s">
        <v>482</v>
      </c>
      <c r="E6" s="2" t="s">
        <v>451</v>
      </c>
      <c r="F6" s="2" t="s">
        <v>452</v>
      </c>
      <c r="G6" s="2" t="s">
        <v>453</v>
      </c>
      <c r="H6" s="2" t="s">
        <v>517</v>
      </c>
      <c r="I6" s="2" t="s">
        <v>455</v>
      </c>
      <c r="J6" s="2" t="s">
        <v>456</v>
      </c>
      <c r="K6" s="2" t="s">
        <v>483</v>
      </c>
      <c r="L6" s="2" t="s">
        <v>459</v>
      </c>
      <c r="M6" s="2" t="s">
        <v>459</v>
      </c>
      <c r="N6" s="2" t="s">
        <v>459</v>
      </c>
      <c r="O6" s="2" t="s">
        <v>459</v>
      </c>
      <c r="P6" s="2" t="s">
        <v>483</v>
      </c>
    </row>
    <row r="7" spans="1:16" ht="15.6">
      <c r="A7" s="2" t="s">
        <v>893</v>
      </c>
      <c r="B7" s="2" t="s">
        <v>885</v>
      </c>
      <c r="C7" s="2" t="s">
        <v>500</v>
      </c>
      <c r="D7" s="2" t="s">
        <v>501</v>
      </c>
      <c r="E7" s="2" t="s">
        <v>451</v>
      </c>
      <c r="F7" s="2" t="s">
        <v>452</v>
      </c>
      <c r="G7" s="2" t="s">
        <v>453</v>
      </c>
      <c r="H7" s="2" t="s">
        <v>520</v>
      </c>
      <c r="I7" s="2" t="s">
        <v>455</v>
      </c>
      <c r="J7" s="2" t="s">
        <v>456</v>
      </c>
      <c r="K7" s="2" t="s">
        <v>502</v>
      </c>
      <c r="L7" s="2" t="s">
        <v>459</v>
      </c>
      <c r="M7" s="2" t="s">
        <v>459</v>
      </c>
      <c r="N7" s="2" t="s">
        <v>459</v>
      </c>
      <c r="O7" s="2" t="s">
        <v>459</v>
      </c>
      <c r="P7" s="2" t="s">
        <v>502</v>
      </c>
    </row>
    <row r="8" spans="1:16" ht="15.6">
      <c r="A8" s="2" t="s">
        <v>894</v>
      </c>
      <c r="B8" s="2" t="s">
        <v>885</v>
      </c>
      <c r="C8" s="2" t="s">
        <v>489</v>
      </c>
      <c r="D8" s="2" t="s">
        <v>475</v>
      </c>
      <c r="E8" s="2" t="s">
        <v>451</v>
      </c>
      <c r="F8" s="2" t="s">
        <v>452</v>
      </c>
      <c r="G8" s="2" t="s">
        <v>453</v>
      </c>
      <c r="H8" s="2" t="s">
        <v>490</v>
      </c>
      <c r="I8" s="2" t="s">
        <v>455</v>
      </c>
      <c r="J8" s="2" t="s">
        <v>456</v>
      </c>
      <c r="K8" s="2" t="s">
        <v>895</v>
      </c>
      <c r="L8" s="2" t="s">
        <v>896</v>
      </c>
      <c r="M8" s="2" t="s">
        <v>459</v>
      </c>
      <c r="N8" s="2" t="s">
        <v>459</v>
      </c>
      <c r="O8" s="2" t="s">
        <v>459</v>
      </c>
      <c r="P8" s="2" t="s">
        <v>897</v>
      </c>
    </row>
    <row r="9" spans="1:16" ht="15.6">
      <c r="A9" s="2" t="s">
        <v>898</v>
      </c>
      <c r="B9" s="2" t="s">
        <v>885</v>
      </c>
      <c r="C9" s="2" t="s">
        <v>495</v>
      </c>
      <c r="D9" s="2" t="s">
        <v>482</v>
      </c>
      <c r="E9" s="2" t="s">
        <v>451</v>
      </c>
      <c r="F9" s="2" t="s">
        <v>452</v>
      </c>
      <c r="G9" s="2" t="s">
        <v>453</v>
      </c>
      <c r="H9" s="2" t="s">
        <v>496</v>
      </c>
      <c r="I9" s="2" t="s">
        <v>455</v>
      </c>
      <c r="J9" s="2" t="s">
        <v>456</v>
      </c>
      <c r="K9" s="2" t="s">
        <v>483</v>
      </c>
      <c r="L9" s="2" t="s">
        <v>899</v>
      </c>
      <c r="M9" s="2" t="s">
        <v>459</v>
      </c>
      <c r="N9" s="2" t="s">
        <v>459</v>
      </c>
      <c r="O9" s="2" t="s">
        <v>459</v>
      </c>
      <c r="P9" s="2" t="s">
        <v>900</v>
      </c>
    </row>
    <row r="10" spans="1:16" ht="15.6">
      <c r="A10" s="2" t="s">
        <v>901</v>
      </c>
      <c r="B10" s="2" t="s">
        <v>885</v>
      </c>
      <c r="C10" s="2" t="s">
        <v>902</v>
      </c>
      <c r="D10" s="2" t="s">
        <v>450</v>
      </c>
      <c r="E10" s="2" t="s">
        <v>451</v>
      </c>
      <c r="F10" s="2" t="s">
        <v>452</v>
      </c>
      <c r="G10" s="2" t="s">
        <v>453</v>
      </c>
      <c r="H10" s="2" t="s">
        <v>486</v>
      </c>
      <c r="I10" s="2" t="s">
        <v>455</v>
      </c>
      <c r="J10" s="2" t="s">
        <v>456</v>
      </c>
      <c r="K10" s="2" t="s">
        <v>487</v>
      </c>
      <c r="L10" s="2" t="s">
        <v>459</v>
      </c>
      <c r="M10" s="2" t="s">
        <v>459</v>
      </c>
      <c r="N10" s="2" t="s">
        <v>459</v>
      </c>
      <c r="O10" s="2" t="s">
        <v>459</v>
      </c>
      <c r="P10" s="2" t="s">
        <v>487</v>
      </c>
    </row>
    <row r="11" spans="1:16" ht="15.6">
      <c r="A11" s="2" t="s">
        <v>903</v>
      </c>
      <c r="B11" s="2" t="s">
        <v>885</v>
      </c>
      <c r="C11" s="2" t="s">
        <v>500</v>
      </c>
      <c r="D11" s="2" t="s">
        <v>501</v>
      </c>
      <c r="E11" s="2" t="s">
        <v>451</v>
      </c>
      <c r="F11" s="2" t="s">
        <v>452</v>
      </c>
      <c r="G11" s="2" t="s">
        <v>453</v>
      </c>
      <c r="H11" s="2" t="s">
        <v>486</v>
      </c>
      <c r="I11" s="2" t="s">
        <v>455</v>
      </c>
      <c r="J11" s="2" t="s">
        <v>456</v>
      </c>
      <c r="K11" s="2" t="s">
        <v>502</v>
      </c>
      <c r="L11" s="2" t="s">
        <v>459</v>
      </c>
      <c r="M11" s="2" t="s">
        <v>459</v>
      </c>
      <c r="N11" s="2" t="s">
        <v>459</v>
      </c>
      <c r="O11" s="2" t="s">
        <v>459</v>
      </c>
      <c r="P11" s="2" t="s">
        <v>502</v>
      </c>
    </row>
    <row r="12" spans="1:16" ht="15.6">
      <c r="A12" s="2" t="s">
        <v>904</v>
      </c>
      <c r="B12" s="2" t="s">
        <v>885</v>
      </c>
      <c r="C12" s="2" t="s">
        <v>905</v>
      </c>
      <c r="D12" s="2" t="s">
        <v>475</v>
      </c>
      <c r="E12" s="2" t="s">
        <v>451</v>
      </c>
      <c r="F12" s="2" t="s">
        <v>452</v>
      </c>
      <c r="G12" s="2" t="s">
        <v>453</v>
      </c>
      <c r="H12" s="2" t="s">
        <v>476</v>
      </c>
      <c r="I12" s="2" t="s">
        <v>455</v>
      </c>
      <c r="J12" s="2" t="s">
        <v>456</v>
      </c>
      <c r="K12" s="2" t="s">
        <v>611</v>
      </c>
      <c r="L12" s="2" t="s">
        <v>612</v>
      </c>
      <c r="M12" s="2" t="s">
        <v>459</v>
      </c>
      <c r="N12" s="2" t="s">
        <v>459</v>
      </c>
      <c r="O12" s="2" t="s">
        <v>459</v>
      </c>
      <c r="P12" s="2" t="s">
        <v>613</v>
      </c>
    </row>
    <row r="13" spans="1:16" ht="15.6">
      <c r="A13" s="2" t="s">
        <v>906</v>
      </c>
      <c r="B13" s="2" t="s">
        <v>885</v>
      </c>
      <c r="C13" s="2" t="s">
        <v>907</v>
      </c>
      <c r="D13" s="2" t="s">
        <v>450</v>
      </c>
      <c r="E13" s="2" t="s">
        <v>451</v>
      </c>
      <c r="F13" s="2" t="s">
        <v>452</v>
      </c>
      <c r="G13" s="2" t="s">
        <v>453</v>
      </c>
      <c r="H13" s="2" t="s">
        <v>454</v>
      </c>
      <c r="I13" s="2" t="s">
        <v>455</v>
      </c>
      <c r="J13" s="2" t="s">
        <v>456</v>
      </c>
      <c r="K13" s="2" t="s">
        <v>457</v>
      </c>
      <c r="L13" s="2" t="s">
        <v>458</v>
      </c>
      <c r="M13" s="2" t="s">
        <v>459</v>
      </c>
      <c r="N13" s="2" t="s">
        <v>459</v>
      </c>
      <c r="O13" s="2" t="s">
        <v>459</v>
      </c>
      <c r="P13" s="2" t="s">
        <v>460</v>
      </c>
    </row>
    <row r="14" spans="1:16" ht="15.6">
      <c r="A14" s="2" t="s">
        <v>908</v>
      </c>
      <c r="B14" s="2" t="s">
        <v>885</v>
      </c>
      <c r="C14" s="2" t="s">
        <v>909</v>
      </c>
      <c r="D14" s="2" t="s">
        <v>482</v>
      </c>
      <c r="E14" s="2" t="s">
        <v>451</v>
      </c>
      <c r="F14" s="2" t="s">
        <v>452</v>
      </c>
      <c r="G14" s="2" t="s">
        <v>453</v>
      </c>
      <c r="H14" s="2" t="s">
        <v>454</v>
      </c>
      <c r="I14" s="2" t="s">
        <v>455</v>
      </c>
      <c r="J14" s="2" t="s">
        <v>456</v>
      </c>
      <c r="K14" s="2" t="s">
        <v>483</v>
      </c>
      <c r="L14" s="2" t="s">
        <v>459</v>
      </c>
      <c r="M14" s="2" t="s">
        <v>459</v>
      </c>
      <c r="N14" s="2" t="s">
        <v>459</v>
      </c>
      <c r="O14" s="2" t="s">
        <v>459</v>
      </c>
      <c r="P14" s="2" t="s">
        <v>483</v>
      </c>
    </row>
    <row r="15" spans="1:16" ht="15.6">
      <c r="A15" s="2" t="s">
        <v>910</v>
      </c>
      <c r="B15" s="2" t="s">
        <v>885</v>
      </c>
      <c r="C15" s="2" t="s">
        <v>500</v>
      </c>
      <c r="D15" s="2" t="s">
        <v>501</v>
      </c>
      <c r="E15" s="2" t="s">
        <v>451</v>
      </c>
      <c r="F15" s="2" t="s">
        <v>452</v>
      </c>
      <c r="G15" s="2" t="s">
        <v>453</v>
      </c>
      <c r="H15" s="2" t="s">
        <v>590</v>
      </c>
      <c r="I15" s="2" t="s">
        <v>455</v>
      </c>
      <c r="J15" s="2" t="s">
        <v>456</v>
      </c>
      <c r="K15" s="2" t="s">
        <v>502</v>
      </c>
      <c r="L15" s="2" t="s">
        <v>459</v>
      </c>
      <c r="M15" s="2" t="s">
        <v>459</v>
      </c>
      <c r="N15" s="2" t="s">
        <v>459</v>
      </c>
      <c r="O15" s="2" t="s">
        <v>459</v>
      </c>
      <c r="P15" s="2" t="s">
        <v>502</v>
      </c>
    </row>
    <row r="16" spans="1:16" ht="15.6">
      <c r="A16" s="2" t="s">
        <v>522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2" ht="15.6">
      <c r="A17" s="2" t="s">
        <v>523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 t="s">
        <v>911</v>
      </c>
    </row>
    <row r="18" spans="1:12" ht="15.6">
      <c r="A18" s="2" t="s">
        <v>525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 t="s">
        <v>459</v>
      </c>
    </row>
    <row r="19" spans="1:12" ht="15.6">
      <c r="A19" s="2" t="s">
        <v>526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459</v>
      </c>
    </row>
    <row r="20" spans="1:12" ht="15.6">
      <c r="A20" s="2" t="s">
        <v>527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 t="s">
        <v>459</v>
      </c>
    </row>
    <row r="21" spans="1:12" ht="15.6">
      <c r="A21" s="2" t="s">
        <v>528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 t="s">
        <v>459</v>
      </c>
    </row>
    <row r="22" spans="1:12" ht="15.6">
      <c r="A22" s="2" t="s">
        <v>529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912</v>
      </c>
    </row>
    <row r="23" spans="1:12" ht="15.6">
      <c r="A23" s="2" t="s">
        <v>531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 t="s">
        <v>913</v>
      </c>
    </row>
    <row r="24" spans="1:12" ht="15.6">
      <c r="A24" s="2" t="s">
        <v>533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 t="s">
        <v>459</v>
      </c>
    </row>
    <row r="25" spans="1:12" ht="15.6">
      <c r="A25" s="2" t="s">
        <v>534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 t="s">
        <v>459</v>
      </c>
    </row>
    <row r="26" spans="1:12" ht="15.6">
      <c r="A26" s="2" t="s">
        <v>535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 t="s">
        <v>459</v>
      </c>
    </row>
    <row r="27" spans="1:12" ht="15.6">
      <c r="A27" s="2" t="s">
        <v>536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 t="s">
        <v>912</v>
      </c>
    </row>
  </sheetData>
  <autoFilter ref="A2:P27" xr:uid="{7360EBAF-D95F-400A-BC57-DE7CA03A4F3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ec653c-db26-4c1a-b2d8-4fc87e95ce94" xsi:nil="true"/>
    <lcf76f155ced4ddcb4097134ff3c332f xmlns="c34becbf-ca68-4256-8aed-b392b0a2c6fb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710B410562E7408FD56977B2428FD4" ma:contentTypeVersion="13" ma:contentTypeDescription="Crie um novo documento." ma:contentTypeScope="" ma:versionID="80bf9cde1da71430524ac9111ad65443">
  <xsd:schema xmlns:xsd="http://www.w3.org/2001/XMLSchema" xmlns:xs="http://www.w3.org/2001/XMLSchema" xmlns:p="http://schemas.microsoft.com/office/2006/metadata/properties" xmlns:ns2="c34becbf-ca68-4256-8aed-b392b0a2c6fb" xmlns:ns3="b8ec653c-db26-4c1a-b2d8-4fc87e95ce94" targetNamespace="http://schemas.microsoft.com/office/2006/metadata/properties" ma:root="true" ma:fieldsID="5ff17162e0d0c338de8a46759e83c2ba" ns2:_="" ns3:_="">
    <xsd:import namespace="c34becbf-ca68-4256-8aed-b392b0a2c6fb"/>
    <xsd:import namespace="b8ec653c-db26-4c1a-b2d8-4fc87e95c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becbf-ca68-4256-8aed-b392b0a2c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ae915f-eeb9-43e2-b9ed-c7927ee112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c653c-db26-4c1a-b2d8-4fc87e95ce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25cc199-687b-470b-802c-9786fb2e3f51}" ma:internalName="TaxCatchAll" ma:showField="CatchAllData" ma:web="b8ec653c-db26-4c1a-b2d8-4fc87e95c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6DB64A-65A3-4C2E-A034-38744AADC87F}"/>
</file>

<file path=customXml/itemProps2.xml><?xml version="1.0" encoding="utf-8"?>
<ds:datastoreItem xmlns:ds="http://schemas.openxmlformats.org/officeDocument/2006/customXml" ds:itemID="{EF6E5098-1BB8-404F-8540-64662DA9A6FB}"/>
</file>

<file path=customXml/itemProps3.xml><?xml version="1.0" encoding="utf-8"?>
<ds:datastoreItem xmlns:ds="http://schemas.openxmlformats.org/officeDocument/2006/customXml" ds:itemID="{D24574DA-DE63-47B2-ABDB-749738EE7FAC}"/>
</file>

<file path=customXml/itemProps4.xml><?xml version="1.0" encoding="utf-8"?>
<ds:datastoreItem xmlns:ds="http://schemas.openxmlformats.org/officeDocument/2006/customXml" ds:itemID="{B4764ED8-5962-4451-AA53-781EAD17A5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Miranda</dc:creator>
  <cp:keywords/>
  <dc:description/>
  <cp:lastModifiedBy/>
  <cp:revision/>
  <dcterms:created xsi:type="dcterms:W3CDTF">2022-01-21T11:53:32Z</dcterms:created>
  <dcterms:modified xsi:type="dcterms:W3CDTF">2026-06-01T12:02:42Z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0x010100DB710B410562E7408FD56977B2428FD4</vt:lpwstr>
  </property>
  <property fmtid="{D5CDD505-2E9C-101B-9397-08002B2CF9AE}" pid="3" name="Order">
    <vt:r8>9800</vt:r8>
  </property>
  <property fmtid="{D5CDD505-2E9C-101B-9397-08002B2CF9AE}" pid="4" name="MediaServiceImageTags">
    <vt:lpwstr/>
  </property>
</Properties>
</file>