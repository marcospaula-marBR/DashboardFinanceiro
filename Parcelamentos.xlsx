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arbrti.sharepoint.com/sites/financeirosite/Documentos Compartilhados/Gestão/Automações/DRE+Fluxo Caixa+Parcelamentos/"/>
    </mc:Choice>
  </mc:AlternateContent>
  <xr:revisionPtr revIDLastSave="815" documentId="13_ncr:1_{BE9D4684-4171-4CB3-BE9C-322E4F1DFEA0}" xr6:coauthVersionLast="47" xr6:coauthVersionMax="47" xr10:uidLastSave="{0E915333-1BEE-439F-A615-49D0FC9A1824}"/>
  <bookViews>
    <workbookView xWindow="28680" yWindow="-120" windowWidth="29040" windowHeight="15720" xr2:uid="{DB341440-B87E-4170-A56C-E47CF94BCA6A}"/>
  </bookViews>
  <sheets>
    <sheet name="PARCELAMENTOS" sheetId="1" r:id="rId1"/>
    <sheet name="Parcelas" sheetId="10" r:id="rId2"/>
    <sheet name="Montantes" sheetId="9" r:id="rId3"/>
    <sheet name="Projeção" sheetId="11" r:id="rId4"/>
    <sheet name="DAS Parc" sheetId="5" state="hidden" r:id="rId5"/>
    <sheet name="Consórcios" sheetId="4" state="hidden" r:id="rId6"/>
  </sheets>
  <definedNames>
    <definedName name="_xlnm._FilterDatabase" localSheetId="4" hidden="1">'DAS Parc'!$A$1:$E$1</definedName>
    <definedName name="_xlnm._FilterDatabase" localSheetId="0" hidden="1">PARCELAMENTOS!$A$1:$U$43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5" i="1" l="1"/>
  <c r="U44" i="1"/>
  <c r="U5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3" i="1"/>
  <c r="U4" i="1"/>
  <c r="U6" i="1"/>
  <c r="U7" i="1"/>
  <c r="U8" i="1"/>
  <c r="U9" i="1"/>
  <c r="U10" i="1"/>
  <c r="U11" i="1"/>
  <c r="U12" i="1"/>
  <c r="U13" i="1"/>
  <c r="U2" i="1"/>
  <c r="S34" i="1"/>
  <c r="I34" i="1" s="1"/>
  <c r="S4" i="1"/>
  <c r="T27" i="1"/>
  <c r="S27" i="1"/>
  <c r="I27" i="1" s="1"/>
  <c r="N27" i="1"/>
  <c r="Q43" i="1"/>
  <c r="T4" i="1" l="1"/>
  <c r="T6" i="1"/>
  <c r="N40" i="1"/>
  <c r="N39" i="1"/>
  <c r="N38" i="1"/>
  <c r="N37" i="1"/>
  <c r="N35" i="1"/>
  <c r="N34" i="1"/>
  <c r="N33" i="1"/>
  <c r="N32" i="1"/>
  <c r="N31" i="1"/>
  <c r="N30" i="1"/>
  <c r="N29" i="1"/>
  <c r="N28" i="1"/>
  <c r="N25" i="1"/>
  <c r="N22" i="1"/>
  <c r="N21" i="1"/>
  <c r="N20" i="1"/>
  <c r="N19" i="1"/>
  <c r="N16" i="1"/>
  <c r="N15" i="1"/>
  <c r="N14" i="1"/>
  <c r="N10" i="1"/>
  <c r="N8" i="1"/>
  <c r="N7" i="1"/>
  <c r="N5" i="1"/>
  <c r="N3" i="1"/>
  <c r="N2" i="1"/>
  <c r="G49" i="5"/>
  <c r="S36" i="1"/>
  <c r="I36" i="1" s="1"/>
  <c r="T36" i="1"/>
  <c r="T34" i="1"/>
  <c r="T33" i="1"/>
  <c r="S33" i="1"/>
  <c r="I33" i="1" s="1"/>
  <c r="O33" i="1"/>
  <c r="T32" i="1"/>
  <c r="S32" i="1"/>
  <c r="O32" i="1"/>
  <c r="T31" i="1"/>
  <c r="S31" i="1"/>
  <c r="O31" i="1"/>
  <c r="T30" i="1"/>
  <c r="S30" i="1"/>
  <c r="O30" i="1"/>
  <c r="T29" i="1"/>
  <c r="S29" i="1"/>
  <c r="O29" i="1"/>
  <c r="T28" i="1"/>
  <c r="S28" i="1"/>
  <c r="I28" i="1" s="1"/>
  <c r="T26" i="1"/>
  <c r="S26" i="1"/>
  <c r="I26" i="1" s="1"/>
  <c r="T25" i="1"/>
  <c r="S25" i="1"/>
  <c r="I25" i="1" s="1"/>
  <c r="T24" i="1"/>
  <c r="S24" i="1"/>
  <c r="I24" i="1" s="1"/>
  <c r="S20" i="1"/>
  <c r="T20" i="1"/>
  <c r="S22" i="1"/>
  <c r="I22" i="1" s="1"/>
  <c r="T22" i="1"/>
  <c r="T21" i="1"/>
  <c r="S21" i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3" i="5"/>
  <c r="F2" i="5"/>
  <c r="E2" i="5"/>
  <c r="T37" i="1" s="1"/>
  <c r="B7" i="4"/>
  <c r="T14" i="1" s="1"/>
  <c r="B8" i="4"/>
  <c r="T16" i="1" s="1"/>
  <c r="S16" i="1"/>
  <c r="I16" i="1" s="1"/>
  <c r="F2" i="4"/>
  <c r="D6" i="4"/>
  <c r="T13" i="1" s="1"/>
  <c r="D5" i="4"/>
  <c r="T12" i="1" s="1"/>
  <c r="D4" i="4"/>
  <c r="T11" i="1" s="1"/>
  <c r="H2" i="4"/>
  <c r="S40" i="1"/>
  <c r="I40" i="1" s="1"/>
  <c r="T40" i="1"/>
  <c r="S41" i="1"/>
  <c r="I41" i="1" s="1"/>
  <c r="T41" i="1"/>
  <c r="S42" i="1"/>
  <c r="I42" i="1" s="1"/>
  <c r="T42" i="1"/>
  <c r="S9" i="1"/>
  <c r="I9" i="1" s="1"/>
  <c r="S39" i="1"/>
  <c r="I39" i="1" s="1"/>
  <c r="S38" i="1"/>
  <c r="I38" i="1" s="1"/>
  <c r="S37" i="1"/>
  <c r="I37" i="1" s="1"/>
  <c r="T35" i="1"/>
  <c r="S35" i="1"/>
  <c r="I35" i="1" s="1"/>
  <c r="O35" i="1"/>
  <c r="T23" i="1"/>
  <c r="S23" i="1"/>
  <c r="O23" i="1"/>
  <c r="T19" i="1"/>
  <c r="S19" i="1"/>
  <c r="O19" i="1"/>
  <c r="T18" i="1"/>
  <c r="S18" i="1"/>
  <c r="O18" i="1"/>
  <c r="T17" i="1"/>
  <c r="S17" i="1"/>
  <c r="O17" i="1"/>
  <c r="T15" i="1"/>
  <c r="S15" i="1"/>
  <c r="I15" i="1" s="1"/>
  <c r="O15" i="1"/>
  <c r="S14" i="1"/>
  <c r="I14" i="1" s="1"/>
  <c r="S10" i="1"/>
  <c r="O10" i="1"/>
  <c r="T8" i="1"/>
  <c r="S8" i="1"/>
  <c r="S7" i="1"/>
  <c r="T5" i="1"/>
  <c r="S5" i="1"/>
  <c r="O5" i="1"/>
  <c r="T3" i="1"/>
  <c r="S3" i="1"/>
  <c r="O3" i="1"/>
  <c r="T2" i="1"/>
  <c r="S2" i="1"/>
  <c r="M4" i="11" l="1"/>
  <c r="C2" i="11"/>
  <c r="T43" i="1"/>
  <c r="O43" i="1"/>
  <c r="C10" i="11"/>
  <c r="C9" i="11"/>
  <c r="C4" i="11"/>
  <c r="C6" i="11"/>
  <c r="N10" i="11"/>
  <c r="C5" i="11"/>
  <c r="D3" i="11"/>
  <c r="D9" i="11"/>
  <c r="E2" i="11"/>
  <c r="E5" i="11"/>
  <c r="E10" i="11"/>
  <c r="F2" i="11"/>
  <c r="F3" i="11"/>
  <c r="F4" i="11"/>
  <c r="F5" i="11"/>
  <c r="F6" i="11"/>
  <c r="F7" i="11"/>
  <c r="F8" i="11"/>
  <c r="F9" i="11"/>
  <c r="F10" i="11"/>
  <c r="D8" i="11"/>
  <c r="E9" i="11"/>
  <c r="G2" i="11"/>
  <c r="G3" i="11"/>
  <c r="G4" i="11"/>
  <c r="G5" i="11"/>
  <c r="G6" i="11"/>
  <c r="G7" i="11"/>
  <c r="G8" i="11"/>
  <c r="G9" i="11"/>
  <c r="G10" i="11"/>
  <c r="D6" i="11"/>
  <c r="E3" i="11"/>
  <c r="H2" i="11"/>
  <c r="H3" i="11"/>
  <c r="H4" i="11"/>
  <c r="H5" i="11"/>
  <c r="H6" i="11"/>
  <c r="H7" i="11"/>
  <c r="H8" i="11"/>
  <c r="H9" i="11"/>
  <c r="H10" i="11"/>
  <c r="C3" i="11"/>
  <c r="D4" i="11"/>
  <c r="E6" i="11"/>
  <c r="I2" i="11"/>
  <c r="I3" i="11"/>
  <c r="I4" i="11"/>
  <c r="I5" i="11"/>
  <c r="I6" i="11"/>
  <c r="I7" i="11"/>
  <c r="I8" i="11"/>
  <c r="I9" i="11"/>
  <c r="I10" i="11"/>
  <c r="C7" i="11"/>
  <c r="D7" i="11"/>
  <c r="E4" i="11"/>
  <c r="J2" i="11"/>
  <c r="J3" i="11"/>
  <c r="J4" i="11"/>
  <c r="J5" i="11"/>
  <c r="J6" i="11"/>
  <c r="J7" i="11"/>
  <c r="J8" i="11"/>
  <c r="J9" i="11"/>
  <c r="J10" i="11"/>
  <c r="C8" i="11"/>
  <c r="D5" i="11"/>
  <c r="E8" i="11"/>
  <c r="E18" i="11" s="1"/>
  <c r="K2" i="11"/>
  <c r="K3" i="11"/>
  <c r="K4" i="11"/>
  <c r="K5" i="11"/>
  <c r="K6" i="11"/>
  <c r="K7" i="11"/>
  <c r="K8" i="11"/>
  <c r="K9" i="11"/>
  <c r="K10" i="11"/>
  <c r="D2" i="11"/>
  <c r="D10" i="11"/>
  <c r="E7" i="11"/>
  <c r="L2" i="11"/>
  <c r="L3" i="11"/>
  <c r="L4" i="11"/>
  <c r="L5" i="11"/>
  <c r="L6" i="11"/>
  <c r="L7" i="11"/>
  <c r="L8" i="11"/>
  <c r="L9" i="11"/>
  <c r="L10" i="11"/>
  <c r="M2" i="11"/>
  <c r="M3" i="11"/>
  <c r="M5" i="11"/>
  <c r="M6" i="11"/>
  <c r="M7" i="11"/>
  <c r="M8" i="11"/>
  <c r="M9" i="11"/>
  <c r="M10" i="11"/>
  <c r="N2" i="11"/>
  <c r="N3" i="11"/>
  <c r="N4" i="11"/>
  <c r="N5" i="11"/>
  <c r="N6" i="11"/>
  <c r="N7" i="11"/>
  <c r="N8" i="11"/>
  <c r="N9" i="11"/>
  <c r="I32" i="1"/>
  <c r="I30" i="1"/>
  <c r="I31" i="1"/>
  <c r="I29" i="1"/>
  <c r="I20" i="1"/>
  <c r="I21" i="1"/>
  <c r="I19" i="1"/>
  <c r="I23" i="1"/>
  <c r="G2" i="5"/>
  <c r="B6" i="4"/>
  <c r="B2" i="4"/>
  <c r="B5" i="4"/>
  <c r="B4" i="4"/>
  <c r="N14" i="11" l="1"/>
  <c r="I17" i="11"/>
  <c r="J14" i="11"/>
  <c r="J12" i="11"/>
  <c r="L20" i="11"/>
  <c r="K16" i="11"/>
  <c r="K15" i="11"/>
  <c r="L19" i="11"/>
  <c r="J17" i="11"/>
  <c r="I13" i="11"/>
  <c r="L18" i="11"/>
  <c r="J18" i="11"/>
  <c r="J16" i="11"/>
  <c r="D12" i="11"/>
  <c r="K12" i="11"/>
  <c r="I12" i="11"/>
  <c r="U43" i="1"/>
  <c r="I18" i="11"/>
  <c r="J15" i="11"/>
  <c r="J13" i="11"/>
  <c r="K19" i="11"/>
  <c r="K18" i="11"/>
  <c r="L12" i="11"/>
  <c r="J19" i="11"/>
  <c r="E17" i="11"/>
  <c r="E14" i="11"/>
  <c r="E16" i="11"/>
  <c r="L16" i="11"/>
  <c r="I16" i="11"/>
  <c r="I15" i="11"/>
  <c r="K14" i="11"/>
  <c r="I14" i="11"/>
  <c r="K17" i="11"/>
  <c r="K20" i="11"/>
  <c r="D16" i="11"/>
  <c r="I20" i="11"/>
  <c r="F19" i="11"/>
  <c r="D13" i="11"/>
  <c r="J20" i="11"/>
  <c r="I19" i="11"/>
  <c r="M20" i="11"/>
  <c r="M19" i="11"/>
  <c r="F12" i="11"/>
  <c r="M17" i="11"/>
  <c r="N18" i="11"/>
  <c r="N17" i="11"/>
  <c r="M13" i="11"/>
  <c r="D15" i="11"/>
  <c r="D14" i="11"/>
  <c r="F20" i="11"/>
  <c r="D19" i="11"/>
  <c r="L17" i="11"/>
  <c r="F15" i="11"/>
  <c r="H16" i="11"/>
  <c r="G15" i="11"/>
  <c r="L15" i="11"/>
  <c r="L14" i="11"/>
  <c r="K13" i="11"/>
  <c r="N16" i="11"/>
  <c r="M12" i="11"/>
  <c r="C13" i="11"/>
  <c r="H19" i="11"/>
  <c r="G18" i="11"/>
  <c r="H18" i="11"/>
  <c r="G17" i="11"/>
  <c r="M15" i="11"/>
  <c r="D18" i="11"/>
  <c r="E12" i="11"/>
  <c r="D17" i="11"/>
  <c r="C19" i="11"/>
  <c r="C20" i="11"/>
  <c r="E13" i="11"/>
  <c r="D20" i="11"/>
  <c r="N13" i="11"/>
  <c r="F16" i="11"/>
  <c r="C16" i="11"/>
  <c r="N12" i="11"/>
  <c r="H17" i="11"/>
  <c r="G16" i="11"/>
  <c r="C14" i="11"/>
  <c r="F14" i="11"/>
  <c r="H15" i="11"/>
  <c r="F13" i="11"/>
  <c r="L13" i="11"/>
  <c r="H13" i="11"/>
  <c r="G12" i="11"/>
  <c r="E20" i="11"/>
  <c r="G14" i="11"/>
  <c r="M18" i="11"/>
  <c r="H14" i="11"/>
  <c r="G13" i="11"/>
  <c r="N19" i="11"/>
  <c r="M16" i="11"/>
  <c r="H12" i="11"/>
  <c r="E19" i="11"/>
  <c r="E15" i="11"/>
  <c r="C18" i="11"/>
  <c r="G20" i="11"/>
  <c r="N15" i="11"/>
  <c r="H20" i="11"/>
  <c r="G19" i="11"/>
  <c r="F18" i="11"/>
  <c r="C15" i="11"/>
  <c r="C17" i="11"/>
  <c r="F17" i="11"/>
  <c r="N20" i="11"/>
  <c r="M14" i="11"/>
  <c r="B2" i="11"/>
  <c r="B8" i="11"/>
  <c r="B10" i="11"/>
  <c r="B3" i="11"/>
  <c r="B4" i="11"/>
  <c r="B6" i="11"/>
  <c r="B7" i="11"/>
  <c r="B9" i="11"/>
  <c r="B5" i="11"/>
  <c r="B20" i="11" l="1"/>
  <c r="B12" i="11"/>
  <c r="B13" i="11"/>
  <c r="B19" i="11"/>
  <c r="B14" i="11"/>
  <c r="B15" i="11"/>
  <c r="B16" i="11"/>
  <c r="B18" i="11"/>
  <c r="B1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tc={E604C659-0D59-4F54-A607-C586853DC41C}</author>
    <author>Note-Priscilla</author>
  </authors>
  <commentList>
    <comment ref="B6" authorId="0" shapeId="0" xr:uid="{E604C659-0D59-4F54-A607-C586853DC4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de porta automática ribeiropolis</t>
      </text>
    </comment>
    <comment ref="O37" authorId="1" shapeId="0" xr:uid="{E89153E0-BB07-44AA-A054-349F0A041501}">
      <text>
        <r>
          <rPr>
            <b/>
            <sz val="9"/>
            <color indexed="81"/>
            <rFont val="Segoe UI"/>
            <family val="2"/>
          </rPr>
          <t>Note-Priscilla:</t>
        </r>
        <r>
          <rPr>
            <sz val="9"/>
            <color indexed="81"/>
            <rFont val="Segoe UI"/>
            <family val="2"/>
          </rPr>
          <t xml:space="preserve">
precisa atualizar mensalmente por conta de juros</t>
        </r>
      </text>
    </comment>
    <comment ref="O38" authorId="1" shapeId="0" xr:uid="{07F6FCAF-8E5E-4C42-8C84-8F3447E79314}">
      <text>
        <r>
          <rPr>
            <b/>
            <sz val="9"/>
            <color indexed="81"/>
            <rFont val="Segoe UI"/>
            <family val="2"/>
          </rPr>
          <t>Note-Priscilla:</t>
        </r>
        <r>
          <rPr>
            <sz val="9"/>
            <color indexed="81"/>
            <rFont val="Segoe UI"/>
            <family val="2"/>
          </rPr>
          <t xml:space="preserve">
precisa atualizar mensalmente por conta da selic</t>
        </r>
      </text>
    </comment>
  </commentList>
</comments>
</file>

<file path=xl/sharedStrings.xml><?xml version="1.0" encoding="utf-8"?>
<sst xmlns="http://schemas.openxmlformats.org/spreadsheetml/2006/main" count="483" uniqueCount="234">
  <si>
    <t>ITEM</t>
  </si>
  <si>
    <t>ATIVOS E BENS</t>
  </si>
  <si>
    <t>FORMATO</t>
  </si>
  <si>
    <t>TIPO</t>
  </si>
  <si>
    <t>EMPRESA</t>
  </si>
  <si>
    <t>Documento</t>
  </si>
  <si>
    <t>CENTRO DE CUSTO</t>
  </si>
  <si>
    <t>STATUS</t>
  </si>
  <si>
    <t>FORMA DE PAGTO</t>
  </si>
  <si>
    <t>Dia Débito</t>
  </si>
  <si>
    <t>ÚLTIMA ATUALIZAÇÃO</t>
  </si>
  <si>
    <t>TOTALIZAÇÃO</t>
  </si>
  <si>
    <t>=====&gt;</t>
  </si>
  <si>
    <t>Trator</t>
  </si>
  <si>
    <t>FINANCIAMENTO</t>
  </si>
  <si>
    <t>MAR BRASIL</t>
  </si>
  <si>
    <t>Contr 014799729</t>
  </si>
  <si>
    <t>NOSSA EMPRESA</t>
  </si>
  <si>
    <t>Pagando</t>
  </si>
  <si>
    <t>Débito CC Bradesco - MBR</t>
  </si>
  <si>
    <t>Plataforma GL-12</t>
  </si>
  <si>
    <t>CONECTIUS</t>
  </si>
  <si>
    <t>Mar Brasil - Rateio</t>
  </si>
  <si>
    <t xml:space="preserve">BNDES Bradesco - CONECTIUS </t>
  </si>
  <si>
    <t>Contr 5897374</t>
  </si>
  <si>
    <t>Débito CC Bradesco - CONECTIUS</t>
  </si>
  <si>
    <t>LOTE 6 - Casa Dauren Pri</t>
  </si>
  <si>
    <t>PESSOAL</t>
  </si>
  <si>
    <t>VIA PIX ITAÚ PRI PF</t>
  </si>
  <si>
    <t>Carro SONGPLUS BYD</t>
  </si>
  <si>
    <t>Contr 291482031</t>
  </si>
  <si>
    <t>Caminhonete Iveco</t>
  </si>
  <si>
    <t xml:space="preserve"> </t>
  </si>
  <si>
    <t>Consórcio Bradesco Grupo 10447 cota 54</t>
  </si>
  <si>
    <t>CONSÓRCIO</t>
  </si>
  <si>
    <t>Contr 701664330</t>
  </si>
  <si>
    <t>Conectius - Rateio</t>
  </si>
  <si>
    <t>Débito CC Bradesco</t>
  </si>
  <si>
    <t>Consórcio Bradesco Grupo 10010 cota 167</t>
  </si>
  <si>
    <t>Desistido</t>
  </si>
  <si>
    <t>Consórcio Bradesco Grupo 10051 cota 186</t>
  </si>
  <si>
    <t>Consórcio Bradesco Grupo 10069 cota 175</t>
  </si>
  <si>
    <t>Consórcio Massey  Grupo 0366 cota 0804</t>
  </si>
  <si>
    <t>Consórcio Massey  Grupo 0367 cota 0202</t>
  </si>
  <si>
    <t xml:space="preserve">Compra Notebook </t>
  </si>
  <si>
    <t>PARCELAMENTO</t>
  </si>
  <si>
    <t>Liquidado</t>
  </si>
  <si>
    <t>CC Elo - Priscilla</t>
  </si>
  <si>
    <t>CC Sicredi Visa Empresarial</t>
  </si>
  <si>
    <t>CC Elo - Dauren</t>
  </si>
  <si>
    <t xml:space="preserve">Compra Tenda </t>
  </si>
  <si>
    <t>Mar Brasil - Rancho</t>
  </si>
  <si>
    <t>Compra Roçadeira</t>
  </si>
  <si>
    <t>DZM - Rancho</t>
  </si>
  <si>
    <t>Parcelamento Alvará 2025</t>
  </si>
  <si>
    <t>DESPESA</t>
  </si>
  <si>
    <t>Guia</t>
  </si>
  <si>
    <t>Parcelamento ISS 2022</t>
  </si>
  <si>
    <t>910009/2022</t>
  </si>
  <si>
    <t>Parcelamento Alvará 2020</t>
  </si>
  <si>
    <t>Parcelamento Simples Nacional</t>
  </si>
  <si>
    <t>Negociação 4911852</t>
  </si>
  <si>
    <t>Giro Pronampe</t>
  </si>
  <si>
    <t>Contr 015828170</t>
  </si>
  <si>
    <t>Débito CC Itau - Conectius</t>
  </si>
  <si>
    <t>Trabalhista (Ed Carlos)</t>
  </si>
  <si>
    <t>Total</t>
  </si>
  <si>
    <t>Cód. Interno</t>
  </si>
  <si>
    <t>Data</t>
  </si>
  <si>
    <t>Entidade</t>
  </si>
  <si>
    <t>Descrição</t>
  </si>
  <si>
    <t>Valor</t>
  </si>
  <si>
    <t>Principal</t>
  </si>
  <si>
    <t>Correção</t>
  </si>
  <si>
    <t>Total pago</t>
  </si>
  <si>
    <t>Simples Nacional</t>
  </si>
  <si>
    <t>Despesas Parcelamento Imposto MBR 01/145 Simples</t>
  </si>
  <si>
    <t>Despesas Parcelamento Imposto MBR 02/145 Simples</t>
  </si>
  <si>
    <t>Despesas Parcelamento Imposto MBR 03/145 Simples</t>
  </si>
  <si>
    <t>Despesas Parcelamento Imposto MBR 04/145 Simples</t>
  </si>
  <si>
    <t>31/01/2022</t>
  </si>
  <si>
    <t>Despesas  Parcelamento Imposto MBR  05/145  Simples Nacional</t>
  </si>
  <si>
    <t>25/02/2022</t>
  </si>
  <si>
    <t>Despesas  Parcelamento Imposto MBR  06/145  Simples Nacional</t>
  </si>
  <si>
    <t>31/03/2022</t>
  </si>
  <si>
    <t>Despesas  Parcelamento Imposto MBR  07/145  Simples Nacional</t>
  </si>
  <si>
    <t>29/04/2022</t>
  </si>
  <si>
    <t>Despesas  Parcelamento Imposto MBR  08/145  Simples Nacional</t>
  </si>
  <si>
    <t>31/05/2022</t>
  </si>
  <si>
    <t>Despesas  Parcelamento Imposto MBR  09/145  Simples Nacional</t>
  </si>
  <si>
    <t>27/06/2022</t>
  </si>
  <si>
    <t>Despesas  Parcelamento Imposto MBR  10/145  Simples Nacional</t>
  </si>
  <si>
    <t>25/07/2022</t>
  </si>
  <si>
    <t>Despesas  Parcelamento Imposto MBR  11/145  Simples Nacional</t>
  </si>
  <si>
    <t>Despesas  Parcelamento Imposto MBR Diferença  11/145  Simples Nacional</t>
  </si>
  <si>
    <t>31/08/2022</t>
  </si>
  <si>
    <t>Despesas  Parcelamento Imposto MBR  12/145  Simples Nacional</t>
  </si>
  <si>
    <t>29/09/2022</t>
  </si>
  <si>
    <t>Despesas  Parcelamento Imposto MBR  13/145  Simples Nacional</t>
  </si>
  <si>
    <t>31/10/2022</t>
  </si>
  <si>
    <t>Despesas  Parcelamento Imposto MBR  14/145  Simples Nacional</t>
  </si>
  <si>
    <t>30/11/2022</t>
  </si>
  <si>
    <t>Despesas  Parcelamento Imposto MBR  15/145  Simples Nacional</t>
  </si>
  <si>
    <t>29/12/2022</t>
  </si>
  <si>
    <t>Despesas  Parcelamento Imposto MBR  16/145  Simples Nacional</t>
  </si>
  <si>
    <t>30/01/2023</t>
  </si>
  <si>
    <t>Despesas  Parcelamento Imposto MBR  17/145  Simples Nacional</t>
  </si>
  <si>
    <t>28/02/2023</t>
  </si>
  <si>
    <t>Despesas  Parcelamento Imposto MBR  18/145  Simples Nacional</t>
  </si>
  <si>
    <t>30/03/2023</t>
  </si>
  <si>
    <t>Despesas  Parcelamento Imposto MBR  19/145  Simples Nacional</t>
  </si>
  <si>
    <t>28/04/2023</t>
  </si>
  <si>
    <t>Despesas  Parcelamento Imposto MBR  20/145  Simples Nacional</t>
  </si>
  <si>
    <t>30/05/2023</t>
  </si>
  <si>
    <t>Despesas  Parcelamento Imposto MBR  21/145  Simples Nacional</t>
  </si>
  <si>
    <t>30/06/2023</t>
  </si>
  <si>
    <t>Despesas  Parcelamento Imposto MBR  22/145  Simples Nacional</t>
  </si>
  <si>
    <t>31/07/2023</t>
  </si>
  <si>
    <t>Despesas  Parcelamento Imposto MBR  23/145  Simples Nacional</t>
  </si>
  <si>
    <t>30/08/2023</t>
  </si>
  <si>
    <t>Despesas  Parcelamento Imposto MBR  24/145  Simples Nacional</t>
  </si>
  <si>
    <t>29/09/2023</t>
  </si>
  <si>
    <t>Despesas  Parcelamento Imposto MBR  25/145  Simples Nacional</t>
  </si>
  <si>
    <t>30/10/2023</t>
  </si>
  <si>
    <t>Despesas  Parcelamento Imposto MBR  26/145  Simples Nacional</t>
  </si>
  <si>
    <t>30/11/2023</t>
  </si>
  <si>
    <t>Despesas  Parcelamento Imposto MBR  27/145  Simples Nacional</t>
  </si>
  <si>
    <t>03/01/2024</t>
  </si>
  <si>
    <t>Despesas  Parcelamento Imposto MBR  28/145  Simples Nacional</t>
  </si>
  <si>
    <t>31/01/2024</t>
  </si>
  <si>
    <t>Despesas  Parcelamento Imposto MBR  29/145  Simples Nacional</t>
  </si>
  <si>
    <t>29/02/2024</t>
  </si>
  <si>
    <t>Despesas  Parcelamento Imposto MBR  30/145  Simples Nacional</t>
  </si>
  <si>
    <t>28/03/2024</t>
  </si>
  <si>
    <t>Despesas  Parcelamento Imposto MBR  31/145  Simples Nacional</t>
  </si>
  <si>
    <t>30/04/2024</t>
  </si>
  <si>
    <t>Despesas  Parcelamento Imposto MBR  32/145  Simples Nacional</t>
  </si>
  <si>
    <t>29/05/2024</t>
  </si>
  <si>
    <t>Despesas  Parcelamento Imposto MBR  33/145  Simples Nacional</t>
  </si>
  <si>
    <t>28/06/2024</t>
  </si>
  <si>
    <t>Despesas  Parcelamento Imposto MBR  34/145  Simples Nacional</t>
  </si>
  <si>
    <t>30/07/2024</t>
  </si>
  <si>
    <t>Despesas  Parcelamento Imposto MBR  35/145  Simples Nacional</t>
  </si>
  <si>
    <t>30/08/2024</t>
  </si>
  <si>
    <t>Despesas  Parcelamento Imposto MBR  36/145  Simples Nacional</t>
  </si>
  <si>
    <t>30/09/2024</t>
  </si>
  <si>
    <t>Despesas  Parcelamento Imposto MBR  37/145  Simples Nacional</t>
  </si>
  <si>
    <t>31/10/2024</t>
  </si>
  <si>
    <t>Despesas  Parcelamento Imposto MBR  38/145  Simples Nacional</t>
  </si>
  <si>
    <t>23/12/2024</t>
  </si>
  <si>
    <t>Despesas  Parcelamento Imposto MBR  39/145  Simples Nacional</t>
  </si>
  <si>
    <t>27/12/2024</t>
  </si>
  <si>
    <t>Despesas  Parcelamento Imposto MBR  40/145  Simples Nacional</t>
  </si>
  <si>
    <t>Despesas  Parcelamento Imposto MBR  41/145  Simples Nacional</t>
  </si>
  <si>
    <t>Despesas  Parcelamento Imposto MBR  42/145  Simples Nacional</t>
  </si>
  <si>
    <t>Despesas  Parcelamento Imposto MBR  43/145  Simples Nacional</t>
  </si>
  <si>
    <t>28/04/2025</t>
  </si>
  <si>
    <t>Despesas  Parcelamento Imposto MBR  44/145 Simples Nacional</t>
  </si>
  <si>
    <t>Despesas  Parcelamento Imposto MBR  45/145 Simples Nacional</t>
  </si>
  <si>
    <t>Cota</t>
  </si>
  <si>
    <t>Período</t>
  </si>
  <si>
    <t>Vr. Pago</t>
  </si>
  <si>
    <t>09/23 a 05/25</t>
  </si>
  <si>
    <t>09/22 a 04/23</t>
  </si>
  <si>
    <t>05/23 a 08/23</t>
  </si>
  <si>
    <t>03/23 a 08/23</t>
  </si>
  <si>
    <t>01/24 a 12/24</t>
  </si>
  <si>
    <t>Despesas  Parcelamento Imposto MBR  46/145 Simples Nacional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</si>
  <si>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</si>
  <si>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</si>
  <si>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</si>
  <si>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</si>
  <si>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</si>
  <si>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</si>
  <si>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</si>
  <si>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</si>
  <si>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</si>
  <si>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</si>
  <si>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</si>
  <si>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Mês</t>
  </si>
  <si>
    <t>Dezembro</t>
  </si>
  <si>
    <t>Ano</t>
  </si>
  <si>
    <t>Total Contrato</t>
  </si>
  <si>
    <t>Valor Parcela</t>
  </si>
  <si>
    <t>Parcelas Contratadas</t>
  </si>
  <si>
    <t>Parcelas Pagas</t>
  </si>
  <si>
    <t>Parcelas Restantes</t>
  </si>
  <si>
    <t>Total Pago</t>
  </si>
  <si>
    <t>Montante a Pagar</t>
  </si>
  <si>
    <t>Início Contrato</t>
  </si>
  <si>
    <t>Término Contrato</t>
  </si>
  <si>
    <t>New Comercio</t>
  </si>
  <si>
    <t>Contemplado</t>
  </si>
  <si>
    <t>ATIVOS</t>
  </si>
  <si>
    <t>Detalhes</t>
  </si>
  <si>
    <t>CDC Veículo</t>
  </si>
  <si>
    <t xml:space="preserve">Caminhão GL-12 </t>
  </si>
  <si>
    <t xml:space="preserve">Consórcio Bradesco </t>
  </si>
  <si>
    <t>Grupo 10447 cota 54</t>
  </si>
  <si>
    <t>Grupo 10010 cota 167</t>
  </si>
  <si>
    <t>Grupo 10051 cota 186</t>
  </si>
  <si>
    <t>Grupo 10069 cota 175</t>
  </si>
  <si>
    <t xml:space="preserve">Consórcio Massey </t>
  </si>
  <si>
    <t xml:space="preserve">Consórcio Massey  </t>
  </si>
  <si>
    <t>Grupo 0378 cota 0458</t>
  </si>
  <si>
    <t>Grupo 0367 cota 0202</t>
  </si>
  <si>
    <t>Grupo 0366 cota 0804</t>
  </si>
  <si>
    <t>Compra Notebook</t>
  </si>
  <si>
    <t xml:space="preserve"> - 4un</t>
  </si>
  <si>
    <t xml:space="preserve">Compra Notebooks </t>
  </si>
  <si>
    <t>- 7un</t>
  </si>
  <si>
    <t xml:space="preserve">Compra Monitores </t>
  </si>
  <si>
    <t>- 10un</t>
  </si>
  <si>
    <t>Compra Monitores</t>
  </si>
  <si>
    <t xml:space="preserve"> - 10un</t>
  </si>
  <si>
    <t>Compra Monitor</t>
  </si>
  <si>
    <t>Priscilla/Tchandra</t>
  </si>
  <si>
    <t>Smartphones</t>
  </si>
  <si>
    <t xml:space="preserve"> - 05un</t>
  </si>
  <si>
    <t xml:space="preserve"> - 04un</t>
  </si>
  <si>
    <t xml:space="preserve"> - 02un</t>
  </si>
  <si>
    <t>Iphone</t>
  </si>
  <si>
    <t xml:space="preserve"> - Priscilla</t>
  </si>
  <si>
    <t>Cadeiras Escritório</t>
  </si>
  <si>
    <t xml:space="preserve"> Comercial</t>
  </si>
  <si>
    <t xml:space="preserve"> TI</t>
  </si>
  <si>
    <t>Televisores Escritório</t>
  </si>
  <si>
    <t>03 unidades</t>
  </si>
  <si>
    <t>ABC Telhas Metálicas</t>
  </si>
  <si>
    <t>Material ribeirópolis</t>
  </si>
  <si>
    <t>BNDES Bradesco - Mar Brasil</t>
  </si>
  <si>
    <t>Fatura Claro</t>
  </si>
  <si>
    <t>Boleto - Tchandra</t>
  </si>
  <si>
    <t>Transferido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</si>
</sst>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44" fontId="0" fillId="3" borderId="1" xfId="1" applyFont="1" applyFill="1" applyBorder="1" applyAlignment="1">
      <alignment horizontal="left"/>
    </xf>
    <xf numFmtId="44" fontId="0" fillId="3" borderId="1" xfId="0" applyNumberForma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left"/>
    </xf>
    <xf numFmtId="44" fontId="0" fillId="0" borderId="1" xfId="0" applyNumberFormat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4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 applyAlignment="1">
      <alignment horizontal="left"/>
    </xf>
    <xf numFmtId="1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0" fillId="3" borderId="1" xfId="0" applyNumberForma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" xfId="0" quotePrefix="1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44" fontId="6" fillId="4" borderId="1" xfId="0" applyNumberFormat="1" applyFont="1" applyFill="1" applyBorder="1" applyAlignment="1">
      <alignment horizontal="center"/>
    </xf>
    <xf numFmtId="14" fontId="0" fillId="0" borderId="0" xfId="0" applyNumberFormat="1"/>
    <xf numFmtId="44" fontId="0" fillId="0" borderId="0" xfId="1" applyFont="1"/>
    <xf numFmtId="44" fontId="0" fillId="0" borderId="1" xfId="1" applyFont="1" applyBorder="1"/>
    <xf numFmtId="0" fontId="0" fillId="0" borderId="0" xfId="0" applyAlignment="1">
      <alignment horizontal="center" vertical="center" wrapText="1"/>
    </xf>
    <xf numFmtId="1" fontId="0" fillId="3" borderId="2" xfId="0" applyNumberFormat="1" applyFill="1" applyBorder="1" applyAlignment="1">
      <alignment horizontal="right"/>
    </xf>
    <xf numFmtId="0" fontId="5" fillId="3" borderId="1" xfId="2" applyFill="1" applyBorder="1" applyAlignment="1">
      <alignment horizontal="left"/>
    </xf>
    <xf numFmtId="17" fontId="0" fillId="0" borderId="0" xfId="0" applyNumberFormat="1"/>
    <xf numFmtId="0" fontId="8" fillId="0" borderId="0" xfId="0" applyFont="1"/>
    <xf numFmtId="44" fontId="8" fillId="0" borderId="0" xfId="1" applyFont="1"/>
    <xf numFmtId="44" fontId="9" fillId="0" borderId="0" xfId="1" applyFont="1"/>
    <xf numFmtId="14" fontId="0" fillId="0" borderId="1" xfId="0" applyNumberFormat="1" applyBorder="1"/>
    <xf numFmtId="0" fontId="0" fillId="0" borderId="3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right"/>
    </xf>
    <xf numFmtId="14" fontId="8" fillId="0" borderId="0" xfId="0" applyNumberFormat="1" applyFont="1"/>
    <xf numFmtId="1" fontId="0" fillId="3" borderId="1" xfId="0" applyNumberFormat="1" applyFill="1" applyBorder="1" applyAlignment="1">
      <alignment horizontal="left"/>
    </xf>
    <xf numFmtId="1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1" fontId="2" fillId="4" borderId="1" xfId="0" applyNumberFormat="1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4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44" fontId="2" fillId="2" borderId="4" xfId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vertical="center" wrapText="1"/>
    </xf>
    <xf numFmtId="44" fontId="2" fillId="2" borderId="4" xfId="0" applyNumberFormat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right" vertical="center" wrapText="1"/>
    </xf>
    <xf numFmtId="1" fontId="0" fillId="5" borderId="6" xfId="0" applyNumberFormat="1" applyFill="1" applyBorder="1"/>
    <xf numFmtId="1" fontId="0" fillId="5" borderId="7" xfId="0" applyNumberFormat="1" applyFill="1" applyBorder="1"/>
    <xf numFmtId="1" fontId="0" fillId="0" borderId="6" xfId="0" applyNumberFormat="1" applyBorder="1"/>
    <xf numFmtId="1" fontId="0" fillId="0" borderId="7" xfId="0" applyNumberFormat="1" applyBorder="1"/>
    <xf numFmtId="1" fontId="2" fillId="5" borderId="5" xfId="0" applyNumberFormat="1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10" fillId="6" borderId="5" xfId="0" applyNumberFormat="1" applyFont="1" applyFill="1" applyBorder="1" applyAlignment="1">
      <alignment horizontal="center"/>
    </xf>
    <xf numFmtId="1" fontId="10" fillId="6" borderId="6" xfId="0" applyNumberFormat="1" applyFont="1" applyFill="1" applyBorder="1" applyAlignment="1">
      <alignment horizontal="center"/>
    </xf>
    <xf numFmtId="1" fontId="10" fillId="6" borderId="7" xfId="0" applyNumberFormat="1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7" borderId="1" xfId="0" applyNumberFormat="1" applyFont="1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5" fillId="7" borderId="1" xfId="2" applyFill="1" applyBorder="1" applyAlignment="1">
      <alignment horizontal="left"/>
    </xf>
    <xf numFmtId="0" fontId="0" fillId="7" borderId="2" xfId="0" applyFill="1" applyBorder="1" applyAlignment="1">
      <alignment horizontal="left"/>
    </xf>
    <xf numFmtId="1" fontId="0" fillId="7" borderId="2" xfId="0" applyNumberFormat="1" applyFill="1" applyBorder="1" applyAlignment="1">
      <alignment horizontal="right"/>
    </xf>
    <xf numFmtId="14" fontId="0" fillId="7" borderId="2" xfId="0" applyNumberFormat="1" applyFill="1" applyBorder="1" applyAlignment="1">
      <alignment horizontal="left"/>
    </xf>
    <xf numFmtId="44" fontId="0" fillId="7" borderId="1" xfId="1" applyFont="1" applyFill="1" applyBorder="1" applyAlignment="1">
      <alignment horizontal="left"/>
    </xf>
    <xf numFmtId="1" fontId="0" fillId="7" borderId="1" xfId="0" applyNumberFormat="1" applyFill="1" applyBorder="1"/>
    <xf numFmtId="1" fontId="0" fillId="7" borderId="1" xfId="0" applyNumberFormat="1" applyFill="1" applyBorder="1" applyAlignment="1">
      <alignment horizontal="right"/>
    </xf>
    <xf numFmtId="44" fontId="0" fillId="7" borderId="1" xfId="0" applyNumberFormat="1" applyFill="1" applyBorder="1" applyAlignment="1">
      <alignment horizontal="left"/>
    </xf>
    <xf numFmtId="0" fontId="0" fillId="7" borderId="0" xfId="0" applyFill="1" applyAlignment="1">
      <alignment horizontal="left"/>
    </xf>
    <xf numFmtId="3" fontId="2" fillId="8" borderId="0" xfId="0" applyNumberFormat="1" applyFont="1" applyFill="1"/>
    <xf numFmtId="0" fontId="5" fillId="0" borderId="1" xfId="2" applyBorder="1"/>
    <xf numFmtId="0" fontId="7" fillId="4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4" fontId="7" fillId="4" borderId="1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4" fontId="0" fillId="0" borderId="2" xfId="0" applyNumberFormat="1" applyBorder="1"/>
    <xf numFmtId="14" fontId="0" fillId="7" borderId="1" xfId="0" applyNumberFormat="1" applyFill="1" applyBorder="1" applyAlignment="1">
      <alignment horizontal="left"/>
    </xf>
    <xf numFmtId="1" fontId="0" fillId="3" borderId="2" xfId="0" applyNumberFormat="1" applyFill="1" applyBorder="1" applyAlignment="1">
      <alignment horizontal="left"/>
    </xf>
    <xf numFmtId="16" fontId="6" fillId="4" borderId="1" xfId="0" applyNumberFormat="1" applyFont="1" applyFill="1" applyBorder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25">
    <dxf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PARCELAMENTOS!$P$1:$P$2</c:f>
              <c:strCache>
                <c:ptCount val="2"/>
                <c:pt idx="0">
                  <c:v>Parcelas Contratadas</c:v>
                </c:pt>
                <c:pt idx="1">
                  <c:v>60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PARCELAMENTOS!$B$3:$B$43</c:f>
              <c:strCache>
                <c:ptCount val="41"/>
                <c:pt idx="0">
                  <c:v>Plataforma GL-12</c:v>
                </c:pt>
                <c:pt idx="1">
                  <c:v>ABC Telhas Metálicas</c:v>
                </c:pt>
                <c:pt idx="2">
                  <c:v>Caminhão GL-12 </c:v>
                </c:pt>
                <c:pt idx="3">
                  <c:v>New Comercio</c:v>
                </c:pt>
                <c:pt idx="4">
                  <c:v>LOTE 6 - Casa Dauren Pri</c:v>
                </c:pt>
                <c:pt idx="5">
                  <c:v>Carro SONGPLUS BYD</c:v>
                </c:pt>
                <c:pt idx="6">
                  <c:v>Caminhonete Iveco</c:v>
                </c:pt>
                <c:pt idx="7">
                  <c:v>Consórcio Bradesco 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Massey </c:v>
                </c:pt>
                <c:pt idx="12">
                  <c:v>Consórcio Massey  </c:v>
                </c:pt>
                <c:pt idx="13">
                  <c:v>Consórcio Massey  </c:v>
                </c:pt>
                <c:pt idx="14">
                  <c:v>Compra Notebook </c:v>
                </c:pt>
                <c:pt idx="15">
                  <c:v>Compra Notebook </c:v>
                </c:pt>
                <c:pt idx="16">
                  <c:v>Compra Notebook</c:v>
                </c:pt>
                <c:pt idx="17">
                  <c:v>Compra Notebooks </c:v>
                </c:pt>
                <c:pt idx="18">
                  <c:v>Compra Monitores </c:v>
                </c:pt>
                <c:pt idx="19">
                  <c:v>Compra Monitores</c:v>
                </c:pt>
                <c:pt idx="20">
                  <c:v>Compra Monitor</c:v>
                </c:pt>
                <c:pt idx="21">
                  <c:v>Smartphones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Iphone</c:v>
                </c:pt>
                <c:pt idx="25">
                  <c:v>Iphone</c:v>
                </c:pt>
                <c:pt idx="26">
                  <c:v>Cadeiras Escritório</c:v>
                </c:pt>
                <c:pt idx="27">
                  <c:v>Cadeiras Escritório</c:v>
                </c:pt>
                <c:pt idx="28">
                  <c:v>Televisores Escritório</c:v>
                </c:pt>
                <c:pt idx="29">
                  <c:v>Compra Tenda </c:v>
                </c:pt>
                <c:pt idx="30">
                  <c:v>Compra Roçadeira</c:v>
                </c:pt>
                <c:pt idx="31">
                  <c:v>Parcelamento Alvará 2025</c:v>
                </c:pt>
                <c:pt idx="32">
                  <c:v>Parcelamento ISS 2022</c:v>
                </c:pt>
                <c:pt idx="33">
                  <c:v>Parcelamento Alvará 2020</c:v>
                </c:pt>
                <c:pt idx="34">
                  <c:v>Parcelamento Simples Nacional</c:v>
                </c:pt>
                <c:pt idx="35">
                  <c:v>Giro Pronampe</c:v>
                </c:pt>
                <c:pt idx="36">
                  <c:v>Giro Pronampe</c:v>
                </c:pt>
                <c:pt idx="37">
                  <c:v>Trabalhista (Ed Carlos)</c:v>
                </c:pt>
                <c:pt idx="38">
                  <c:v>Trabalhista (Ed Carlos)</c:v>
                </c:pt>
                <c:pt idx="39">
                  <c:v>Trabalhista (Ed Carlos)</c:v>
                </c:pt>
                <c:pt idx="40">
                  <c:v>ÚLTIMA ATUALIZAÇÃO</c:v>
                </c:pt>
              </c:strCache>
            </c:strRef>
          </c:cat>
          <c:val>
            <c:numRef>
              <c:f>PARCELAMENTOS!$P$3:$P$43</c:f>
              <c:numCache>
                <c:formatCode>0</c:formatCode>
                <c:ptCount val="41"/>
                <c:pt idx="0">
                  <c:v>36</c:v>
                </c:pt>
                <c:pt idx="1">
                  <c:v>40</c:v>
                </c:pt>
                <c:pt idx="2">
                  <c:v>60</c:v>
                </c:pt>
                <c:pt idx="3">
                  <c:v>36</c:v>
                </c:pt>
                <c:pt idx="4">
                  <c:v>66</c:v>
                </c:pt>
                <c:pt idx="5">
                  <c:v>48</c:v>
                </c:pt>
                <c:pt idx="6">
                  <c:v>12</c:v>
                </c:pt>
                <c:pt idx="7">
                  <c:v>89</c:v>
                </c:pt>
                <c:pt idx="8">
                  <c:v>65</c:v>
                </c:pt>
                <c:pt idx="9">
                  <c:v>66</c:v>
                </c:pt>
                <c:pt idx="10">
                  <c:v>66</c:v>
                </c:pt>
                <c:pt idx="11">
                  <c:v>60</c:v>
                </c:pt>
                <c:pt idx="12">
                  <c:v>117</c:v>
                </c:pt>
                <c:pt idx="13">
                  <c:v>60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12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24</c:v>
                </c:pt>
                <c:pt idx="25">
                  <c:v>24</c:v>
                </c:pt>
                <c:pt idx="26">
                  <c:v>10</c:v>
                </c:pt>
                <c:pt idx="27">
                  <c:v>10</c:v>
                </c:pt>
                <c:pt idx="28">
                  <c:v>12</c:v>
                </c:pt>
                <c:pt idx="29">
                  <c:v>12</c:v>
                </c:pt>
                <c:pt idx="30">
                  <c:v>10</c:v>
                </c:pt>
                <c:pt idx="31">
                  <c:v>8</c:v>
                </c:pt>
                <c:pt idx="32">
                  <c:v>60</c:v>
                </c:pt>
                <c:pt idx="33">
                  <c:v>12</c:v>
                </c:pt>
                <c:pt idx="34">
                  <c:v>145</c:v>
                </c:pt>
                <c:pt idx="35">
                  <c:v>42</c:v>
                </c:pt>
                <c:pt idx="36">
                  <c:v>42</c:v>
                </c:pt>
                <c:pt idx="37">
                  <c:v>16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5-47F4-A626-DCA4E87074A7}"/>
            </c:ext>
          </c:extLst>
        </c:ser>
        <c:ser>
          <c:idx val="1"/>
          <c:order val="1"/>
          <c:tx>
            <c:strRef>
              <c:f>PARCELAMENTOS!$R$1:$R$2</c:f>
              <c:strCache>
                <c:ptCount val="2"/>
                <c:pt idx="0">
                  <c:v>Parcelas Pagas</c:v>
                </c:pt>
                <c:pt idx="1">
                  <c:v>54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PARCELAMENTOS!$B$3:$B$43</c:f>
              <c:strCache>
                <c:ptCount val="41"/>
                <c:pt idx="0">
                  <c:v>Plataforma GL-12</c:v>
                </c:pt>
                <c:pt idx="1">
                  <c:v>ABC Telhas Metálicas</c:v>
                </c:pt>
                <c:pt idx="2">
                  <c:v>Caminhão GL-12 </c:v>
                </c:pt>
                <c:pt idx="3">
                  <c:v>New Comercio</c:v>
                </c:pt>
                <c:pt idx="4">
                  <c:v>LOTE 6 - Casa Dauren Pri</c:v>
                </c:pt>
                <c:pt idx="5">
                  <c:v>Carro SONGPLUS BYD</c:v>
                </c:pt>
                <c:pt idx="6">
                  <c:v>Caminhonete Iveco</c:v>
                </c:pt>
                <c:pt idx="7">
                  <c:v>Consórcio Bradesco 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Massey </c:v>
                </c:pt>
                <c:pt idx="12">
                  <c:v>Consórcio Massey  </c:v>
                </c:pt>
                <c:pt idx="13">
                  <c:v>Consórcio Massey  </c:v>
                </c:pt>
                <c:pt idx="14">
                  <c:v>Compra Notebook </c:v>
                </c:pt>
                <c:pt idx="15">
                  <c:v>Compra Notebook </c:v>
                </c:pt>
                <c:pt idx="16">
                  <c:v>Compra Notebook</c:v>
                </c:pt>
                <c:pt idx="17">
                  <c:v>Compra Notebooks </c:v>
                </c:pt>
                <c:pt idx="18">
                  <c:v>Compra Monitores </c:v>
                </c:pt>
                <c:pt idx="19">
                  <c:v>Compra Monitores</c:v>
                </c:pt>
                <c:pt idx="20">
                  <c:v>Compra Monitor</c:v>
                </c:pt>
                <c:pt idx="21">
                  <c:v>Smartphones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Iphone</c:v>
                </c:pt>
                <c:pt idx="25">
                  <c:v>Iphone</c:v>
                </c:pt>
                <c:pt idx="26">
                  <c:v>Cadeiras Escritório</c:v>
                </c:pt>
                <c:pt idx="27">
                  <c:v>Cadeiras Escritório</c:v>
                </c:pt>
                <c:pt idx="28">
                  <c:v>Televisores Escritório</c:v>
                </c:pt>
                <c:pt idx="29">
                  <c:v>Compra Tenda </c:v>
                </c:pt>
                <c:pt idx="30">
                  <c:v>Compra Roçadeira</c:v>
                </c:pt>
                <c:pt idx="31">
                  <c:v>Parcelamento Alvará 2025</c:v>
                </c:pt>
                <c:pt idx="32">
                  <c:v>Parcelamento ISS 2022</c:v>
                </c:pt>
                <c:pt idx="33">
                  <c:v>Parcelamento Alvará 2020</c:v>
                </c:pt>
                <c:pt idx="34">
                  <c:v>Parcelamento Simples Nacional</c:v>
                </c:pt>
                <c:pt idx="35">
                  <c:v>Giro Pronampe</c:v>
                </c:pt>
                <c:pt idx="36">
                  <c:v>Giro Pronampe</c:v>
                </c:pt>
                <c:pt idx="37">
                  <c:v>Trabalhista (Ed Carlos)</c:v>
                </c:pt>
                <c:pt idx="38">
                  <c:v>Trabalhista (Ed Carlos)</c:v>
                </c:pt>
                <c:pt idx="39">
                  <c:v>Trabalhista (Ed Carlos)</c:v>
                </c:pt>
                <c:pt idx="40">
                  <c:v>ÚLTIMA ATUALIZAÇÃO</c:v>
                </c:pt>
              </c:strCache>
            </c:strRef>
          </c:cat>
          <c:val>
            <c:numRef>
              <c:f>PARCELAMENTOS!$R$3:$R$43</c:f>
              <c:numCache>
                <c:formatCode>0</c:formatCode>
                <c:ptCount val="41"/>
                <c:pt idx="0">
                  <c:v>36</c:v>
                </c:pt>
                <c:pt idx="1">
                  <c:v>29</c:v>
                </c:pt>
                <c:pt idx="2">
                  <c:v>40</c:v>
                </c:pt>
                <c:pt idx="3">
                  <c:v>24</c:v>
                </c:pt>
                <c:pt idx="4">
                  <c:v>36</c:v>
                </c:pt>
                <c:pt idx="5">
                  <c:v>24</c:v>
                </c:pt>
                <c:pt idx="6">
                  <c:v>12</c:v>
                </c:pt>
                <c:pt idx="7">
                  <c:v>39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19</c:v>
                </c:pt>
                <c:pt idx="12">
                  <c:v>21</c:v>
                </c:pt>
                <c:pt idx="13">
                  <c:v>21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8</c:v>
                </c:pt>
                <c:pt idx="18">
                  <c:v>9</c:v>
                </c:pt>
                <c:pt idx="19">
                  <c:v>8</c:v>
                </c:pt>
                <c:pt idx="20">
                  <c:v>12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0</c:v>
                </c:pt>
                <c:pt idx="25">
                  <c:v>23</c:v>
                </c:pt>
                <c:pt idx="26">
                  <c:v>10</c:v>
                </c:pt>
                <c:pt idx="27">
                  <c:v>10</c:v>
                </c:pt>
                <c:pt idx="28">
                  <c:v>12</c:v>
                </c:pt>
                <c:pt idx="29">
                  <c:v>12</c:v>
                </c:pt>
                <c:pt idx="30">
                  <c:v>10</c:v>
                </c:pt>
                <c:pt idx="31">
                  <c:v>8</c:v>
                </c:pt>
                <c:pt idx="32">
                  <c:v>44</c:v>
                </c:pt>
                <c:pt idx="33">
                  <c:v>12</c:v>
                </c:pt>
                <c:pt idx="34">
                  <c:v>50</c:v>
                </c:pt>
                <c:pt idx="35">
                  <c:v>33</c:v>
                </c:pt>
                <c:pt idx="36">
                  <c:v>33</c:v>
                </c:pt>
                <c:pt idx="37" formatCode="General">
                  <c:v>5</c:v>
                </c:pt>
                <c:pt idx="38" formatCode="General">
                  <c:v>0</c:v>
                </c:pt>
                <c:pt idx="3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5-47F4-A626-DCA4E87074A7}"/>
            </c:ext>
          </c:extLst>
        </c:ser>
        <c:ser>
          <c:idx val="2"/>
          <c:order val="2"/>
          <c:tx>
            <c:strRef>
              <c:f>PARCELAMENTOS!$S$1:$S$2</c:f>
              <c:strCache>
                <c:ptCount val="2"/>
                <c:pt idx="0">
                  <c:v>Parcelas Restantes</c:v>
                </c:pt>
                <c:pt idx="1">
                  <c:v>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PARCELAMENTOS!$B$3:$B$43</c:f>
              <c:strCache>
                <c:ptCount val="41"/>
                <c:pt idx="0">
                  <c:v>Plataforma GL-12</c:v>
                </c:pt>
                <c:pt idx="1">
                  <c:v>ABC Telhas Metálicas</c:v>
                </c:pt>
                <c:pt idx="2">
                  <c:v>Caminhão GL-12 </c:v>
                </c:pt>
                <c:pt idx="3">
                  <c:v>New Comercio</c:v>
                </c:pt>
                <c:pt idx="4">
                  <c:v>LOTE 6 - Casa Dauren Pri</c:v>
                </c:pt>
                <c:pt idx="5">
                  <c:v>Carro SONGPLUS BYD</c:v>
                </c:pt>
                <c:pt idx="6">
                  <c:v>Caminhonete Iveco</c:v>
                </c:pt>
                <c:pt idx="7">
                  <c:v>Consórcio Bradesco 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Massey </c:v>
                </c:pt>
                <c:pt idx="12">
                  <c:v>Consórcio Massey  </c:v>
                </c:pt>
                <c:pt idx="13">
                  <c:v>Consórcio Massey  </c:v>
                </c:pt>
                <c:pt idx="14">
                  <c:v>Compra Notebook </c:v>
                </c:pt>
                <c:pt idx="15">
                  <c:v>Compra Notebook </c:v>
                </c:pt>
                <c:pt idx="16">
                  <c:v>Compra Notebook</c:v>
                </c:pt>
                <c:pt idx="17">
                  <c:v>Compra Notebooks </c:v>
                </c:pt>
                <c:pt idx="18">
                  <c:v>Compra Monitores </c:v>
                </c:pt>
                <c:pt idx="19">
                  <c:v>Compra Monitores</c:v>
                </c:pt>
                <c:pt idx="20">
                  <c:v>Compra Monitor</c:v>
                </c:pt>
                <c:pt idx="21">
                  <c:v>Smartphones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Iphone</c:v>
                </c:pt>
                <c:pt idx="25">
                  <c:v>Iphone</c:v>
                </c:pt>
                <c:pt idx="26">
                  <c:v>Cadeiras Escritório</c:v>
                </c:pt>
                <c:pt idx="27">
                  <c:v>Cadeiras Escritório</c:v>
                </c:pt>
                <c:pt idx="28">
                  <c:v>Televisores Escritório</c:v>
                </c:pt>
                <c:pt idx="29">
                  <c:v>Compra Tenda </c:v>
                </c:pt>
                <c:pt idx="30">
                  <c:v>Compra Roçadeira</c:v>
                </c:pt>
                <c:pt idx="31">
                  <c:v>Parcelamento Alvará 2025</c:v>
                </c:pt>
                <c:pt idx="32">
                  <c:v>Parcelamento ISS 2022</c:v>
                </c:pt>
                <c:pt idx="33">
                  <c:v>Parcelamento Alvará 2020</c:v>
                </c:pt>
                <c:pt idx="34">
                  <c:v>Parcelamento Simples Nacional</c:v>
                </c:pt>
                <c:pt idx="35">
                  <c:v>Giro Pronampe</c:v>
                </c:pt>
                <c:pt idx="36">
                  <c:v>Giro Pronampe</c:v>
                </c:pt>
                <c:pt idx="37">
                  <c:v>Trabalhista (Ed Carlos)</c:v>
                </c:pt>
                <c:pt idx="38">
                  <c:v>Trabalhista (Ed Carlos)</c:v>
                </c:pt>
                <c:pt idx="39">
                  <c:v>Trabalhista (Ed Carlos)</c:v>
                </c:pt>
                <c:pt idx="40">
                  <c:v>ÚLTIMA ATUALIZAÇÃO</c:v>
                </c:pt>
              </c:strCache>
            </c:strRef>
          </c:cat>
          <c:val>
            <c:numRef>
              <c:f>PARCELAMENTOS!$S$3:$S$43</c:f>
              <c:numCache>
                <c:formatCode>0</c:formatCode>
                <c:ptCount val="41"/>
                <c:pt idx="0">
                  <c:v>0</c:v>
                </c:pt>
                <c:pt idx="1">
                  <c:v>11</c:v>
                </c:pt>
                <c:pt idx="2">
                  <c:v>20</c:v>
                </c:pt>
                <c:pt idx="3">
                  <c:v>12</c:v>
                </c:pt>
                <c:pt idx="4">
                  <c:v>30</c:v>
                </c:pt>
                <c:pt idx="5">
                  <c:v>24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96</c:v>
                </c:pt>
                <c:pt idx="13">
                  <c:v>39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16</c:v>
                </c:pt>
                <c:pt idx="33">
                  <c:v>0</c:v>
                </c:pt>
                <c:pt idx="34">
                  <c:v>95</c:v>
                </c:pt>
                <c:pt idx="35">
                  <c:v>9</c:v>
                </c:pt>
                <c:pt idx="36">
                  <c:v>9</c:v>
                </c:pt>
                <c:pt idx="37">
                  <c:v>11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B5-47F4-A626-DCA4E87074A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754073647"/>
        <c:axId val="1754076527"/>
      </c:barChart>
      <c:catAx>
        <c:axId val="175407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4076527"/>
        <c:crosses val="autoZero"/>
        <c:auto val="1"/>
        <c:lblAlgn val="ctr"/>
        <c:lblOffset val="100"/>
        <c:noMultiLvlLbl val="0"/>
      </c:catAx>
      <c:valAx>
        <c:axId val="1754076527"/>
        <c:scaling>
          <c:orientation val="minMax"/>
          <c:max val="300"/>
        </c:scaling>
        <c:delete val="1"/>
        <c:axPos val="b"/>
        <c:numFmt formatCode="0" sourceLinked="1"/>
        <c:majorTickMark val="none"/>
        <c:minorTickMark val="none"/>
        <c:tickLblPos val="nextTo"/>
        <c:crossAx val="175407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PARCELAMENTOS!$O$1</c:f>
              <c:strCache>
                <c:ptCount val="1"/>
                <c:pt idx="0">
                  <c:v> Total Contrato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PARCELAMENTOS!$B$2:$B$43</c15:sqref>
                  </c15:fullRef>
                </c:ext>
              </c:extLst>
              <c:f>(PARCELAMENTOS!$B$2:$B$39,PARCELAMENTOS!$B$43)</c:f>
              <c:strCache>
                <c:ptCount val="39"/>
                <c:pt idx="0">
                  <c:v>Trator</c:v>
                </c:pt>
                <c:pt idx="1">
                  <c:v>Plataforma GL-12</c:v>
                </c:pt>
                <c:pt idx="2">
                  <c:v>ABC Telhas Metálicas</c:v>
                </c:pt>
                <c:pt idx="3">
                  <c:v>Caminhão GL-12 </c:v>
                </c:pt>
                <c:pt idx="4">
                  <c:v>New Comercio</c:v>
                </c:pt>
                <c:pt idx="5">
                  <c:v>LOTE 6 - Casa Dauren Pri</c:v>
                </c:pt>
                <c:pt idx="6">
                  <c:v>Carro SONGPLUS BYD</c:v>
                </c:pt>
                <c:pt idx="7">
                  <c:v>Caminhonete Iveco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Bradesco </c:v>
                </c:pt>
                <c:pt idx="12">
                  <c:v>Consórcio Massey </c:v>
                </c:pt>
                <c:pt idx="13">
                  <c:v>Consórcio Massey  </c:v>
                </c:pt>
                <c:pt idx="14">
                  <c:v>Consórcio Massey  </c:v>
                </c:pt>
                <c:pt idx="15">
                  <c:v>Compra Notebook </c:v>
                </c:pt>
                <c:pt idx="16">
                  <c:v>Compra Notebook </c:v>
                </c:pt>
                <c:pt idx="17">
                  <c:v>Compra Notebook</c:v>
                </c:pt>
                <c:pt idx="18">
                  <c:v>Compra Notebooks </c:v>
                </c:pt>
                <c:pt idx="19">
                  <c:v>Compra Monitores </c:v>
                </c:pt>
                <c:pt idx="20">
                  <c:v>Compra Monitores</c:v>
                </c:pt>
                <c:pt idx="21">
                  <c:v>Compra Monitor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Smartphones</c:v>
                </c:pt>
                <c:pt idx="25">
                  <c:v>Iphone</c:v>
                </c:pt>
                <c:pt idx="26">
                  <c:v>Iphone</c:v>
                </c:pt>
                <c:pt idx="27">
                  <c:v>Cadeiras Escritório</c:v>
                </c:pt>
                <c:pt idx="28">
                  <c:v>Cadeiras Escritório</c:v>
                </c:pt>
                <c:pt idx="29">
                  <c:v>Televisores Escritório</c:v>
                </c:pt>
                <c:pt idx="30">
                  <c:v>Compra Tenda </c:v>
                </c:pt>
                <c:pt idx="31">
                  <c:v>Compra Roçadeira</c:v>
                </c:pt>
                <c:pt idx="32">
                  <c:v>Parcelamento Alvará 2025</c:v>
                </c:pt>
                <c:pt idx="33">
                  <c:v>Parcelamento ISS 2022</c:v>
                </c:pt>
                <c:pt idx="34">
                  <c:v>Parcelamento Alvará 2020</c:v>
                </c:pt>
                <c:pt idx="35">
                  <c:v>Parcelamento Simples Nacional</c:v>
                </c:pt>
                <c:pt idx="36">
                  <c:v>Giro Pronampe</c:v>
                </c:pt>
                <c:pt idx="37">
                  <c:v>Giro Pronampe</c:v>
                </c:pt>
                <c:pt idx="38">
                  <c:v>ÚLTIMA ATUALIZAÇÃO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PARCELAMENTOS!$O$2:$O$43</c15:sqref>
                  </c15:fullRef>
                </c:ext>
              </c:extLst>
              <c:f>(PARCELAMENTOS!$O$2:$O$39,PARCELAMENTOS!$O$43)</c:f>
              <c:numCache>
                <c:formatCode>_("R$"* #,##0.00_);_("R$"* \(#,##0.00\);_("R$"* "-"??_);_(@_)</c:formatCode>
                <c:ptCount val="39"/>
                <c:pt idx="0">
                  <c:v>321796.8</c:v>
                </c:pt>
                <c:pt idx="1">
                  <c:v>60549.48</c:v>
                </c:pt>
                <c:pt idx="2">
                  <c:v>79039.600000000006</c:v>
                </c:pt>
                <c:pt idx="3">
                  <c:v>337354.8</c:v>
                </c:pt>
                <c:pt idx="4">
                  <c:v>29255.4</c:v>
                </c:pt>
                <c:pt idx="5">
                  <c:v>650000</c:v>
                </c:pt>
                <c:pt idx="6">
                  <c:v>225465.66</c:v>
                </c:pt>
                <c:pt idx="7">
                  <c:v>129196.44</c:v>
                </c:pt>
                <c:pt idx="8">
                  <c:v>63233.61</c:v>
                </c:pt>
                <c:pt idx="9">
                  <c:v>40914</c:v>
                </c:pt>
                <c:pt idx="10">
                  <c:v>40914</c:v>
                </c:pt>
                <c:pt idx="11">
                  <c:v>40914</c:v>
                </c:pt>
                <c:pt idx="12">
                  <c:v>191982</c:v>
                </c:pt>
                <c:pt idx="13">
                  <c:v>332315.10000000003</c:v>
                </c:pt>
                <c:pt idx="14">
                  <c:v>193396</c:v>
                </c:pt>
                <c:pt idx="15">
                  <c:v>3199</c:v>
                </c:pt>
                <c:pt idx="16">
                  <c:v>3199</c:v>
                </c:pt>
                <c:pt idx="17">
                  <c:v>11196</c:v>
                </c:pt>
                <c:pt idx="18">
                  <c:v>28050.52</c:v>
                </c:pt>
                <c:pt idx="19">
                  <c:v>5390</c:v>
                </c:pt>
                <c:pt idx="20">
                  <c:v>6520</c:v>
                </c:pt>
                <c:pt idx="21">
                  <c:v>2098.1999999999998</c:v>
                </c:pt>
                <c:pt idx="22">
                  <c:v>5834</c:v>
                </c:pt>
                <c:pt idx="23">
                  <c:v>5803.4</c:v>
                </c:pt>
                <c:pt idx="24">
                  <c:v>3295.8</c:v>
                </c:pt>
                <c:pt idx="25">
                  <c:v>8930</c:v>
                </c:pt>
                <c:pt idx="26">
                  <c:v>5939.04</c:v>
                </c:pt>
                <c:pt idx="27">
                  <c:v>4428.8</c:v>
                </c:pt>
                <c:pt idx="28">
                  <c:v>3338.1</c:v>
                </c:pt>
                <c:pt idx="29">
                  <c:v>7797</c:v>
                </c:pt>
                <c:pt idx="30">
                  <c:v>9087</c:v>
                </c:pt>
                <c:pt idx="31">
                  <c:v>693.9</c:v>
                </c:pt>
                <c:pt idx="32">
                  <c:v>2322.5</c:v>
                </c:pt>
                <c:pt idx="33">
                  <c:v>22198.2</c:v>
                </c:pt>
                <c:pt idx="34">
                  <c:v>9307.15</c:v>
                </c:pt>
                <c:pt idx="35">
                  <c:v>232082.29</c:v>
                </c:pt>
                <c:pt idx="36">
                  <c:v>214605.19</c:v>
                </c:pt>
                <c:pt idx="37">
                  <c:v>171116.4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0-4F09-9E10-D197178171F1}"/>
            </c:ext>
          </c:extLst>
        </c:ser>
        <c:ser>
          <c:idx val="1"/>
          <c:order val="1"/>
          <c:tx>
            <c:strRef>
              <c:f>PARCELAMENTOS!$T$1</c:f>
              <c:strCache>
                <c:ptCount val="1"/>
                <c:pt idx="0">
                  <c:v> Total Pago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PARCELAMENTOS!$B$2:$B$43</c15:sqref>
                  </c15:fullRef>
                </c:ext>
              </c:extLst>
              <c:f>(PARCELAMENTOS!$B$2:$B$39,PARCELAMENTOS!$B$43)</c:f>
              <c:strCache>
                <c:ptCount val="39"/>
                <c:pt idx="0">
                  <c:v>Trator</c:v>
                </c:pt>
                <c:pt idx="1">
                  <c:v>Plataforma GL-12</c:v>
                </c:pt>
                <c:pt idx="2">
                  <c:v>ABC Telhas Metálicas</c:v>
                </c:pt>
                <c:pt idx="3">
                  <c:v>Caminhão GL-12 </c:v>
                </c:pt>
                <c:pt idx="4">
                  <c:v>New Comercio</c:v>
                </c:pt>
                <c:pt idx="5">
                  <c:v>LOTE 6 - Casa Dauren Pri</c:v>
                </c:pt>
                <c:pt idx="6">
                  <c:v>Carro SONGPLUS BYD</c:v>
                </c:pt>
                <c:pt idx="7">
                  <c:v>Caminhonete Iveco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Bradesco </c:v>
                </c:pt>
                <c:pt idx="12">
                  <c:v>Consórcio Massey </c:v>
                </c:pt>
                <c:pt idx="13">
                  <c:v>Consórcio Massey  </c:v>
                </c:pt>
                <c:pt idx="14">
                  <c:v>Consórcio Massey  </c:v>
                </c:pt>
                <c:pt idx="15">
                  <c:v>Compra Notebook </c:v>
                </c:pt>
                <c:pt idx="16">
                  <c:v>Compra Notebook </c:v>
                </c:pt>
                <c:pt idx="17">
                  <c:v>Compra Notebook</c:v>
                </c:pt>
                <c:pt idx="18">
                  <c:v>Compra Notebooks </c:v>
                </c:pt>
                <c:pt idx="19">
                  <c:v>Compra Monitores </c:v>
                </c:pt>
                <c:pt idx="20">
                  <c:v>Compra Monitores</c:v>
                </c:pt>
                <c:pt idx="21">
                  <c:v>Compra Monitor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Smartphones</c:v>
                </c:pt>
                <c:pt idx="25">
                  <c:v>Iphone</c:v>
                </c:pt>
                <c:pt idx="26">
                  <c:v>Iphone</c:v>
                </c:pt>
                <c:pt idx="27">
                  <c:v>Cadeiras Escritório</c:v>
                </c:pt>
                <c:pt idx="28">
                  <c:v>Cadeiras Escritório</c:v>
                </c:pt>
                <c:pt idx="29">
                  <c:v>Televisores Escritório</c:v>
                </c:pt>
                <c:pt idx="30">
                  <c:v>Compra Tenda </c:v>
                </c:pt>
                <c:pt idx="31">
                  <c:v>Compra Roçadeira</c:v>
                </c:pt>
                <c:pt idx="32">
                  <c:v>Parcelamento Alvará 2025</c:v>
                </c:pt>
                <c:pt idx="33">
                  <c:v>Parcelamento ISS 2022</c:v>
                </c:pt>
                <c:pt idx="34">
                  <c:v>Parcelamento Alvará 2020</c:v>
                </c:pt>
                <c:pt idx="35">
                  <c:v>Parcelamento Simples Nacional</c:v>
                </c:pt>
                <c:pt idx="36">
                  <c:v>Giro Pronampe</c:v>
                </c:pt>
                <c:pt idx="37">
                  <c:v>Giro Pronampe</c:v>
                </c:pt>
                <c:pt idx="38">
                  <c:v>ÚLTIMA ATUALIZAÇÃO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PARCELAMENTOS!$T$2:$T$43</c15:sqref>
                  </c15:fullRef>
                </c:ext>
              </c:extLst>
              <c:f>(PARCELAMENTOS!$T$2:$T$39,PARCELAMENTOS!$T$43)</c:f>
              <c:numCache>
                <c:formatCode>_("R$"* #,##0.00_);_("R$"* \(#,##0.00\);_("R$"* "-"??_);_(@_)</c:formatCode>
                <c:ptCount val="39"/>
                <c:pt idx="0">
                  <c:v>289618.2</c:v>
                </c:pt>
                <c:pt idx="1">
                  <c:v>60549.48</c:v>
                </c:pt>
                <c:pt idx="2">
                  <c:v>57303.71</c:v>
                </c:pt>
                <c:pt idx="3">
                  <c:v>224903.2</c:v>
                </c:pt>
                <c:pt idx="4">
                  <c:v>19503.599999999999</c:v>
                </c:pt>
                <c:pt idx="5">
                  <c:v>460000</c:v>
                </c:pt>
                <c:pt idx="6">
                  <c:v>190232.16</c:v>
                </c:pt>
                <c:pt idx="7">
                  <c:v>113907.48</c:v>
                </c:pt>
                <c:pt idx="8">
                  <c:v>22575.9</c:v>
                </c:pt>
                <c:pt idx="9">
                  <c:v>3812.01</c:v>
                </c:pt>
                <c:pt idx="10">
                  <c:v>3754.4699999999993</c:v>
                </c:pt>
                <c:pt idx="11">
                  <c:v>3754.4699999999993</c:v>
                </c:pt>
                <c:pt idx="12">
                  <c:v>79635.02</c:v>
                </c:pt>
                <c:pt idx="13">
                  <c:v>59646.3</c:v>
                </c:pt>
                <c:pt idx="14">
                  <c:v>80221.58</c:v>
                </c:pt>
                <c:pt idx="15">
                  <c:v>3199</c:v>
                </c:pt>
                <c:pt idx="16">
                  <c:v>3199</c:v>
                </c:pt>
                <c:pt idx="17">
                  <c:v>11196</c:v>
                </c:pt>
                <c:pt idx="18">
                  <c:v>18700.32</c:v>
                </c:pt>
                <c:pt idx="19">
                  <c:v>4851</c:v>
                </c:pt>
                <c:pt idx="20">
                  <c:v>5216</c:v>
                </c:pt>
                <c:pt idx="21">
                  <c:v>2098.1999999999998</c:v>
                </c:pt>
                <c:pt idx="22">
                  <c:v>5834</c:v>
                </c:pt>
                <c:pt idx="23">
                  <c:v>5803.4000000000005</c:v>
                </c:pt>
                <c:pt idx="24">
                  <c:v>3295.7999999999997</c:v>
                </c:pt>
                <c:pt idx="25">
                  <c:v>0</c:v>
                </c:pt>
                <c:pt idx="26">
                  <c:v>5691.58</c:v>
                </c:pt>
                <c:pt idx="27">
                  <c:v>4428.8</c:v>
                </c:pt>
                <c:pt idx="28">
                  <c:v>3338.1</c:v>
                </c:pt>
                <c:pt idx="29">
                  <c:v>7797</c:v>
                </c:pt>
                <c:pt idx="30">
                  <c:v>9087</c:v>
                </c:pt>
                <c:pt idx="31">
                  <c:v>693.9</c:v>
                </c:pt>
                <c:pt idx="32">
                  <c:v>1858</c:v>
                </c:pt>
                <c:pt idx="33">
                  <c:v>16278.68</c:v>
                </c:pt>
                <c:pt idx="34">
                  <c:v>9306.5999999999985</c:v>
                </c:pt>
                <c:pt idx="35">
                  <c:v>80788.61</c:v>
                </c:pt>
                <c:pt idx="36">
                  <c:v>112714.5</c:v>
                </c:pt>
                <c:pt idx="37">
                  <c:v>140330.87</c:v>
                </c:pt>
                <c:pt idx="38">
                  <c:v>2128873.94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0-4F09-9E10-D197178171F1}"/>
            </c:ext>
          </c:extLst>
        </c:ser>
        <c:ser>
          <c:idx val="2"/>
          <c:order val="2"/>
          <c:tx>
            <c:strRef>
              <c:f>PARCELAMENTOS!$U$1</c:f>
              <c:strCache>
                <c:ptCount val="1"/>
                <c:pt idx="0">
                  <c:v> Montante a Pagar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PARCELAMENTOS!$B$2:$B$43</c15:sqref>
                  </c15:fullRef>
                </c:ext>
              </c:extLst>
              <c:f>(PARCELAMENTOS!$B$2:$B$39,PARCELAMENTOS!$B$43)</c:f>
              <c:strCache>
                <c:ptCount val="39"/>
                <c:pt idx="0">
                  <c:v>Trator</c:v>
                </c:pt>
                <c:pt idx="1">
                  <c:v>Plataforma GL-12</c:v>
                </c:pt>
                <c:pt idx="2">
                  <c:v>ABC Telhas Metálicas</c:v>
                </c:pt>
                <c:pt idx="3">
                  <c:v>Caminhão GL-12 </c:v>
                </c:pt>
                <c:pt idx="4">
                  <c:v>New Comercio</c:v>
                </c:pt>
                <c:pt idx="5">
                  <c:v>LOTE 6 - Casa Dauren Pri</c:v>
                </c:pt>
                <c:pt idx="6">
                  <c:v>Carro SONGPLUS BYD</c:v>
                </c:pt>
                <c:pt idx="7">
                  <c:v>Caminhonete Iveco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Bradesco </c:v>
                </c:pt>
                <c:pt idx="12">
                  <c:v>Consórcio Massey </c:v>
                </c:pt>
                <c:pt idx="13">
                  <c:v>Consórcio Massey  </c:v>
                </c:pt>
                <c:pt idx="14">
                  <c:v>Consórcio Massey  </c:v>
                </c:pt>
                <c:pt idx="15">
                  <c:v>Compra Notebook </c:v>
                </c:pt>
                <c:pt idx="16">
                  <c:v>Compra Notebook </c:v>
                </c:pt>
                <c:pt idx="17">
                  <c:v>Compra Notebook</c:v>
                </c:pt>
                <c:pt idx="18">
                  <c:v>Compra Notebooks </c:v>
                </c:pt>
                <c:pt idx="19">
                  <c:v>Compra Monitores </c:v>
                </c:pt>
                <c:pt idx="20">
                  <c:v>Compra Monitores</c:v>
                </c:pt>
                <c:pt idx="21">
                  <c:v>Compra Monitor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Smartphones</c:v>
                </c:pt>
                <c:pt idx="25">
                  <c:v>Iphone</c:v>
                </c:pt>
                <c:pt idx="26">
                  <c:v>Iphone</c:v>
                </c:pt>
                <c:pt idx="27">
                  <c:v>Cadeiras Escritório</c:v>
                </c:pt>
                <c:pt idx="28">
                  <c:v>Cadeiras Escritório</c:v>
                </c:pt>
                <c:pt idx="29">
                  <c:v>Televisores Escritório</c:v>
                </c:pt>
                <c:pt idx="30">
                  <c:v>Compra Tenda </c:v>
                </c:pt>
                <c:pt idx="31">
                  <c:v>Compra Roçadeira</c:v>
                </c:pt>
                <c:pt idx="32">
                  <c:v>Parcelamento Alvará 2025</c:v>
                </c:pt>
                <c:pt idx="33">
                  <c:v>Parcelamento ISS 2022</c:v>
                </c:pt>
                <c:pt idx="34">
                  <c:v>Parcelamento Alvará 2020</c:v>
                </c:pt>
                <c:pt idx="35">
                  <c:v>Parcelamento Simples Nacional</c:v>
                </c:pt>
                <c:pt idx="36">
                  <c:v>Giro Pronampe</c:v>
                </c:pt>
                <c:pt idx="37">
                  <c:v>Giro Pronampe</c:v>
                </c:pt>
                <c:pt idx="38">
                  <c:v>ÚLTIMA ATUALIZAÇÃO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PARCELAMENTOS!$U$2:$U$43</c15:sqref>
                  </c15:fullRef>
                </c:ext>
              </c:extLst>
              <c:f>(PARCELAMENTOS!$U$2:$U$39,PARCELAMENTOS!$U$43)</c:f>
              <c:numCache>
                <c:formatCode>_("R$"* #,##0.00_);_("R$"* \(#,##0.00\);_("R$"* "-"??_);_(@_)</c:formatCode>
                <c:ptCount val="39"/>
                <c:pt idx="0">
                  <c:v>32179.800000000003</c:v>
                </c:pt>
                <c:pt idx="1">
                  <c:v>0</c:v>
                </c:pt>
                <c:pt idx="2">
                  <c:v>21735.89</c:v>
                </c:pt>
                <c:pt idx="3">
                  <c:v>112451.6</c:v>
                </c:pt>
                <c:pt idx="4">
                  <c:v>9751.7999999999993</c:v>
                </c:pt>
                <c:pt idx="5">
                  <c:v>150000</c:v>
                </c:pt>
                <c:pt idx="6">
                  <c:v>110432.16</c:v>
                </c:pt>
                <c:pt idx="7">
                  <c:v>0</c:v>
                </c:pt>
                <c:pt idx="8">
                  <c:v>35524.5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101043.26999999999</c:v>
                </c:pt>
                <c:pt idx="13">
                  <c:v>272668.80000000005</c:v>
                </c:pt>
                <c:pt idx="14">
                  <c:v>94096.079999999987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9350.16</c:v>
                </c:pt>
                <c:pt idx="19">
                  <c:v>539</c:v>
                </c:pt>
                <c:pt idx="20">
                  <c:v>1304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5939.04</c:v>
                </c:pt>
                <c:pt idx="26">
                  <c:v>247.46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5919.52</c:v>
                </c:pt>
                <c:pt idx="34">
                  <c:v>0</c:v>
                </c:pt>
                <c:pt idx="35">
                  <c:v>217950.9</c:v>
                </c:pt>
                <c:pt idx="36">
                  <c:v>52337.430000000008</c:v>
                </c:pt>
                <c:pt idx="37">
                  <c:v>36737.909999999996</c:v>
                </c:pt>
                <c:pt idx="38">
                  <c:v>1279209.3199999998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0-4F09-9E10-D197178171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43710079"/>
        <c:axId val="1643722079"/>
      </c:barChart>
      <c:catAx>
        <c:axId val="164371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3722079"/>
        <c:crosses val="autoZero"/>
        <c:auto val="1"/>
        <c:lblAlgn val="ctr"/>
        <c:lblOffset val="100"/>
        <c:noMultiLvlLbl val="0"/>
      </c:catAx>
      <c:valAx>
        <c:axId val="164372207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43710079"/>
        <c:crosses val="autoZero"/>
        <c:crossBetween val="between"/>
      </c:valAx>
      <c:spPr>
        <a:noFill/>
        <a:ln>
          <a:solidFill>
            <a:srgbClr val="FF0000">
              <a:alpha val="98000"/>
            </a:srgb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447675</xdr:colOff>
      <xdr:row>42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8B8832-EFED-4EE9-B82F-9878EE814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257174</xdr:colOff>
      <xdr:row>37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F2D278-3B72-4F2D-9E2D-7677A060C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ilherme Barros" id="{F1768756-C0E5-4A54-864F-1A9D060AB13A}" userId="S::guilherme.barros@marbr.com.br::915ee8df-c798-4016-82a7-01f809e4a9e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AFB375-1C23-4BFC-B0A1-F171FD1748DE}" name="Tabela2" displayName="Tabela2" ref="A1:U1048281" totalsRowShown="0" headerRowDxfId="24" dataDxfId="22" headerRowBorderDxfId="23" tableBorderDxfId="21">
  <autoFilter ref="A1:U1048281" xr:uid="{06AFB375-1C23-4BFC-B0A1-F171FD1748DE}"/>
  <sortState xmlns:xlrd2="http://schemas.microsoft.com/office/spreadsheetml/2017/richdata2" ref="A2:U43">
    <sortCondition ref="A1:A1048281"/>
  </sortState>
  <tableColumns count="21">
    <tableColumn id="1" xr3:uid="{CC0FBD38-6145-46FB-8CF2-3E8ACFE471A2}" name="ITEM" dataDxfId="20"/>
    <tableColumn id="2" xr3:uid="{5AE0D36A-74FF-475B-8FEA-88FE0BCF98A6}" name="ATIVOS E BENS" dataDxfId="19"/>
    <tableColumn id="21" xr3:uid="{93C88767-CA13-44EF-96A4-261C6712A9CC}" name="Detalhes" dataDxfId="18"/>
    <tableColumn id="3" xr3:uid="{C6179117-4EE1-45EE-A089-F4E3EFF9994D}" name="FORMATO" dataDxfId="17"/>
    <tableColumn id="4" xr3:uid="{8B364D0A-98FB-4951-A449-76D761DF7B7C}" name="TIPO" dataDxfId="16"/>
    <tableColumn id="5" xr3:uid="{CA393323-FBD7-4239-9CC5-7DB071FD0379}" name="EMPRESA" dataDxfId="15"/>
    <tableColumn id="6" xr3:uid="{CD500396-A75A-4E39-9732-E7D10D255B96}" name="Documento" dataDxfId="14"/>
    <tableColumn id="7" xr3:uid="{F074212F-F3B9-4620-A0BF-A78F3F5D624D}" name="CENTRO DE CUSTO" dataDxfId="13"/>
    <tableColumn id="8" xr3:uid="{DA1649E6-31E6-4D60-80DD-674514C443C1}" name="STATUS" dataDxfId="12"/>
    <tableColumn id="9" xr3:uid="{80361036-9ED4-4F50-AD66-DCD3444A4247}" name="FORMA DE PAGTO" dataDxfId="11"/>
    <tableColumn id="10" xr3:uid="{B326E797-2A9E-473F-B075-984D773FC3CA}" name="Dia Débito" dataDxfId="10"/>
    <tableColumn id="11" xr3:uid="{86D309C1-C2D8-4B72-B3F5-45986D1D20CA}" name="Início Contrato" dataDxfId="9"/>
    <tableColumn id="12" xr3:uid="{116FFE6E-F29B-49AF-A085-CD760ABD276B}" name="Término Contrato" dataDxfId="8"/>
    <tableColumn id="13" xr3:uid="{A30A0BEA-CF07-4F91-A05C-4C39F34B16EF}" name="Mês" dataDxfId="7"/>
    <tableColumn id="14" xr3:uid="{EB992443-1A4D-467F-A93A-849C77D4AF4D}" name="Total Contrato" dataDxfId="6" dataCellStyle="Moeda"/>
    <tableColumn id="15" xr3:uid="{6D0A66AF-1084-41F6-8D92-ED91D1F6098E}" name="Parcelas Contratadas" dataDxfId="5"/>
    <tableColumn id="16" xr3:uid="{1C97199E-055D-46BD-8E28-45C62AED29FB}" name="Valor Parcela" dataDxfId="4"/>
    <tableColumn id="17" xr3:uid="{E3AA25B2-3739-40EE-8A18-6B40FF1062FA}" name="Parcelas Pagas" dataDxfId="3"/>
    <tableColumn id="18" xr3:uid="{5C95215F-727A-46C6-A66B-916734FCE4FA}" name="Parcelas Restantes" dataDxfId="2"/>
    <tableColumn id="19" xr3:uid="{0A9DEC8C-ABDF-48FB-9BD0-4109545960E3}" name="Total Pago" dataDxfId="1"/>
    <tableColumn id="20" xr3:uid="{55EC6142-6989-4390-88D9-7756278DCB62}" name="Montante a Pag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7-25T20:20:03.68" personId="{F1768756-C0E5-4A54-864F-1A9D060AB13A}" id="{E604C659-0D59-4F54-A607-C586853DC41C}">
    <text>Compra de porta automática ribeiropolis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../../../../../../:b:/s/financeirosite/ESOgiW3aIzlLk-smj49pRpoBtvS3m87QR0wKqydSoCnUug?e=Yr7fmf" TargetMode="External"/><Relationship Id="rId7" Type="http://schemas.openxmlformats.org/officeDocument/2006/relationships/table" Target="../tables/table1.xml"/><Relationship Id="rId2" Type="http://schemas.openxmlformats.org/officeDocument/2006/relationships/hyperlink" Target="../../AppData/Roaming/Mar%20Brasil/Financeiro%20-%20Documentos/Empresas/02%20Mar%20Brasil/05%20Impostos/Simples%20Parcelamento%2009-2021.pdf" TargetMode="External"/><Relationship Id="rId1" Type="http://schemas.openxmlformats.org/officeDocument/2006/relationships/hyperlink" Target="../../AppData/Roaming/Mar%20Brasil/Financeiro%20-%20Documentos/Empresas/02%20Mar%20Brasil/05%20Impostos/ISS%20Parcelamento%2004-2022.pdf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../../../../../:b:/s/financeirosite/ESOgiW3aIzlLk-smj49pRpoBtvS3m87QR0wKqydSoCnUug?e=Yr7fmf" TargetMode="External"/><Relationship Id="rId9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2C27-12F7-4426-AE97-FCAEFF4E9B08}">
  <sheetPr>
    <pageSetUpPr fitToPage="1"/>
  </sheetPr>
  <dimension ref="A1:U45"/>
  <sheetViews>
    <sheetView tabSelected="1" zoomScale="85" zoomScaleNormal="85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43" sqref="F43"/>
    </sheetView>
  </sheetViews>
  <sheetFormatPr defaultColWidth="9.44140625" defaultRowHeight="14.4" x14ac:dyDescent="0.3"/>
  <cols>
    <col min="1" max="1" width="6.6640625" style="49" customWidth="1"/>
    <col min="2" max="2" width="34.6640625" style="1" bestFit="1" customWidth="1"/>
    <col min="3" max="3" width="34.6640625" style="1" customWidth="1"/>
    <col min="4" max="4" width="17.6640625" style="1" bestFit="1" customWidth="1"/>
    <col min="5" max="5" width="8.88671875" style="1" bestFit="1" customWidth="1"/>
    <col min="6" max="6" width="13.44140625" style="1" bestFit="1" customWidth="1"/>
    <col min="7" max="7" width="14.5546875" style="1" customWidth="1"/>
    <col min="8" max="8" width="18.44140625" style="1" bestFit="1" customWidth="1"/>
    <col min="9" max="9" width="11.6640625" style="1" bestFit="1" customWidth="1"/>
    <col min="10" max="10" width="30.5546875" style="1" bestFit="1" customWidth="1"/>
    <col min="11" max="11" width="11.5546875" style="25" customWidth="1"/>
    <col min="12" max="12" width="15.109375" style="19" customWidth="1"/>
    <col min="13" max="13" width="17.33203125" style="19" customWidth="1"/>
    <col min="14" max="14" width="8.6640625" style="46" hidden="1" customWidth="1"/>
    <col min="15" max="15" width="18.6640625" style="47" bestFit="1" customWidth="1"/>
    <col min="16" max="16" width="20.6640625" style="22" customWidth="1"/>
    <col min="17" max="17" width="14.5546875" style="14" customWidth="1"/>
    <col min="18" max="18" width="15.33203125" style="25" customWidth="1"/>
    <col min="19" max="19" width="18.6640625" style="25" customWidth="1"/>
    <col min="20" max="20" width="17" style="14" bestFit="1" customWidth="1"/>
    <col min="21" max="21" width="17.6640625" style="14" customWidth="1"/>
    <col min="22" max="16384" width="9.44140625" style="1"/>
  </cols>
  <sheetData>
    <row r="1" spans="1:21" s="33" customFormat="1" ht="15" customHeight="1" x14ac:dyDescent="0.3">
      <c r="A1" s="50" t="s">
        <v>0</v>
      </c>
      <c r="B1" s="51" t="s">
        <v>1</v>
      </c>
      <c r="C1" s="51" t="s">
        <v>194</v>
      </c>
      <c r="D1" s="51" t="s">
        <v>2</v>
      </c>
      <c r="E1" s="51" t="s">
        <v>3</v>
      </c>
      <c r="F1" s="51" t="s">
        <v>4</v>
      </c>
      <c r="G1" s="51" t="s">
        <v>5</v>
      </c>
      <c r="H1" s="51" t="s">
        <v>6</v>
      </c>
      <c r="I1" s="51" t="s">
        <v>7</v>
      </c>
      <c r="J1" s="51" t="s">
        <v>8</v>
      </c>
      <c r="K1" s="52" t="s">
        <v>9</v>
      </c>
      <c r="L1" s="53" t="s">
        <v>189</v>
      </c>
      <c r="M1" s="53" t="s">
        <v>190</v>
      </c>
      <c r="N1" s="52" t="s">
        <v>179</v>
      </c>
      <c r="O1" s="54" t="s">
        <v>182</v>
      </c>
      <c r="P1" s="55" t="s">
        <v>184</v>
      </c>
      <c r="Q1" s="56" t="s">
        <v>183</v>
      </c>
      <c r="R1" s="57" t="s">
        <v>185</v>
      </c>
      <c r="S1" s="57" t="s">
        <v>186</v>
      </c>
      <c r="T1" s="56" t="s">
        <v>187</v>
      </c>
      <c r="U1" s="56" t="s">
        <v>188</v>
      </c>
    </row>
    <row r="2" spans="1:21" s="17" customFormat="1" x14ac:dyDescent="0.3">
      <c r="A2" s="48">
        <v>1</v>
      </c>
      <c r="B2" s="9" t="s">
        <v>13</v>
      </c>
      <c r="C2" s="9"/>
      <c r="D2" s="85" t="s">
        <v>14</v>
      </c>
      <c r="E2" s="3" t="s">
        <v>193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23">
        <v>19</v>
      </c>
      <c r="L2" s="13">
        <v>44366</v>
      </c>
      <c r="M2" s="13">
        <v>46192</v>
      </c>
      <c r="N2" s="45">
        <f>M2</f>
        <v>46192</v>
      </c>
      <c r="O2" s="7">
        <v>321796.8</v>
      </c>
      <c r="P2" s="20">
        <v>60</v>
      </c>
      <c r="Q2" s="7">
        <v>5363.3</v>
      </c>
      <c r="R2" s="23">
        <v>54</v>
      </c>
      <c r="S2" s="23">
        <f>P2-R2</f>
        <v>6</v>
      </c>
      <c r="T2" s="8">
        <f>R2*Q2</f>
        <v>289618.2</v>
      </c>
      <c r="U2" s="8">
        <f>Tabela2[[#This Row],[Parcelas Restantes]]*Tabela2[[#This Row],[Valor Parcela]]</f>
        <v>32179.800000000003</v>
      </c>
    </row>
    <row r="3" spans="1:21" s="9" customFormat="1" x14ac:dyDescent="0.3">
      <c r="A3" s="48">
        <v>2</v>
      </c>
      <c r="B3" s="4" t="s">
        <v>20</v>
      </c>
      <c r="C3" s="4"/>
      <c r="D3" s="3" t="s">
        <v>14</v>
      </c>
      <c r="E3" s="3" t="s">
        <v>193</v>
      </c>
      <c r="F3" s="4" t="s">
        <v>21</v>
      </c>
      <c r="G3" s="4"/>
      <c r="H3" s="4" t="s">
        <v>36</v>
      </c>
      <c r="I3" s="4" t="s">
        <v>18</v>
      </c>
      <c r="J3" s="4" t="s">
        <v>23</v>
      </c>
      <c r="K3" s="23">
        <v>15</v>
      </c>
      <c r="L3" s="13">
        <v>44849</v>
      </c>
      <c r="M3" s="13">
        <v>45915</v>
      </c>
      <c r="N3" s="45">
        <f>M3</f>
        <v>45915</v>
      </c>
      <c r="O3" s="7">
        <f>Q3*P3</f>
        <v>60549.48</v>
      </c>
      <c r="P3" s="20">
        <v>36</v>
      </c>
      <c r="Q3" s="7">
        <v>1681.93</v>
      </c>
      <c r="R3" s="23">
        <v>36</v>
      </c>
      <c r="S3" s="23">
        <f>P3-R3</f>
        <v>0</v>
      </c>
      <c r="T3" s="8">
        <f>R3*Q3</f>
        <v>60549.48</v>
      </c>
      <c r="U3" s="8">
        <f>Tabela2[[#This Row],[Parcelas Restantes]]*Tabela2[[#This Row],[Valor Parcela]]</f>
        <v>0</v>
      </c>
    </row>
    <row r="4" spans="1:21" s="9" customFormat="1" x14ac:dyDescent="0.3">
      <c r="A4" s="48">
        <v>3</v>
      </c>
      <c r="B4" s="4" t="s">
        <v>228</v>
      </c>
      <c r="C4" s="4" t="s">
        <v>229</v>
      </c>
      <c r="D4" s="3" t="s">
        <v>14</v>
      </c>
      <c r="E4" s="3" t="s">
        <v>193</v>
      </c>
      <c r="F4" s="4" t="s">
        <v>15</v>
      </c>
      <c r="G4" s="4"/>
      <c r="H4" s="4" t="s">
        <v>22</v>
      </c>
      <c r="I4" s="5" t="s">
        <v>18</v>
      </c>
      <c r="J4" s="5" t="s">
        <v>230</v>
      </c>
      <c r="K4" s="34">
        <v>15</v>
      </c>
      <c r="L4" s="6">
        <v>45098</v>
      </c>
      <c r="M4" s="6">
        <v>46310</v>
      </c>
      <c r="N4" s="45"/>
      <c r="O4" s="7">
        <v>79039.600000000006</v>
      </c>
      <c r="P4" s="20">
        <v>40</v>
      </c>
      <c r="Q4" s="7">
        <v>1975.99</v>
      </c>
      <c r="R4" s="23">
        <v>29</v>
      </c>
      <c r="S4" s="23">
        <f>P4-R4</f>
        <v>11</v>
      </c>
      <c r="T4" s="8">
        <f>R4*Q4</f>
        <v>57303.71</v>
      </c>
      <c r="U4" s="8">
        <f>Tabela2[[#This Row],[Parcelas Restantes]]*Tabela2[[#This Row],[Valor Parcela]]</f>
        <v>21735.89</v>
      </c>
    </row>
    <row r="5" spans="1:21" s="9" customFormat="1" x14ac:dyDescent="0.3">
      <c r="A5" s="48">
        <v>4</v>
      </c>
      <c r="B5" s="4" t="s">
        <v>196</v>
      </c>
      <c r="C5" s="4" t="s">
        <v>195</v>
      </c>
      <c r="D5" s="3" t="s">
        <v>14</v>
      </c>
      <c r="E5" s="3" t="s">
        <v>193</v>
      </c>
      <c r="F5" s="4" t="s">
        <v>21</v>
      </c>
      <c r="G5" s="4" t="s">
        <v>24</v>
      </c>
      <c r="H5" s="4" t="s">
        <v>36</v>
      </c>
      <c r="I5" s="5" t="s">
        <v>233</v>
      </c>
      <c r="J5" s="5" t="s">
        <v>25</v>
      </c>
      <c r="K5" s="34">
        <v>28</v>
      </c>
      <c r="L5" s="6">
        <v>44802</v>
      </c>
      <c r="M5" s="6">
        <v>46597</v>
      </c>
      <c r="N5" s="45">
        <f>M5</f>
        <v>46597</v>
      </c>
      <c r="O5" s="7">
        <f>Q5*P5</f>
        <v>337354.8</v>
      </c>
      <c r="P5" s="20">
        <v>60</v>
      </c>
      <c r="Q5" s="7">
        <v>5622.58</v>
      </c>
      <c r="R5" s="23">
        <v>40</v>
      </c>
      <c r="S5" s="23">
        <f>P5-R5</f>
        <v>20</v>
      </c>
      <c r="T5" s="8">
        <f>R5*Q5</f>
        <v>224903.2</v>
      </c>
      <c r="U5" s="8">
        <f>Tabela2[[#This Row],[Parcelas Restantes]]*Tabela2[[#This Row],[Valor Parcela]]</f>
        <v>112451.6</v>
      </c>
    </row>
    <row r="6" spans="1:21" s="9" customFormat="1" x14ac:dyDescent="0.3">
      <c r="A6" s="48">
        <v>5</v>
      </c>
      <c r="B6" s="4" t="s">
        <v>191</v>
      </c>
      <c r="C6" s="4"/>
      <c r="D6" s="3" t="s">
        <v>14</v>
      </c>
      <c r="E6" s="3" t="s">
        <v>193</v>
      </c>
      <c r="F6" s="4" t="s">
        <v>21</v>
      </c>
      <c r="G6" s="4"/>
      <c r="H6" s="4" t="s">
        <v>36</v>
      </c>
      <c r="I6" s="5" t="s">
        <v>18</v>
      </c>
      <c r="J6" s="5" t="s">
        <v>23</v>
      </c>
      <c r="K6" s="34">
        <v>15</v>
      </c>
      <c r="L6" s="6">
        <v>45153</v>
      </c>
      <c r="M6" s="6">
        <v>46218</v>
      </c>
      <c r="N6" s="45"/>
      <c r="O6" s="7">
        <v>29255.4</v>
      </c>
      <c r="P6" s="20">
        <v>36</v>
      </c>
      <c r="Q6" s="7">
        <v>812.65</v>
      </c>
      <c r="R6" s="23">
        <v>24</v>
      </c>
      <c r="S6" s="23">
        <v>12</v>
      </c>
      <c r="T6" s="8">
        <f>R6*Q6</f>
        <v>19503.599999999999</v>
      </c>
      <c r="U6" s="8">
        <f>Tabela2[[#This Row],[Parcelas Restantes]]*Tabela2[[#This Row],[Valor Parcela]]</f>
        <v>9751.7999999999993</v>
      </c>
    </row>
    <row r="7" spans="1:21" s="9" customFormat="1" x14ac:dyDescent="0.3">
      <c r="A7" s="48">
        <v>6</v>
      </c>
      <c r="B7" s="4" t="s">
        <v>26</v>
      </c>
      <c r="C7" s="4"/>
      <c r="D7" s="3" t="s">
        <v>14</v>
      </c>
      <c r="E7" s="3" t="s">
        <v>193</v>
      </c>
      <c r="F7" s="4" t="s">
        <v>27</v>
      </c>
      <c r="G7" s="4"/>
      <c r="H7" s="4" t="s">
        <v>27</v>
      </c>
      <c r="I7" s="5" t="s">
        <v>18</v>
      </c>
      <c r="J7" s="5" t="s">
        <v>28</v>
      </c>
      <c r="K7" s="34">
        <v>20</v>
      </c>
      <c r="L7" s="6">
        <v>44991</v>
      </c>
      <c r="M7" s="6">
        <v>46863</v>
      </c>
      <c r="N7" s="45">
        <f>M7</f>
        <v>46863</v>
      </c>
      <c r="O7" s="7">
        <v>650000</v>
      </c>
      <c r="P7" s="20">
        <v>66</v>
      </c>
      <c r="Q7" s="7">
        <v>5000</v>
      </c>
      <c r="R7" s="23">
        <v>36</v>
      </c>
      <c r="S7" s="23">
        <f t="shared" ref="S7:S34" si="0">P7-R7</f>
        <v>30</v>
      </c>
      <c r="T7" s="8">
        <v>460000</v>
      </c>
      <c r="U7" s="8">
        <f>Tabela2[[#This Row],[Parcelas Restantes]]*Tabela2[[#This Row],[Valor Parcela]]</f>
        <v>150000</v>
      </c>
    </row>
    <row r="8" spans="1:21" s="9" customFormat="1" x14ac:dyDescent="0.3">
      <c r="A8" s="48">
        <v>7</v>
      </c>
      <c r="B8" s="4" t="s">
        <v>29</v>
      </c>
      <c r="C8" s="4"/>
      <c r="D8" s="3" t="s">
        <v>14</v>
      </c>
      <c r="E8" s="3" t="s">
        <v>193</v>
      </c>
      <c r="F8" s="4" t="s">
        <v>15</v>
      </c>
      <c r="G8" s="4" t="s">
        <v>30</v>
      </c>
      <c r="H8" s="4" t="s">
        <v>22</v>
      </c>
      <c r="I8" s="5" t="s">
        <v>18</v>
      </c>
      <c r="J8" s="5" t="s">
        <v>19</v>
      </c>
      <c r="K8" s="34">
        <v>3</v>
      </c>
      <c r="L8" s="6">
        <v>45258</v>
      </c>
      <c r="M8" s="6">
        <v>46731</v>
      </c>
      <c r="N8" s="45">
        <f>M8</f>
        <v>46731</v>
      </c>
      <c r="O8" s="7">
        <v>225465.66</v>
      </c>
      <c r="P8" s="20">
        <v>48</v>
      </c>
      <c r="Q8" s="7">
        <v>4601.34</v>
      </c>
      <c r="R8" s="23">
        <v>24</v>
      </c>
      <c r="S8" s="23">
        <f t="shared" si="0"/>
        <v>24</v>
      </c>
      <c r="T8" s="8">
        <f>Q8*R8+79800</f>
        <v>190232.16</v>
      </c>
      <c r="U8" s="8">
        <f>Tabela2[[#This Row],[Parcelas Restantes]]*Tabela2[[#This Row],[Valor Parcela]]</f>
        <v>110432.16</v>
      </c>
    </row>
    <row r="9" spans="1:21" s="9" customFormat="1" x14ac:dyDescent="0.3">
      <c r="A9" s="48">
        <v>8</v>
      </c>
      <c r="B9" s="10" t="s">
        <v>31</v>
      </c>
      <c r="C9" s="10"/>
      <c r="D9" s="3" t="s">
        <v>14</v>
      </c>
      <c r="E9" s="3" t="s">
        <v>193</v>
      </c>
      <c r="F9" s="4" t="s">
        <v>15</v>
      </c>
      <c r="G9" s="4"/>
      <c r="H9" s="4" t="s">
        <v>22</v>
      </c>
      <c r="I9" s="4" t="str">
        <f>IF(S9&gt;0,"Pagando","Liquidado")</f>
        <v>Liquidado</v>
      </c>
      <c r="J9" s="10" t="s">
        <v>32</v>
      </c>
      <c r="K9" s="43">
        <v>19</v>
      </c>
      <c r="L9" s="42">
        <v>45310</v>
      </c>
      <c r="M9" s="42">
        <v>45622</v>
      </c>
      <c r="N9" s="15"/>
      <c r="O9" s="11">
        <v>129196.44</v>
      </c>
      <c r="P9" s="21">
        <v>12</v>
      </c>
      <c r="Q9" s="11">
        <v>3588.79</v>
      </c>
      <c r="R9" s="24">
        <v>12</v>
      </c>
      <c r="S9" s="24">
        <f t="shared" si="0"/>
        <v>0</v>
      </c>
      <c r="T9" s="11">
        <v>113907.48</v>
      </c>
      <c r="U9" s="8">
        <f>Tabela2[[#This Row],[Parcelas Restantes]]*Tabela2[[#This Row],[Valor Parcela]]</f>
        <v>0</v>
      </c>
    </row>
    <row r="10" spans="1:21" x14ac:dyDescent="0.3">
      <c r="A10" s="48">
        <v>9</v>
      </c>
      <c r="B10" s="4" t="s">
        <v>197</v>
      </c>
      <c r="C10" s="4" t="s">
        <v>198</v>
      </c>
      <c r="D10" s="3" t="s">
        <v>34</v>
      </c>
      <c r="E10" s="3" t="s">
        <v>193</v>
      </c>
      <c r="F10" s="4" t="s">
        <v>21</v>
      </c>
      <c r="G10" s="35" t="s">
        <v>35</v>
      </c>
      <c r="H10" s="4" t="s">
        <v>36</v>
      </c>
      <c r="I10" s="5" t="s">
        <v>18</v>
      </c>
      <c r="J10" s="4" t="s">
        <v>37</v>
      </c>
      <c r="K10" s="23">
        <v>10</v>
      </c>
      <c r="L10" s="13">
        <v>44770</v>
      </c>
      <c r="M10" s="13">
        <v>47480</v>
      </c>
      <c r="N10" s="45">
        <f>M10</f>
        <v>47480</v>
      </c>
      <c r="O10" s="7">
        <f>Q10*P10</f>
        <v>63233.61</v>
      </c>
      <c r="P10" s="20">
        <v>89</v>
      </c>
      <c r="Q10" s="7">
        <v>710.49</v>
      </c>
      <c r="R10" s="23">
        <v>39</v>
      </c>
      <c r="S10" s="23">
        <f t="shared" si="0"/>
        <v>50</v>
      </c>
      <c r="T10" s="8">
        <v>22575.9</v>
      </c>
      <c r="U10" s="8">
        <f>Tabela2[[#This Row],[Parcelas Restantes]]*Tabela2[[#This Row],[Valor Parcela]]</f>
        <v>35524.5</v>
      </c>
    </row>
    <row r="11" spans="1:21" s="9" customFormat="1" x14ac:dyDescent="0.3">
      <c r="A11" s="69">
        <v>10</v>
      </c>
      <c r="B11" s="70" t="s">
        <v>197</v>
      </c>
      <c r="C11" s="70" t="s">
        <v>199</v>
      </c>
      <c r="D11" s="71" t="s">
        <v>34</v>
      </c>
      <c r="E11" s="71" t="s">
        <v>193</v>
      </c>
      <c r="F11" s="72" t="s">
        <v>21</v>
      </c>
      <c r="G11" s="73"/>
      <c r="H11" s="72" t="s">
        <v>36</v>
      </c>
      <c r="I11" s="74" t="s">
        <v>39</v>
      </c>
      <c r="J11" s="74" t="s">
        <v>37</v>
      </c>
      <c r="K11" s="75">
        <v>10</v>
      </c>
      <c r="L11" s="76">
        <v>45016</v>
      </c>
      <c r="M11" s="76">
        <v>45148</v>
      </c>
      <c r="N11" s="89"/>
      <c r="O11" s="77">
        <v>40914</v>
      </c>
      <c r="P11" s="78">
        <v>65</v>
      </c>
      <c r="Q11" s="77">
        <v>750.17</v>
      </c>
      <c r="R11" s="79">
        <v>5</v>
      </c>
      <c r="S11" s="79">
        <v>0</v>
      </c>
      <c r="T11" s="80">
        <f>Consórcios!D4</f>
        <v>3812.01</v>
      </c>
      <c r="U11" s="8">
        <f>Tabela2[[#This Row],[Parcelas Restantes]]*Tabela2[[#This Row],[Valor Parcela]]</f>
        <v>0</v>
      </c>
    </row>
    <row r="12" spans="1:21" s="81" customFormat="1" x14ac:dyDescent="0.3">
      <c r="A12" s="69">
        <v>11</v>
      </c>
      <c r="B12" s="70" t="s">
        <v>197</v>
      </c>
      <c r="C12" s="70" t="s">
        <v>200</v>
      </c>
      <c r="D12" s="71" t="s">
        <v>34</v>
      </c>
      <c r="E12" s="71" t="s">
        <v>193</v>
      </c>
      <c r="F12" s="72" t="s">
        <v>21</v>
      </c>
      <c r="G12" s="73"/>
      <c r="H12" s="72" t="s">
        <v>36</v>
      </c>
      <c r="I12" s="74" t="s">
        <v>39</v>
      </c>
      <c r="J12" s="74" t="s">
        <v>37</v>
      </c>
      <c r="K12" s="75">
        <v>10</v>
      </c>
      <c r="L12" s="76">
        <v>45016</v>
      </c>
      <c r="M12" s="76">
        <v>45148</v>
      </c>
      <c r="N12" s="76"/>
      <c r="O12" s="77">
        <v>40914</v>
      </c>
      <c r="P12" s="78">
        <v>66</v>
      </c>
      <c r="Q12" s="77">
        <v>741.45</v>
      </c>
      <c r="R12" s="79">
        <v>5</v>
      </c>
      <c r="S12" s="79">
        <v>0</v>
      </c>
      <c r="T12" s="80">
        <f>Consórcios!D5</f>
        <v>3754.4699999999993</v>
      </c>
      <c r="U12" s="8">
        <f>Tabela2[[#This Row],[Parcelas Restantes]]*Tabela2[[#This Row],[Valor Parcela]]</f>
        <v>0</v>
      </c>
    </row>
    <row r="13" spans="1:21" s="81" customFormat="1" x14ac:dyDescent="0.3">
      <c r="A13" s="69">
        <v>12</v>
      </c>
      <c r="B13" s="70" t="s">
        <v>197</v>
      </c>
      <c r="C13" s="70" t="s">
        <v>201</v>
      </c>
      <c r="D13" s="71" t="s">
        <v>34</v>
      </c>
      <c r="E13" s="71" t="s">
        <v>193</v>
      </c>
      <c r="F13" s="72" t="s">
        <v>21</v>
      </c>
      <c r="G13" s="73"/>
      <c r="H13" s="72" t="s">
        <v>36</v>
      </c>
      <c r="I13" s="74" t="s">
        <v>39</v>
      </c>
      <c r="J13" s="74" t="s">
        <v>37</v>
      </c>
      <c r="K13" s="75">
        <v>10</v>
      </c>
      <c r="L13" s="76">
        <v>45016</v>
      </c>
      <c r="M13" s="76">
        <v>45148</v>
      </c>
      <c r="N13" s="6"/>
      <c r="O13" s="77">
        <v>40914</v>
      </c>
      <c r="P13" s="78">
        <v>66</v>
      </c>
      <c r="Q13" s="77">
        <v>741.45</v>
      </c>
      <c r="R13" s="79">
        <v>5</v>
      </c>
      <c r="S13" s="79">
        <v>0</v>
      </c>
      <c r="T13" s="80">
        <f>Consórcios!D6</f>
        <v>3754.4699999999993</v>
      </c>
      <c r="U13" s="8">
        <f>Tabela2[[#This Row],[Parcelas Restantes]]*Tabela2[[#This Row],[Valor Parcela]]</f>
        <v>0</v>
      </c>
    </row>
    <row r="14" spans="1:21" s="81" customFormat="1" x14ac:dyDescent="0.3">
      <c r="A14" s="48">
        <v>13</v>
      </c>
      <c r="B14" s="2" t="s">
        <v>202</v>
      </c>
      <c r="C14" s="2" t="s">
        <v>206</v>
      </c>
      <c r="D14" s="3" t="s">
        <v>34</v>
      </c>
      <c r="E14" s="3" t="s">
        <v>193</v>
      </c>
      <c r="F14" s="4" t="s">
        <v>15</v>
      </c>
      <c r="G14" s="83" t="s">
        <v>192</v>
      </c>
      <c r="H14" s="4" t="s">
        <v>22</v>
      </c>
      <c r="I14" s="5" t="str">
        <f>IF(S14&gt;0,"Pagando","Liquidado")</f>
        <v>Pagando</v>
      </c>
      <c r="J14" s="5" t="s">
        <v>232</v>
      </c>
      <c r="K14" s="34">
        <v>20</v>
      </c>
      <c r="L14" s="6">
        <v>45379</v>
      </c>
      <c r="M14" s="6">
        <v>47177</v>
      </c>
      <c r="N14" s="90">
        <f>M14</f>
        <v>47177</v>
      </c>
      <c r="O14" s="7">
        <v>191982</v>
      </c>
      <c r="P14" s="20">
        <v>60</v>
      </c>
      <c r="Q14" s="7">
        <v>2464.4699999999998</v>
      </c>
      <c r="R14" s="23">
        <v>19</v>
      </c>
      <c r="S14" s="23">
        <f t="shared" si="0"/>
        <v>41</v>
      </c>
      <c r="T14" s="8">
        <f>Consórcios!B7</f>
        <v>79635.02</v>
      </c>
      <c r="U14" s="8">
        <f>Tabela2[[#This Row],[Parcelas Restantes]]*Tabela2[[#This Row],[Valor Parcela]]</f>
        <v>101043.26999999999</v>
      </c>
    </row>
    <row r="15" spans="1:21" s="9" customFormat="1" x14ac:dyDescent="0.3">
      <c r="A15" s="48">
        <v>14</v>
      </c>
      <c r="B15" s="2" t="s">
        <v>203</v>
      </c>
      <c r="C15" s="2" t="s">
        <v>204</v>
      </c>
      <c r="D15" s="3" t="s">
        <v>34</v>
      </c>
      <c r="E15" s="3" t="s">
        <v>193</v>
      </c>
      <c r="F15" s="4" t="s">
        <v>15</v>
      </c>
      <c r="H15" s="4" t="s">
        <v>22</v>
      </c>
      <c r="I15" s="5" t="str">
        <f>IF(S15&gt;0,"Pagando","Liquidado")</f>
        <v>Pagando</v>
      </c>
      <c r="J15" s="5" t="s">
        <v>37</v>
      </c>
      <c r="K15" s="34">
        <v>20</v>
      </c>
      <c r="L15" s="6">
        <v>45379</v>
      </c>
      <c r="M15" s="6">
        <v>48901</v>
      </c>
      <c r="N15" s="45">
        <f>M15</f>
        <v>48901</v>
      </c>
      <c r="O15" s="7">
        <f>Q15*P15</f>
        <v>332315.10000000003</v>
      </c>
      <c r="P15" s="20">
        <v>117</v>
      </c>
      <c r="Q15" s="7">
        <v>2840.3</v>
      </c>
      <c r="R15" s="23">
        <v>21</v>
      </c>
      <c r="S15" s="23">
        <f t="shared" si="0"/>
        <v>96</v>
      </c>
      <c r="T15" s="8">
        <f>Q15*R15</f>
        <v>59646.3</v>
      </c>
      <c r="U15" s="8">
        <f>Tabela2[[#This Row],[Parcelas Restantes]]*Tabela2[[#This Row],[Valor Parcela]]</f>
        <v>272668.80000000005</v>
      </c>
    </row>
    <row r="16" spans="1:21" s="9" customFormat="1" x14ac:dyDescent="0.3">
      <c r="A16" s="48">
        <v>15</v>
      </c>
      <c r="B16" s="2" t="s">
        <v>203</v>
      </c>
      <c r="C16" s="2" t="s">
        <v>205</v>
      </c>
      <c r="D16" s="3" t="s">
        <v>34</v>
      </c>
      <c r="E16" s="3" t="s">
        <v>193</v>
      </c>
      <c r="F16" s="4" t="s">
        <v>15</v>
      </c>
      <c r="G16" s="83" t="s">
        <v>192</v>
      </c>
      <c r="H16" s="4" t="s">
        <v>22</v>
      </c>
      <c r="I16" s="5" t="str">
        <f>IF(S16&gt;0,"Pagando","Liquidado")</f>
        <v>Pagando</v>
      </c>
      <c r="J16" s="5" t="s">
        <v>37</v>
      </c>
      <c r="K16" s="34">
        <v>20</v>
      </c>
      <c r="L16" s="6">
        <v>45379</v>
      </c>
      <c r="M16" s="6">
        <v>47177</v>
      </c>
      <c r="N16" s="45">
        <f>M16</f>
        <v>47177</v>
      </c>
      <c r="O16" s="7">
        <v>193396</v>
      </c>
      <c r="P16" s="20">
        <v>60</v>
      </c>
      <c r="Q16" s="7">
        <v>2412.7199999999998</v>
      </c>
      <c r="R16" s="23">
        <v>21</v>
      </c>
      <c r="S16" s="23">
        <f t="shared" si="0"/>
        <v>39</v>
      </c>
      <c r="T16" s="8">
        <f>Consórcios!B8</f>
        <v>80221.58</v>
      </c>
      <c r="U16" s="8">
        <f>Tabela2[[#This Row],[Parcelas Restantes]]*Tabela2[[#This Row],[Valor Parcela]]</f>
        <v>94096.079999999987</v>
      </c>
    </row>
    <row r="17" spans="1:21" s="9" customFormat="1" x14ac:dyDescent="0.3">
      <c r="A17" s="48">
        <v>16</v>
      </c>
      <c r="B17" s="41" t="s">
        <v>44</v>
      </c>
      <c r="C17" s="41"/>
      <c r="D17" s="3" t="s">
        <v>45</v>
      </c>
      <c r="E17" s="3" t="s">
        <v>193</v>
      </c>
      <c r="F17" s="4" t="s">
        <v>15</v>
      </c>
      <c r="H17" s="4" t="s">
        <v>22</v>
      </c>
      <c r="I17" s="5" t="s">
        <v>46</v>
      </c>
      <c r="J17" s="5" t="s">
        <v>47</v>
      </c>
      <c r="K17" s="34">
        <v>10</v>
      </c>
      <c r="L17" s="6">
        <v>45545</v>
      </c>
      <c r="M17" s="42">
        <v>45818</v>
      </c>
      <c r="N17" s="15"/>
      <c r="O17" s="11">
        <f>Q17*P17</f>
        <v>3199</v>
      </c>
      <c r="P17" s="21">
        <v>10</v>
      </c>
      <c r="Q17" s="11">
        <v>319.89999999999998</v>
      </c>
      <c r="R17" s="24">
        <v>10</v>
      </c>
      <c r="S17" s="24">
        <f t="shared" si="0"/>
        <v>0</v>
      </c>
      <c r="T17" s="12">
        <f t="shared" ref="T17:T23" si="1">Q17*R17</f>
        <v>3199</v>
      </c>
      <c r="U17" s="8">
        <f>Tabela2[[#This Row],[Parcelas Restantes]]*Tabela2[[#This Row],[Valor Parcela]]</f>
        <v>0</v>
      </c>
    </row>
    <row r="18" spans="1:21" x14ac:dyDescent="0.3">
      <c r="A18" s="48">
        <v>17</v>
      </c>
      <c r="B18" s="10" t="s">
        <v>44</v>
      </c>
      <c r="C18" s="10"/>
      <c r="D18" s="3" t="s">
        <v>45</v>
      </c>
      <c r="E18" s="3" t="s">
        <v>193</v>
      </c>
      <c r="F18" s="4" t="s">
        <v>15</v>
      </c>
      <c r="G18" s="4"/>
      <c r="H18" s="4" t="s">
        <v>22</v>
      </c>
      <c r="I18" s="5" t="s">
        <v>46</v>
      </c>
      <c r="J18" s="4" t="s">
        <v>47</v>
      </c>
      <c r="K18" s="23">
        <v>10</v>
      </c>
      <c r="L18" s="13">
        <v>45545</v>
      </c>
      <c r="M18" s="15">
        <v>45818</v>
      </c>
      <c r="N18" s="15"/>
      <c r="O18" s="11">
        <f>Q18*P18</f>
        <v>3199</v>
      </c>
      <c r="P18" s="21">
        <v>10</v>
      </c>
      <c r="Q18" s="11">
        <v>319.89999999999998</v>
      </c>
      <c r="R18" s="24">
        <v>10</v>
      </c>
      <c r="S18" s="24">
        <f t="shared" si="0"/>
        <v>0</v>
      </c>
      <c r="T18" s="12">
        <f t="shared" si="1"/>
        <v>3199</v>
      </c>
      <c r="U18" s="8">
        <f>Tabela2[[#This Row],[Parcelas Restantes]]*Tabela2[[#This Row],[Valor Parcela]]</f>
        <v>0</v>
      </c>
    </row>
    <row r="19" spans="1:21" x14ac:dyDescent="0.3">
      <c r="A19" s="48">
        <v>18</v>
      </c>
      <c r="B19" s="10" t="s">
        <v>207</v>
      </c>
      <c r="C19" s="10" t="s">
        <v>208</v>
      </c>
      <c r="D19" s="3" t="s">
        <v>45</v>
      </c>
      <c r="E19" s="3" t="s">
        <v>193</v>
      </c>
      <c r="F19" s="4" t="s">
        <v>15</v>
      </c>
      <c r="G19" s="4"/>
      <c r="H19" s="4" t="s">
        <v>22</v>
      </c>
      <c r="I19" s="5" t="str">
        <f t="shared" ref="I19:I34" si="2">IF(S19&gt;0,"Pagando","Liquidado")</f>
        <v>Liquidado</v>
      </c>
      <c r="J19" s="4" t="s">
        <v>48</v>
      </c>
      <c r="K19" s="23">
        <v>23</v>
      </c>
      <c r="L19" s="13">
        <v>45586</v>
      </c>
      <c r="M19" s="15">
        <v>45859</v>
      </c>
      <c r="N19" s="45">
        <f>M19</f>
        <v>45859</v>
      </c>
      <c r="O19" s="11">
        <f>Q19*P19</f>
        <v>11196</v>
      </c>
      <c r="P19" s="21">
        <v>10</v>
      </c>
      <c r="Q19" s="11">
        <v>1119.5999999999999</v>
      </c>
      <c r="R19" s="24">
        <v>10</v>
      </c>
      <c r="S19" s="24">
        <f t="shared" si="0"/>
        <v>0</v>
      </c>
      <c r="T19" s="11">
        <f t="shared" si="1"/>
        <v>11196</v>
      </c>
      <c r="U19" s="8">
        <f>Tabela2[[#This Row],[Parcelas Restantes]]*Tabela2[[#This Row],[Valor Parcela]]</f>
        <v>0</v>
      </c>
    </row>
    <row r="20" spans="1:21" x14ac:dyDescent="0.3">
      <c r="A20" s="48">
        <v>19</v>
      </c>
      <c r="B20" s="10" t="s">
        <v>209</v>
      </c>
      <c r="C20" s="10" t="s">
        <v>210</v>
      </c>
      <c r="D20" s="3" t="s">
        <v>45</v>
      </c>
      <c r="E20" s="3" t="s">
        <v>193</v>
      </c>
      <c r="F20" s="10" t="s">
        <v>15</v>
      </c>
      <c r="G20" s="10"/>
      <c r="H20" s="4" t="s">
        <v>22</v>
      </c>
      <c r="I20" s="5" t="str">
        <f t="shared" si="2"/>
        <v>Pagando</v>
      </c>
      <c r="J20" s="4" t="s">
        <v>49</v>
      </c>
      <c r="K20" s="23">
        <v>10</v>
      </c>
      <c r="L20" s="15">
        <v>45787</v>
      </c>
      <c r="M20" s="15">
        <v>46032</v>
      </c>
      <c r="N20" s="45">
        <f>M20</f>
        <v>46032</v>
      </c>
      <c r="O20" s="11">
        <v>28050.52</v>
      </c>
      <c r="P20" s="21">
        <v>12</v>
      </c>
      <c r="Q20" s="11">
        <v>2337.54</v>
      </c>
      <c r="R20" s="24">
        <v>8</v>
      </c>
      <c r="S20" s="24">
        <f t="shared" si="0"/>
        <v>4</v>
      </c>
      <c r="T20" s="11">
        <f t="shared" si="1"/>
        <v>18700.32</v>
      </c>
      <c r="U20" s="8">
        <f>Tabela2[[#This Row],[Parcelas Restantes]]*Tabela2[[#This Row],[Valor Parcela]]</f>
        <v>9350.16</v>
      </c>
    </row>
    <row r="21" spans="1:21" x14ac:dyDescent="0.3">
      <c r="A21" s="48">
        <v>20</v>
      </c>
      <c r="B21" s="10" t="s">
        <v>211</v>
      </c>
      <c r="C21" s="10" t="s">
        <v>212</v>
      </c>
      <c r="D21" s="3" t="s">
        <v>45</v>
      </c>
      <c r="E21" s="3" t="s">
        <v>193</v>
      </c>
      <c r="F21" s="4" t="s">
        <v>15</v>
      </c>
      <c r="G21" s="4"/>
      <c r="H21" s="4" t="s">
        <v>22</v>
      </c>
      <c r="I21" s="5" t="str">
        <f t="shared" si="2"/>
        <v>Pagando</v>
      </c>
      <c r="J21" s="4" t="s">
        <v>47</v>
      </c>
      <c r="K21" s="23">
        <v>10</v>
      </c>
      <c r="L21" s="13">
        <v>45755</v>
      </c>
      <c r="M21" s="15">
        <v>46032</v>
      </c>
      <c r="N21" s="45">
        <f>M21</f>
        <v>46032</v>
      </c>
      <c r="O21" s="11">
        <v>5390</v>
      </c>
      <c r="P21" s="21">
        <v>10</v>
      </c>
      <c r="Q21" s="11">
        <v>539</v>
      </c>
      <c r="R21" s="24">
        <v>9</v>
      </c>
      <c r="S21" s="24">
        <f t="shared" si="0"/>
        <v>1</v>
      </c>
      <c r="T21" s="11">
        <f t="shared" si="1"/>
        <v>4851</v>
      </c>
      <c r="U21" s="8">
        <f>Tabela2[[#This Row],[Parcelas Restantes]]*Tabela2[[#This Row],[Valor Parcela]]</f>
        <v>539</v>
      </c>
    </row>
    <row r="22" spans="1:21" x14ac:dyDescent="0.3">
      <c r="A22" s="48">
        <v>21</v>
      </c>
      <c r="B22" s="10" t="s">
        <v>213</v>
      </c>
      <c r="C22" s="10" t="s">
        <v>214</v>
      </c>
      <c r="D22" s="3" t="s">
        <v>45</v>
      </c>
      <c r="E22" s="3" t="s">
        <v>193</v>
      </c>
      <c r="F22" s="4" t="s">
        <v>15</v>
      </c>
      <c r="G22" s="10"/>
      <c r="H22" s="4" t="s">
        <v>22</v>
      </c>
      <c r="I22" s="5" t="str">
        <f t="shared" si="2"/>
        <v>Pagando</v>
      </c>
      <c r="J22" s="4" t="s">
        <v>49</v>
      </c>
      <c r="K22" s="24">
        <v>10</v>
      </c>
      <c r="L22" s="15">
        <v>45787</v>
      </c>
      <c r="M22" s="15">
        <v>46032</v>
      </c>
      <c r="N22" s="45">
        <f>M22</f>
        <v>46032</v>
      </c>
      <c r="O22" s="11">
        <v>6520</v>
      </c>
      <c r="P22" s="21">
        <v>10</v>
      </c>
      <c r="Q22" s="11">
        <v>652</v>
      </c>
      <c r="R22" s="24">
        <v>8</v>
      </c>
      <c r="S22" s="24">
        <f t="shared" si="0"/>
        <v>2</v>
      </c>
      <c r="T22" s="11">
        <f t="shared" si="1"/>
        <v>5216</v>
      </c>
      <c r="U22" s="8">
        <f>Tabela2[[#This Row],[Parcelas Restantes]]*Tabela2[[#This Row],[Valor Parcela]]</f>
        <v>1304</v>
      </c>
    </row>
    <row r="23" spans="1:21" x14ac:dyDescent="0.3">
      <c r="A23" s="48">
        <v>22</v>
      </c>
      <c r="B23" s="10" t="s">
        <v>215</v>
      </c>
      <c r="C23" s="10" t="s">
        <v>216</v>
      </c>
      <c r="D23" s="3" t="s">
        <v>45</v>
      </c>
      <c r="E23" s="3" t="s">
        <v>193</v>
      </c>
      <c r="F23" s="4" t="s">
        <v>15</v>
      </c>
      <c r="G23" s="4"/>
      <c r="H23" s="4" t="s">
        <v>22</v>
      </c>
      <c r="I23" s="5" t="str">
        <f t="shared" si="2"/>
        <v>Liquidado</v>
      </c>
      <c r="J23" s="4" t="s">
        <v>48</v>
      </c>
      <c r="K23" s="23">
        <v>23</v>
      </c>
      <c r="L23" s="13">
        <v>45464</v>
      </c>
      <c r="M23" s="15">
        <v>45798</v>
      </c>
      <c r="N23" s="15"/>
      <c r="O23" s="11">
        <f>Q23*P23</f>
        <v>2098.1999999999998</v>
      </c>
      <c r="P23" s="21">
        <v>12</v>
      </c>
      <c r="Q23" s="11">
        <v>174.85</v>
      </c>
      <c r="R23" s="24">
        <v>12</v>
      </c>
      <c r="S23" s="24">
        <f t="shared" si="0"/>
        <v>0</v>
      </c>
      <c r="T23" s="11">
        <f t="shared" si="1"/>
        <v>2098.1999999999998</v>
      </c>
      <c r="U23" s="8">
        <f>Tabela2[[#This Row],[Parcelas Restantes]]*Tabela2[[#This Row],[Valor Parcela]]</f>
        <v>0</v>
      </c>
    </row>
    <row r="24" spans="1:21" x14ac:dyDescent="0.3">
      <c r="A24" s="48">
        <v>23</v>
      </c>
      <c r="B24" s="10" t="s">
        <v>217</v>
      </c>
      <c r="C24" s="10" t="s">
        <v>218</v>
      </c>
      <c r="D24" s="3" t="s">
        <v>45</v>
      </c>
      <c r="E24" s="3" t="s">
        <v>193</v>
      </c>
      <c r="F24" s="4" t="s">
        <v>15</v>
      </c>
      <c r="G24" s="4"/>
      <c r="H24" s="4" t="s">
        <v>22</v>
      </c>
      <c r="I24" s="5" t="str">
        <f t="shared" si="2"/>
        <v>Liquidado</v>
      </c>
      <c r="J24" s="4" t="s">
        <v>47</v>
      </c>
      <c r="K24" s="23">
        <v>10</v>
      </c>
      <c r="L24" s="13">
        <v>45301</v>
      </c>
      <c r="M24" s="15">
        <v>45575</v>
      </c>
      <c r="N24" s="15"/>
      <c r="O24" s="11">
        <v>5834</v>
      </c>
      <c r="P24" s="21">
        <v>10</v>
      </c>
      <c r="Q24" s="11">
        <v>583.4</v>
      </c>
      <c r="R24" s="24">
        <v>10</v>
      </c>
      <c r="S24" s="23">
        <f t="shared" si="0"/>
        <v>0</v>
      </c>
      <c r="T24" s="8">
        <f>R24*Q24</f>
        <v>5834</v>
      </c>
      <c r="U24" s="8">
        <f>Tabela2[[#This Row],[Parcelas Restantes]]*Tabela2[[#This Row],[Valor Parcela]]</f>
        <v>0</v>
      </c>
    </row>
    <row r="25" spans="1:21" x14ac:dyDescent="0.3">
      <c r="A25" s="48">
        <v>24</v>
      </c>
      <c r="B25" s="10" t="s">
        <v>217</v>
      </c>
      <c r="C25" s="10" t="s">
        <v>219</v>
      </c>
      <c r="D25" s="3" t="s">
        <v>45</v>
      </c>
      <c r="E25" s="3" t="s">
        <v>193</v>
      </c>
      <c r="F25" s="4" t="s">
        <v>15</v>
      </c>
      <c r="G25" s="4"/>
      <c r="H25" s="4" t="s">
        <v>22</v>
      </c>
      <c r="I25" s="5" t="str">
        <f t="shared" si="2"/>
        <v>Liquidado</v>
      </c>
      <c r="J25" s="4" t="s">
        <v>47</v>
      </c>
      <c r="K25" s="23">
        <v>10</v>
      </c>
      <c r="L25" s="13">
        <v>45575</v>
      </c>
      <c r="M25" s="15">
        <v>45879</v>
      </c>
      <c r="N25" s="45">
        <f>M25</f>
        <v>45879</v>
      </c>
      <c r="O25" s="11">
        <v>5803.4</v>
      </c>
      <c r="P25" s="21">
        <v>10</v>
      </c>
      <c r="Q25" s="11">
        <v>580.34</v>
      </c>
      <c r="R25" s="24">
        <v>10</v>
      </c>
      <c r="S25" s="23">
        <f t="shared" si="0"/>
        <v>0</v>
      </c>
      <c r="T25" s="8">
        <f>R25*Q25</f>
        <v>5803.4000000000005</v>
      </c>
      <c r="U25" s="8">
        <f>Tabela2[[#This Row],[Parcelas Restantes]]*Tabela2[[#This Row],[Valor Parcela]]</f>
        <v>0</v>
      </c>
    </row>
    <row r="26" spans="1:21" x14ac:dyDescent="0.3">
      <c r="A26" s="48">
        <v>25</v>
      </c>
      <c r="B26" s="10" t="s">
        <v>217</v>
      </c>
      <c r="C26" s="10" t="s">
        <v>220</v>
      </c>
      <c r="D26" s="3" t="s">
        <v>45</v>
      </c>
      <c r="E26" s="3" t="s">
        <v>193</v>
      </c>
      <c r="F26" s="4" t="s">
        <v>15</v>
      </c>
      <c r="G26" s="4"/>
      <c r="H26" s="4" t="s">
        <v>22</v>
      </c>
      <c r="I26" s="5" t="str">
        <f t="shared" si="2"/>
        <v>Liquidado</v>
      </c>
      <c r="J26" s="4" t="s">
        <v>47</v>
      </c>
      <c r="K26" s="23">
        <v>10</v>
      </c>
      <c r="L26" s="13">
        <v>45545</v>
      </c>
      <c r="M26" s="15">
        <v>45818</v>
      </c>
      <c r="N26" s="15"/>
      <c r="O26" s="11">
        <v>3295.8</v>
      </c>
      <c r="P26" s="21">
        <v>10</v>
      </c>
      <c r="Q26" s="11">
        <v>329.58</v>
      </c>
      <c r="R26" s="24">
        <v>10</v>
      </c>
      <c r="S26" s="23">
        <f t="shared" si="0"/>
        <v>0</v>
      </c>
      <c r="T26" s="8">
        <f>R26*Q26</f>
        <v>3295.7999999999997</v>
      </c>
      <c r="U26" s="8">
        <f>Tabela2[[#This Row],[Parcelas Restantes]]*Tabela2[[#This Row],[Valor Parcela]]</f>
        <v>0</v>
      </c>
    </row>
    <row r="27" spans="1:21" x14ac:dyDescent="0.3">
      <c r="A27" s="48">
        <v>26</v>
      </c>
      <c r="B27" s="10" t="s">
        <v>221</v>
      </c>
      <c r="C27" s="10" t="s">
        <v>222</v>
      </c>
      <c r="D27" s="3" t="s">
        <v>45</v>
      </c>
      <c r="E27" s="3" t="s">
        <v>193</v>
      </c>
      <c r="F27" s="4" t="s">
        <v>15</v>
      </c>
      <c r="G27" s="4"/>
      <c r="H27" s="4" t="s">
        <v>22</v>
      </c>
      <c r="I27" s="5" t="str">
        <f t="shared" ref="I27" si="3">IF(S27&gt;0,"Pagando","Liquidado")</f>
        <v>Pagando</v>
      </c>
      <c r="J27" s="4" t="s">
        <v>231</v>
      </c>
      <c r="K27" s="23">
        <v>10</v>
      </c>
      <c r="L27" s="13">
        <v>45989</v>
      </c>
      <c r="M27" s="15">
        <v>46688</v>
      </c>
      <c r="N27" s="45">
        <f t="shared" ref="N27" si="4">M27</f>
        <v>46688</v>
      </c>
      <c r="O27" s="11">
        <v>8930</v>
      </c>
      <c r="P27" s="21">
        <v>24</v>
      </c>
      <c r="Q27" s="11">
        <v>247.46</v>
      </c>
      <c r="R27" s="24">
        <v>0</v>
      </c>
      <c r="S27" s="23">
        <f t="shared" ref="S27" si="5">P27-R27</f>
        <v>24</v>
      </c>
      <c r="T27" s="8">
        <f>R27*Q27</f>
        <v>0</v>
      </c>
      <c r="U27" s="8">
        <f>Tabela2[[#This Row],[Parcelas Restantes]]*Tabela2[[#This Row],[Valor Parcela]]</f>
        <v>5939.04</v>
      </c>
    </row>
    <row r="28" spans="1:21" x14ac:dyDescent="0.3">
      <c r="A28" s="48">
        <v>26</v>
      </c>
      <c r="B28" s="10" t="s">
        <v>221</v>
      </c>
      <c r="C28" s="10" t="s">
        <v>222</v>
      </c>
      <c r="D28" s="3" t="s">
        <v>45</v>
      </c>
      <c r="E28" s="3" t="s">
        <v>193</v>
      </c>
      <c r="F28" s="4" t="s">
        <v>15</v>
      </c>
      <c r="G28" s="4"/>
      <c r="H28" s="4" t="s">
        <v>22</v>
      </c>
      <c r="I28" s="5" t="str">
        <f t="shared" si="2"/>
        <v>Pagando</v>
      </c>
      <c r="J28" s="4"/>
      <c r="K28" s="23">
        <v>10</v>
      </c>
      <c r="L28" s="13">
        <v>45270</v>
      </c>
      <c r="M28" s="15">
        <v>46001</v>
      </c>
      <c r="N28" s="45">
        <f t="shared" ref="N28:N35" si="6">M28</f>
        <v>46001</v>
      </c>
      <c r="O28" s="11">
        <v>5939.04</v>
      </c>
      <c r="P28" s="21">
        <v>24</v>
      </c>
      <c r="Q28" s="11">
        <v>247.46</v>
      </c>
      <c r="R28" s="24">
        <v>23</v>
      </c>
      <c r="S28" s="23">
        <f t="shared" si="0"/>
        <v>1</v>
      </c>
      <c r="T28" s="8">
        <f>R28*Q28</f>
        <v>5691.58</v>
      </c>
      <c r="U28" s="8">
        <f>Tabela2[[#This Row],[Parcelas Restantes]]*Tabela2[[#This Row],[Valor Parcela]]</f>
        <v>247.46</v>
      </c>
    </row>
    <row r="29" spans="1:21" x14ac:dyDescent="0.3">
      <c r="A29" s="48">
        <v>27</v>
      </c>
      <c r="B29" s="10" t="s">
        <v>223</v>
      </c>
      <c r="C29" s="10" t="s">
        <v>224</v>
      </c>
      <c r="D29" s="3" t="s">
        <v>45</v>
      </c>
      <c r="E29" s="3" t="s">
        <v>193</v>
      </c>
      <c r="F29" s="4" t="s">
        <v>15</v>
      </c>
      <c r="G29" s="4"/>
      <c r="H29" s="4" t="s">
        <v>22</v>
      </c>
      <c r="I29" s="5" t="str">
        <f t="shared" si="2"/>
        <v>Liquidado</v>
      </c>
      <c r="J29" s="4" t="s">
        <v>47</v>
      </c>
      <c r="K29" s="23">
        <v>10</v>
      </c>
      <c r="L29" s="13">
        <v>45667</v>
      </c>
      <c r="M29" s="15">
        <v>45940</v>
      </c>
      <c r="N29" s="45">
        <f t="shared" si="6"/>
        <v>45940</v>
      </c>
      <c r="O29" s="11">
        <f>Q29*P29</f>
        <v>4428.8</v>
      </c>
      <c r="P29" s="21">
        <v>10</v>
      </c>
      <c r="Q29" s="11">
        <v>442.88</v>
      </c>
      <c r="R29" s="24">
        <v>10</v>
      </c>
      <c r="S29" s="24">
        <f t="shared" si="0"/>
        <v>0</v>
      </c>
      <c r="T29" s="12">
        <f t="shared" ref="T29:T36" si="7">Q29*R29</f>
        <v>4428.8</v>
      </c>
      <c r="U29" s="8">
        <f>Tabela2[[#This Row],[Parcelas Restantes]]*Tabela2[[#This Row],[Valor Parcela]]</f>
        <v>0</v>
      </c>
    </row>
    <row r="30" spans="1:21" x14ac:dyDescent="0.3">
      <c r="A30" s="48">
        <v>28</v>
      </c>
      <c r="B30" s="10" t="s">
        <v>223</v>
      </c>
      <c r="C30" s="10" t="s">
        <v>225</v>
      </c>
      <c r="D30" s="3" t="s">
        <v>45</v>
      </c>
      <c r="E30" s="3" t="s">
        <v>193</v>
      </c>
      <c r="F30" s="4" t="s">
        <v>15</v>
      </c>
      <c r="G30" s="4"/>
      <c r="H30" s="4" t="s">
        <v>22</v>
      </c>
      <c r="I30" s="5" t="str">
        <f t="shared" si="2"/>
        <v>Liquidado</v>
      </c>
      <c r="J30" s="4" t="s">
        <v>47</v>
      </c>
      <c r="K30" s="23">
        <v>10</v>
      </c>
      <c r="L30" s="13">
        <v>45698</v>
      </c>
      <c r="M30" s="15">
        <v>45971</v>
      </c>
      <c r="N30" s="45">
        <f t="shared" si="6"/>
        <v>45971</v>
      </c>
      <c r="O30" s="11">
        <f>Q30*P30</f>
        <v>3338.1</v>
      </c>
      <c r="P30" s="21">
        <v>10</v>
      </c>
      <c r="Q30" s="11">
        <v>333.81</v>
      </c>
      <c r="R30" s="24">
        <v>10</v>
      </c>
      <c r="S30" s="24">
        <f t="shared" si="0"/>
        <v>0</v>
      </c>
      <c r="T30" s="12">
        <f t="shared" si="7"/>
        <v>3338.1</v>
      </c>
      <c r="U30" s="8">
        <f>Tabela2[[#This Row],[Parcelas Restantes]]*Tabela2[[#This Row],[Valor Parcela]]</f>
        <v>0</v>
      </c>
    </row>
    <row r="31" spans="1:21" x14ac:dyDescent="0.3">
      <c r="A31" s="48">
        <v>29</v>
      </c>
      <c r="B31" s="10" t="s">
        <v>226</v>
      </c>
      <c r="C31" s="10" t="s">
        <v>227</v>
      </c>
      <c r="D31" s="3" t="s">
        <v>45</v>
      </c>
      <c r="E31" s="3" t="s">
        <v>193</v>
      </c>
      <c r="F31" s="4" t="s">
        <v>15</v>
      </c>
      <c r="G31" s="4"/>
      <c r="H31" s="4" t="s">
        <v>22</v>
      </c>
      <c r="I31" s="5" t="str">
        <f t="shared" si="2"/>
        <v>Liquidado</v>
      </c>
      <c r="J31" s="4" t="s">
        <v>48</v>
      </c>
      <c r="K31" s="23">
        <v>23</v>
      </c>
      <c r="L31" s="13">
        <v>45558</v>
      </c>
      <c r="M31" s="15">
        <v>45890</v>
      </c>
      <c r="N31" s="45">
        <f t="shared" si="6"/>
        <v>45890</v>
      </c>
      <c r="O31" s="11">
        <f>Q31*P31</f>
        <v>7797</v>
      </c>
      <c r="P31" s="21">
        <v>12</v>
      </c>
      <c r="Q31" s="11">
        <v>649.75</v>
      </c>
      <c r="R31" s="24">
        <v>12</v>
      </c>
      <c r="S31" s="24">
        <f t="shared" si="0"/>
        <v>0</v>
      </c>
      <c r="T31" s="12">
        <f t="shared" si="7"/>
        <v>7797</v>
      </c>
      <c r="U31" s="8">
        <f>Tabela2[[#This Row],[Parcelas Restantes]]*Tabela2[[#This Row],[Valor Parcela]]</f>
        <v>0</v>
      </c>
    </row>
    <row r="32" spans="1:21" x14ac:dyDescent="0.3">
      <c r="A32" s="48">
        <v>30</v>
      </c>
      <c r="B32" s="10" t="s">
        <v>50</v>
      </c>
      <c r="C32" s="10"/>
      <c r="D32" s="3" t="s">
        <v>45</v>
      </c>
      <c r="E32" s="3" t="s">
        <v>193</v>
      </c>
      <c r="F32" s="4" t="s">
        <v>15</v>
      </c>
      <c r="G32" s="4"/>
      <c r="H32" s="10" t="s">
        <v>51</v>
      </c>
      <c r="I32" s="5" t="str">
        <f t="shared" si="2"/>
        <v>Liquidado</v>
      </c>
      <c r="J32" s="4" t="s">
        <v>48</v>
      </c>
      <c r="K32" s="24">
        <v>23</v>
      </c>
      <c r="L32" s="15">
        <v>45529</v>
      </c>
      <c r="M32" s="15">
        <v>45863</v>
      </c>
      <c r="N32" s="45">
        <f t="shared" si="6"/>
        <v>45863</v>
      </c>
      <c r="O32" s="11">
        <f>Q32*P32</f>
        <v>9087</v>
      </c>
      <c r="P32" s="21">
        <v>12</v>
      </c>
      <c r="Q32" s="11">
        <v>757.25</v>
      </c>
      <c r="R32" s="24">
        <v>12</v>
      </c>
      <c r="S32" s="24">
        <f t="shared" si="0"/>
        <v>0</v>
      </c>
      <c r="T32" s="11">
        <f t="shared" si="7"/>
        <v>9087</v>
      </c>
      <c r="U32" s="8">
        <f>Tabela2[[#This Row],[Parcelas Restantes]]*Tabela2[[#This Row],[Valor Parcela]]</f>
        <v>0</v>
      </c>
    </row>
    <row r="33" spans="1:21" x14ac:dyDescent="0.3">
      <c r="A33" s="48">
        <v>31</v>
      </c>
      <c r="B33" s="10" t="s">
        <v>52</v>
      </c>
      <c r="C33" s="10"/>
      <c r="D33" s="3" t="s">
        <v>45</v>
      </c>
      <c r="E33" s="3" t="s">
        <v>193</v>
      </c>
      <c r="F33" s="10" t="s">
        <v>15</v>
      </c>
      <c r="G33" s="10"/>
      <c r="H33" s="10" t="s">
        <v>53</v>
      </c>
      <c r="I33" s="5" t="str">
        <f t="shared" si="2"/>
        <v>Liquidado</v>
      </c>
      <c r="J33" s="4" t="s">
        <v>48</v>
      </c>
      <c r="K33" s="24">
        <v>23</v>
      </c>
      <c r="L33" s="15">
        <v>45680</v>
      </c>
      <c r="M33" s="15">
        <v>45984</v>
      </c>
      <c r="N33" s="45">
        <f t="shared" si="6"/>
        <v>45984</v>
      </c>
      <c r="O33" s="11">
        <f>Q33*P33</f>
        <v>693.9</v>
      </c>
      <c r="P33" s="21">
        <v>10</v>
      </c>
      <c r="Q33" s="11">
        <v>69.39</v>
      </c>
      <c r="R33" s="24">
        <v>10</v>
      </c>
      <c r="S33" s="24">
        <f t="shared" si="0"/>
        <v>0</v>
      </c>
      <c r="T33" s="11">
        <f t="shared" si="7"/>
        <v>693.9</v>
      </c>
      <c r="U33" s="8">
        <f>Tabela2[[#This Row],[Parcelas Restantes]]*Tabela2[[#This Row],[Valor Parcela]]</f>
        <v>0</v>
      </c>
    </row>
    <row r="34" spans="1:21" x14ac:dyDescent="0.3">
      <c r="A34" s="48">
        <v>32</v>
      </c>
      <c r="B34" s="10" t="s">
        <v>54</v>
      </c>
      <c r="C34" s="10"/>
      <c r="D34" s="3" t="s">
        <v>45</v>
      </c>
      <c r="E34" s="3" t="s">
        <v>55</v>
      </c>
      <c r="F34" s="10" t="s">
        <v>15</v>
      </c>
      <c r="G34" s="10"/>
      <c r="H34" s="4" t="s">
        <v>22</v>
      </c>
      <c r="I34" s="5" t="str">
        <f t="shared" si="2"/>
        <v>Liquidado</v>
      </c>
      <c r="J34" s="4" t="s">
        <v>56</v>
      </c>
      <c r="K34" s="24">
        <v>9</v>
      </c>
      <c r="L34" s="15">
        <v>45667</v>
      </c>
      <c r="M34" s="15">
        <v>45879</v>
      </c>
      <c r="N34" s="45">
        <f t="shared" si="6"/>
        <v>45879</v>
      </c>
      <c r="O34" s="11">
        <v>2322.5</v>
      </c>
      <c r="P34" s="21">
        <v>8</v>
      </c>
      <c r="Q34" s="11">
        <v>232.25</v>
      </c>
      <c r="R34" s="24">
        <v>8</v>
      </c>
      <c r="S34" s="24">
        <f t="shared" si="0"/>
        <v>0</v>
      </c>
      <c r="T34" s="11">
        <f t="shared" si="7"/>
        <v>1858</v>
      </c>
      <c r="U34" s="8">
        <f>Tabela2[[#This Row],[Parcelas Restantes]]*Tabela2[[#This Row],[Valor Parcela]]</f>
        <v>0</v>
      </c>
    </row>
    <row r="35" spans="1:21" x14ac:dyDescent="0.3">
      <c r="A35" s="48">
        <v>33</v>
      </c>
      <c r="B35" s="2" t="s">
        <v>57</v>
      </c>
      <c r="C35" s="2"/>
      <c r="D35" s="3" t="s">
        <v>45</v>
      </c>
      <c r="E35" s="3" t="s">
        <v>55</v>
      </c>
      <c r="F35" s="4" t="s">
        <v>15</v>
      </c>
      <c r="G35" s="35" t="s">
        <v>58</v>
      </c>
      <c r="H35" s="4" t="s">
        <v>22</v>
      </c>
      <c r="I35" s="5" t="str">
        <f t="shared" ref="I35:I42" si="8">IF(S35&gt;0,"Pagando","Liquidado")</f>
        <v>Pagando</v>
      </c>
      <c r="J35" s="4" t="s">
        <v>56</v>
      </c>
      <c r="K35" s="34">
        <v>11</v>
      </c>
      <c r="L35" s="6">
        <v>44662</v>
      </c>
      <c r="M35" s="6">
        <v>46457</v>
      </c>
      <c r="N35" s="45">
        <f t="shared" si="6"/>
        <v>46457</v>
      </c>
      <c r="O35" s="7">
        <f>Q35*P35</f>
        <v>22198.2</v>
      </c>
      <c r="P35" s="20">
        <v>60</v>
      </c>
      <c r="Q35" s="7">
        <v>369.97</v>
      </c>
      <c r="R35" s="23">
        <v>44</v>
      </c>
      <c r="S35" s="23">
        <f t="shared" ref="S35:S42" si="9">P35-R35</f>
        <v>16</v>
      </c>
      <c r="T35" s="8">
        <f t="shared" si="7"/>
        <v>16278.68</v>
      </c>
      <c r="U35" s="8">
        <f>Tabela2[[#This Row],[Parcelas Restantes]]*Tabela2[[#This Row],[Valor Parcela]]</f>
        <v>5919.52</v>
      </c>
    </row>
    <row r="36" spans="1:21" s="9" customFormat="1" x14ac:dyDescent="0.3">
      <c r="A36" s="48">
        <v>34</v>
      </c>
      <c r="B36" s="41" t="s">
        <v>59</v>
      </c>
      <c r="C36" s="41"/>
      <c r="D36" s="3" t="s">
        <v>45</v>
      </c>
      <c r="E36" s="3" t="s">
        <v>55</v>
      </c>
      <c r="F36" s="10" t="s">
        <v>15</v>
      </c>
      <c r="G36" s="35"/>
      <c r="H36" s="4" t="s">
        <v>22</v>
      </c>
      <c r="I36" s="5" t="str">
        <f t="shared" si="8"/>
        <v>Liquidado</v>
      </c>
      <c r="J36" s="5" t="s">
        <v>56</v>
      </c>
      <c r="K36" s="34">
        <v>25</v>
      </c>
      <c r="L36" s="6">
        <v>45071</v>
      </c>
      <c r="M36" s="6">
        <v>45404</v>
      </c>
      <c r="N36" s="13"/>
      <c r="O36" s="7">
        <v>9307.15</v>
      </c>
      <c r="P36" s="20">
        <v>12</v>
      </c>
      <c r="Q36" s="7">
        <v>775.55</v>
      </c>
      <c r="R36" s="23">
        <v>12</v>
      </c>
      <c r="S36" s="23">
        <f t="shared" si="9"/>
        <v>0</v>
      </c>
      <c r="T36" s="8">
        <f t="shared" si="7"/>
        <v>9306.5999999999985</v>
      </c>
      <c r="U36" s="8">
        <f>Tabela2[[#This Row],[Parcelas Restantes]]*Tabela2[[#This Row],[Valor Parcela]]</f>
        <v>0</v>
      </c>
    </row>
    <row r="37" spans="1:21" s="9" customFormat="1" x14ac:dyDescent="0.3">
      <c r="A37" s="48">
        <v>35</v>
      </c>
      <c r="B37" s="2" t="s">
        <v>60</v>
      </c>
      <c r="C37" s="2"/>
      <c r="D37" s="3" t="s">
        <v>45</v>
      </c>
      <c r="E37" s="3" t="s">
        <v>55</v>
      </c>
      <c r="F37" s="4" t="s">
        <v>15</v>
      </c>
      <c r="G37" s="35" t="s">
        <v>61</v>
      </c>
      <c r="H37" s="4" t="s">
        <v>22</v>
      </c>
      <c r="I37" s="5" t="str">
        <f t="shared" si="8"/>
        <v>Pagando</v>
      </c>
      <c r="J37" s="5" t="s">
        <v>56</v>
      </c>
      <c r="K37" s="34">
        <v>28</v>
      </c>
      <c r="L37" s="6">
        <v>44469</v>
      </c>
      <c r="M37" s="6">
        <v>48852</v>
      </c>
      <c r="N37" s="90">
        <f>M37</f>
        <v>48852</v>
      </c>
      <c r="O37" s="7">
        <v>232082.29</v>
      </c>
      <c r="P37" s="20">
        <v>145</v>
      </c>
      <c r="Q37" s="7">
        <v>2294.2199999999998</v>
      </c>
      <c r="R37" s="23">
        <v>50</v>
      </c>
      <c r="S37" s="23">
        <f t="shared" si="9"/>
        <v>95</v>
      </c>
      <c r="T37" s="8">
        <f>'DAS Parc'!E2</f>
        <v>80788.61</v>
      </c>
      <c r="U37" s="8">
        <f>Tabela2[[#This Row],[Parcelas Restantes]]*Tabela2[[#This Row],[Valor Parcela]]</f>
        <v>217950.9</v>
      </c>
    </row>
    <row r="38" spans="1:21" s="9" customFormat="1" x14ac:dyDescent="0.3">
      <c r="A38" s="48">
        <v>36</v>
      </c>
      <c r="B38" s="4" t="s">
        <v>62</v>
      </c>
      <c r="C38" s="4"/>
      <c r="D38" s="3" t="s">
        <v>45</v>
      </c>
      <c r="E38" s="3" t="s">
        <v>55</v>
      </c>
      <c r="F38" s="4" t="s">
        <v>15</v>
      </c>
      <c r="G38" s="4" t="s">
        <v>63</v>
      </c>
      <c r="H38" s="4" t="s">
        <v>22</v>
      </c>
      <c r="I38" s="5" t="str">
        <f t="shared" si="8"/>
        <v>Pagando</v>
      </c>
      <c r="J38" s="4" t="s">
        <v>19</v>
      </c>
      <c r="K38" s="23">
        <v>27</v>
      </c>
      <c r="L38" s="13">
        <v>44797</v>
      </c>
      <c r="M38" s="13">
        <v>46261</v>
      </c>
      <c r="N38" s="45">
        <f>M38</f>
        <v>46261</v>
      </c>
      <c r="O38" s="7">
        <v>214605.19</v>
      </c>
      <c r="P38" s="20">
        <v>42</v>
      </c>
      <c r="Q38" s="7">
        <v>5815.27</v>
      </c>
      <c r="R38" s="23">
        <v>33</v>
      </c>
      <c r="S38" s="23">
        <f t="shared" si="9"/>
        <v>9</v>
      </c>
      <c r="T38" s="8">
        <v>112714.5</v>
      </c>
      <c r="U38" s="8">
        <f>Tabela2[[#This Row],[Parcelas Restantes]]*Tabela2[[#This Row],[Valor Parcela]]</f>
        <v>52337.430000000008</v>
      </c>
    </row>
    <row r="39" spans="1:21" s="9" customFormat="1" x14ac:dyDescent="0.3">
      <c r="A39" s="48">
        <v>37</v>
      </c>
      <c r="B39" s="4" t="s">
        <v>62</v>
      </c>
      <c r="C39" s="4"/>
      <c r="D39" s="3" t="s">
        <v>45</v>
      </c>
      <c r="E39" s="3" t="s">
        <v>55</v>
      </c>
      <c r="F39" s="4" t="s">
        <v>21</v>
      </c>
      <c r="G39" s="4"/>
      <c r="H39" s="4" t="s">
        <v>36</v>
      </c>
      <c r="I39" s="5" t="str">
        <f t="shared" si="8"/>
        <v>Pagando</v>
      </c>
      <c r="J39" s="4" t="s">
        <v>64</v>
      </c>
      <c r="K39" s="34">
        <v>30</v>
      </c>
      <c r="L39" s="6">
        <v>45015</v>
      </c>
      <c r="M39" s="6">
        <v>46264</v>
      </c>
      <c r="N39" s="45">
        <f>M39</f>
        <v>46264</v>
      </c>
      <c r="O39" s="7">
        <v>171116.4</v>
      </c>
      <c r="P39" s="20">
        <v>42</v>
      </c>
      <c r="Q39" s="7">
        <v>4081.99</v>
      </c>
      <c r="R39" s="23">
        <v>33</v>
      </c>
      <c r="S39" s="23">
        <f t="shared" si="9"/>
        <v>9</v>
      </c>
      <c r="T39" s="8">
        <v>140330.87</v>
      </c>
      <c r="U39" s="8">
        <f>Tabela2[[#This Row],[Parcelas Restantes]]*Tabela2[[#This Row],[Valor Parcela]]</f>
        <v>36737.909999999996</v>
      </c>
    </row>
    <row r="40" spans="1:21" s="9" customFormat="1" x14ac:dyDescent="0.3">
      <c r="A40" s="48">
        <v>38</v>
      </c>
      <c r="B40" s="16" t="s">
        <v>65</v>
      </c>
      <c r="C40" s="16"/>
      <c r="D40" s="3" t="s">
        <v>45</v>
      </c>
      <c r="E40" s="3" t="s">
        <v>55</v>
      </c>
      <c r="F40" s="10" t="s">
        <v>15</v>
      </c>
      <c r="G40" s="10"/>
      <c r="H40" s="4" t="s">
        <v>22</v>
      </c>
      <c r="I40" s="5" t="str">
        <f t="shared" si="8"/>
        <v>Pagando</v>
      </c>
      <c r="J40" s="10"/>
      <c r="K40" s="43">
        <v>13</v>
      </c>
      <c r="L40" s="88">
        <v>45670</v>
      </c>
      <c r="M40" s="88">
        <v>46094</v>
      </c>
      <c r="N40" s="45">
        <f>M40</f>
        <v>46094</v>
      </c>
      <c r="O40" s="11">
        <v>12000</v>
      </c>
      <c r="P40" s="21">
        <v>16</v>
      </c>
      <c r="Q40" s="32">
        <v>750</v>
      </c>
      <c r="R40" s="16">
        <v>5</v>
      </c>
      <c r="S40" s="24">
        <f t="shared" si="9"/>
        <v>11</v>
      </c>
      <c r="T40" s="11">
        <f>R40*Q40</f>
        <v>3750</v>
      </c>
      <c r="U40" s="8">
        <f>Tabela2[[#This Row],[Parcelas Restantes]]*Tabela2[[#This Row],[Valor Parcela]]</f>
        <v>8250</v>
      </c>
    </row>
    <row r="41" spans="1:21" x14ac:dyDescent="0.3">
      <c r="A41" s="48">
        <v>39</v>
      </c>
      <c r="B41" s="16" t="s">
        <v>65</v>
      </c>
      <c r="C41" s="16"/>
      <c r="D41" s="3" t="s">
        <v>45</v>
      </c>
      <c r="E41" s="3" t="s">
        <v>55</v>
      </c>
      <c r="F41" s="10" t="s">
        <v>15</v>
      </c>
      <c r="G41" s="10"/>
      <c r="H41" s="4" t="s">
        <v>22</v>
      </c>
      <c r="I41" s="5" t="str">
        <f t="shared" si="8"/>
        <v>Pagando</v>
      </c>
      <c r="J41" s="4"/>
      <c r="K41" s="24">
        <v>13</v>
      </c>
      <c r="L41" s="40">
        <v>46125</v>
      </c>
      <c r="M41" s="40">
        <v>46125</v>
      </c>
      <c r="N41" s="40"/>
      <c r="O41" s="11">
        <v>250</v>
      </c>
      <c r="P41" s="21">
        <v>1</v>
      </c>
      <c r="Q41" s="32">
        <v>250</v>
      </c>
      <c r="R41" s="16">
        <v>0</v>
      </c>
      <c r="S41" s="24">
        <f t="shared" si="9"/>
        <v>1</v>
      </c>
      <c r="T41" s="11">
        <f>R41*Q41</f>
        <v>0</v>
      </c>
      <c r="U41" s="8">
        <f>Tabela2[[#This Row],[Parcelas Restantes]]*Tabela2[[#This Row],[Valor Parcela]]</f>
        <v>250</v>
      </c>
    </row>
    <row r="42" spans="1:21" x14ac:dyDescent="0.3">
      <c r="A42" s="48">
        <v>40</v>
      </c>
      <c r="B42" s="16" t="s">
        <v>65</v>
      </c>
      <c r="C42" s="16"/>
      <c r="D42" s="3" t="s">
        <v>45</v>
      </c>
      <c r="E42" s="3" t="s">
        <v>55</v>
      </c>
      <c r="F42" s="10" t="s">
        <v>15</v>
      </c>
      <c r="G42" s="10"/>
      <c r="H42" s="4" t="s">
        <v>22</v>
      </c>
      <c r="I42" s="5" t="str">
        <f t="shared" si="8"/>
        <v>Pagando</v>
      </c>
      <c r="J42" s="4"/>
      <c r="K42" s="24">
        <v>13</v>
      </c>
      <c r="L42" s="40">
        <v>46155</v>
      </c>
      <c r="M42" s="40">
        <v>46155</v>
      </c>
      <c r="N42" s="40"/>
      <c r="O42" s="11">
        <v>500</v>
      </c>
      <c r="P42" s="21">
        <v>1</v>
      </c>
      <c r="Q42" s="32">
        <v>500</v>
      </c>
      <c r="R42" s="16">
        <v>0</v>
      </c>
      <c r="S42" s="24">
        <f t="shared" si="9"/>
        <v>1</v>
      </c>
      <c r="T42" s="11">
        <f>R42*Q42</f>
        <v>0</v>
      </c>
      <c r="U42" s="8">
        <f>Tabela2[[#This Row],[Parcelas Restantes]]*Tabela2[[#This Row],[Valor Parcela]]</f>
        <v>500</v>
      </c>
    </row>
    <row r="43" spans="1:21" x14ac:dyDescent="0.3">
      <c r="A43" s="26"/>
      <c r="B43" s="84" t="s">
        <v>10</v>
      </c>
      <c r="C43" s="84"/>
      <c r="D43" s="86">
        <v>45869</v>
      </c>
      <c r="E43" s="26"/>
      <c r="F43" s="91">
        <v>46009</v>
      </c>
      <c r="G43" s="26"/>
      <c r="H43" s="26"/>
      <c r="I43" s="87"/>
      <c r="J43" s="26" t="s">
        <v>11</v>
      </c>
      <c r="K43" s="27" t="s">
        <v>12</v>
      </c>
      <c r="L43" s="28"/>
      <c r="M43" s="26"/>
      <c r="N43" s="26"/>
      <c r="O43" s="29">
        <f>SUM(O44:O144)</f>
        <v>0</v>
      </c>
      <c r="P43" s="29"/>
      <c r="Q43" s="29">
        <f>SUM(Q44:Q144)</f>
        <v>0</v>
      </c>
      <c r="R43" s="29"/>
      <c r="S43" s="29"/>
      <c r="T43" s="29">
        <f>SUBTOTAL(109,T2:T42)</f>
        <v>2128873.94</v>
      </c>
      <c r="U43" s="29">
        <f>SUBTOTAL(109,U2:U42)</f>
        <v>1279209.3199999998</v>
      </c>
    </row>
    <row r="44" spans="1:21" x14ac:dyDescent="0.3">
      <c r="T44" s="14" t="s">
        <v>233</v>
      </c>
      <c r="U44" s="14">
        <f>U5</f>
        <v>112451.6</v>
      </c>
    </row>
    <row r="45" spans="1:21" x14ac:dyDescent="0.3">
      <c r="U45" s="14">
        <f>U43-U44</f>
        <v>1166757.7199999997</v>
      </c>
    </row>
  </sheetData>
  <hyperlinks>
    <hyperlink ref="G35" r:id="rId1" xr:uid="{B083789E-0FC9-4A5A-B08E-48ED294FEA09}"/>
    <hyperlink ref="G37" r:id="rId2" xr:uid="{ADC88AE7-06CF-437A-B9CA-B8E2DE303233}"/>
    <hyperlink ref="G14" r:id="rId3" display="https://marbrti.sharepoint.com/:b:/s/financeirosite/ESOgiW3aIzlLk-smj49pRpoBtvS3m87QR0wKqydSoCnUug?e=Yr7fmf" xr:uid="{3FFB7DC7-96BB-4A66-B9F0-8EF26C35B5E8}"/>
    <hyperlink ref="G16" r:id="rId4" display="https://marbrti.sharepoint.com/:b:/s/financeirosite/ESOgiW3aIzlLk-smj49pRpoBtvS3m87QR0wKqydSoCnUug?e=Yr7fmf" xr:uid="{BCECB6CF-EDBC-405D-A3B8-CAF5F81529BD}"/>
  </hyperlinks>
  <pageMargins left="0.511811024" right="0.511811024" top="0.78740157499999996" bottom="0.78740157499999996" header="0.31496062000000002" footer="0.31496062000000002"/>
  <pageSetup paperSize="9" scale="52" fitToHeight="0" orientation="landscape" horizontalDpi="0" verticalDpi="0" r:id="rId5"/>
  <legacy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F6A9-2B2E-4C6F-9F52-26350033A4D8}">
  <dimension ref="A1"/>
  <sheetViews>
    <sheetView topLeftCell="A10" workbookViewId="0">
      <selection activeCell="G28" sqref="G2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8F90-6661-4D8A-AFEF-E6A66B38708F}">
  <dimension ref="A1"/>
  <sheetViews>
    <sheetView zoomScaleNormal="100" workbookViewId="0"/>
  </sheetViews>
  <sheetFormatPr defaultRowHeight="14.4" x14ac:dyDescent="0.3"/>
  <sheetData>
    <row r="1" spans="1:1" x14ac:dyDescent="0.3">
      <c r="A1" s="82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779F-47FF-4A4B-89D8-C119E51835FB}">
  <dimension ref="A1:N20"/>
  <sheetViews>
    <sheetView zoomScaleNormal="100" workbookViewId="0">
      <selection activeCell="B4" sqref="B4"/>
    </sheetView>
  </sheetViews>
  <sheetFormatPr defaultRowHeight="14.4" x14ac:dyDescent="0.3"/>
  <sheetData>
    <row r="1" spans="1:14" x14ac:dyDescent="0.3">
      <c r="A1" s="64" t="s">
        <v>181</v>
      </c>
      <c r="B1" s="65" t="s">
        <v>66</v>
      </c>
      <c r="C1" s="65" t="s">
        <v>168</v>
      </c>
      <c r="D1" s="65" t="s">
        <v>169</v>
      </c>
      <c r="E1" s="65" t="s">
        <v>170</v>
      </c>
      <c r="F1" s="65" t="s">
        <v>171</v>
      </c>
      <c r="G1" s="65" t="s">
        <v>172</v>
      </c>
      <c r="H1" s="65" t="s">
        <v>173</v>
      </c>
      <c r="I1" s="65" t="s">
        <v>174</v>
      </c>
      <c r="J1" s="65" t="s">
        <v>175</v>
      </c>
      <c r="K1" s="65" t="s">
        <v>176</v>
      </c>
      <c r="L1" s="65" t="s">
        <v>177</v>
      </c>
      <c r="M1" s="65" t="s">
        <v>178</v>
      </c>
      <c r="N1" s="66" t="s">
        <v>180</v>
      </c>
    </row>
    <row r="2" spans="1:14" x14ac:dyDescent="0.3">
      <c r="A2" s="62">
        <v>2025</v>
      </c>
      <c r="B2" s="67">
        <f t="shared" ref="B2:B10" si="0">SUM(C2:N2)</f>
        <v>605039.35999999999</v>
      </c>
      <c r="C2" s="58">
        <f>SUMIF(PARCELAMENTOS!$N:$N,"&gt;30/12/2024",PARCELAMENTOS!$Q:$Q)</f>
        <v>52217.30999999999</v>
      </c>
      <c r="D2" s="58">
        <f>SUMIF(PARCELAMENTOS!$N:$N,"&gt;31/01/2025",PARCELAMENTOS!$Q:$Q)</f>
        <v>52217.30999999999</v>
      </c>
      <c r="E2" s="58">
        <f>SUMIF(PARCELAMENTOS!$N:$N,"&gt;28/02/2025",PARCELAMENTOS!$Q:$Q)</f>
        <v>52217.30999999999</v>
      </c>
      <c r="F2" s="58">
        <f>SUMIF(PARCELAMENTOS!$N:$N,"&gt;31/03/2025",PARCELAMENTOS!$Q:$Q)</f>
        <v>52217.30999999999</v>
      </c>
      <c r="G2" s="58">
        <f>SUMIF(PARCELAMENTOS!$N:$N,"&gt;30/04/2025",PARCELAMENTOS!$Q:$Q)</f>
        <v>52217.30999999999</v>
      </c>
      <c r="H2" s="58">
        <f>SUMIF(PARCELAMENTOS!$N:$N,"&gt;31/05/2025",PARCELAMENTOS!$Q:$Q)</f>
        <v>52217.30999999999</v>
      </c>
      <c r="I2" s="58">
        <f>SUMIF(PARCELAMENTOS!$N:$N,"&gt;30/06/2025",PARCELAMENTOS!$Q:$Q)</f>
        <v>52217.30999999999</v>
      </c>
      <c r="J2" s="58">
        <f>SUMIF(PARCELAMENTOS!$N:$N,"&gt;30/07/2025",PARCELAMENTOS!$Q:$Q)</f>
        <v>50340.46</v>
      </c>
      <c r="K2" s="58">
        <f>SUMIF(PARCELAMENTOS!$N:$N,"&gt;30/08/2025",PARCELAMENTOS!$Q:$Q)</f>
        <v>48878.12</v>
      </c>
      <c r="L2" s="58">
        <f>SUMIF(PARCELAMENTOS!$N:$N,"&gt;30/09/2025",PARCELAMENTOS!$Q:$Q)</f>
        <v>47196.189999999995</v>
      </c>
      <c r="M2" s="58">
        <f>SUMIF(PARCELAMENTOS!$N:$N,"&gt;30/10/2025",PARCELAMENTOS!$Q:$Q)</f>
        <v>46753.310000000005</v>
      </c>
      <c r="N2" s="59">
        <f>SUMIF(PARCELAMENTOS!$N:$N,"&gt;30/11/2025",PARCELAMENTOS!$Q:$Q)</f>
        <v>46350.110000000008</v>
      </c>
    </row>
    <row r="3" spans="1:14" x14ac:dyDescent="0.3">
      <c r="A3" s="63">
        <v>2026</v>
      </c>
      <c r="B3" s="68">
        <f t="shared" si="0"/>
        <v>435899.02</v>
      </c>
      <c r="C3" s="60">
        <f>SUMIF(PARCELAMENTOS!$N:$N,"&gt;30/12/2025",PARCELAMENTOS!$Q:$Q)</f>
        <v>46102.65</v>
      </c>
      <c r="D3" s="60">
        <f>SUMIF(PARCELAMENTOS!$N:$N,"&gt;31/01/2026",PARCELAMENTOS!$Q:$Q)</f>
        <v>42574.110000000008</v>
      </c>
      <c r="E3" s="60">
        <f>SUMIF(PARCELAMENTOS!$N:$N,"&gt;28/02/2026",PARCELAMENTOS!$Q:$Q)</f>
        <v>42574.110000000008</v>
      </c>
      <c r="F3" s="60">
        <f>SUMIF(PARCELAMENTOS!$N:$N,"&gt;31/03/2026",PARCELAMENTOS!$Q:$Q)</f>
        <v>41824.110000000008</v>
      </c>
      <c r="G3" s="60">
        <f>SUMIF(PARCELAMENTOS!$N:$N,"&gt;30/04/2026",PARCELAMENTOS!$Q:$Q)</f>
        <v>41824.110000000008</v>
      </c>
      <c r="H3" s="60">
        <f>SUMIF(PARCELAMENTOS!$N:$N,"&gt;31/05/2026",PARCELAMENTOS!$Q:$Q)</f>
        <v>41824.110000000008</v>
      </c>
      <c r="I3" s="60">
        <f>SUMIF(PARCELAMENTOS!$N:$N,"&gt;30/06/2026",PARCELAMENTOS!$Q:$Q)</f>
        <v>36460.810000000005</v>
      </c>
      <c r="J3" s="60">
        <f>SUMIF(PARCELAMENTOS!$N:$N,"&gt;31/07/2026",PARCELAMENTOS!$Q:$Q)</f>
        <v>36460.810000000005</v>
      </c>
      <c r="K3" s="60">
        <f>SUMIF(PARCELAMENTOS!$N:$N,"&gt;31/08/2026",PARCELAMENTOS!$Q:$Q)</f>
        <v>26563.550000000003</v>
      </c>
      <c r="L3" s="60">
        <f>SUMIF(PARCELAMENTOS!$N:$N,"&gt;30/09/2026",PARCELAMENTOS!$Q:$Q)</f>
        <v>26563.550000000003</v>
      </c>
      <c r="M3" s="60">
        <f>SUMIF(PARCELAMENTOS!$N:$N,"&gt;31/10/2026",PARCELAMENTOS!$Q:$Q)</f>
        <v>26563.550000000003</v>
      </c>
      <c r="N3" s="61">
        <f>SUMIF(PARCELAMENTOS!$N:$N,"&gt;30/11/2026",PARCELAMENTOS!$Q:$Q)</f>
        <v>26563.550000000003</v>
      </c>
    </row>
    <row r="4" spans="1:14" x14ac:dyDescent="0.3">
      <c r="A4" s="62">
        <v>2027</v>
      </c>
      <c r="B4" s="67">
        <f t="shared" si="0"/>
        <v>286825.05</v>
      </c>
      <c r="C4" s="58">
        <f>SUMIF(PARCELAMENTOS!$N:$N,"&gt;30/12/2026",PARCELAMENTOS!$Q:$Q)</f>
        <v>26563.550000000003</v>
      </c>
      <c r="D4" s="58">
        <f>SUMIF(PARCELAMENTOS!$N:$N,"&gt;31/01/2027",PARCELAMENTOS!$Q:$Q)</f>
        <v>26563.550000000003</v>
      </c>
      <c r="E4" s="58">
        <f>SUMIF(PARCELAMENTOS!$N:$N,"&gt;28/02/2027",PARCELAMENTOS!$Q:$Q)</f>
        <v>26563.550000000003</v>
      </c>
      <c r="F4" s="58">
        <f>SUMIF(PARCELAMENTOS!$N:$N,"&gt;31/03/2027",PARCELAMENTOS!$Q:$Q)</f>
        <v>26193.58</v>
      </c>
      <c r="G4" s="58">
        <f>SUMIF(PARCELAMENTOS!$N:$N,"&gt;30/04/2027",PARCELAMENTOS!$Q:$Q)</f>
        <v>26193.58</v>
      </c>
      <c r="H4" s="58">
        <f>SUMIF(PARCELAMENTOS!$N:$N,"&gt;31/05/2027",PARCELAMENTOS!$Q:$Q)</f>
        <v>26193.58</v>
      </c>
      <c r="I4" s="58">
        <f>SUMIF(PARCELAMENTOS!$N:$N,"&gt;30/06/2027",PARCELAMENTOS!$Q:$Q)</f>
        <v>26193.58</v>
      </c>
      <c r="J4" s="58">
        <f>SUMIF(PARCELAMENTOS!$N:$N,"&gt;31/07/2027",PARCELAMENTOS!$Q:$Q)</f>
        <v>20571</v>
      </c>
      <c r="K4" s="58">
        <f>SUMIF(PARCELAMENTOS!$N:$N,"&gt;31/08/2027",PARCELAMENTOS!$Q:$Q)</f>
        <v>20571</v>
      </c>
      <c r="L4" s="58">
        <f>SUMIF(PARCELAMENTOS!$N:$N,"&gt;30/09/2027",PARCELAMENTOS!$Q:$Q)</f>
        <v>20571</v>
      </c>
      <c r="M4" s="58">
        <f>SUMIF(PARCELAMENTOS!$N:$N,"&gt;31/10/2027",PARCELAMENTOS!$Q:$Q)</f>
        <v>20323.54</v>
      </c>
      <c r="N4" s="59">
        <f>SUMIF(PARCELAMENTOS!$N:$N,"&gt;30/11/2027",PARCELAMENTOS!$Q:$Q)</f>
        <v>20323.54</v>
      </c>
    </row>
    <row r="5" spans="1:14" x14ac:dyDescent="0.3">
      <c r="A5" s="63">
        <v>2028</v>
      </c>
      <c r="B5" s="68">
        <f t="shared" si="0"/>
        <v>148666.4</v>
      </c>
      <c r="C5" s="60">
        <f>SUMIF(PARCELAMENTOS!$N:$N,"&gt;30/12/2027",PARCELAMENTOS!$Q:$Q)</f>
        <v>15722.199999999997</v>
      </c>
      <c r="D5" s="60">
        <f>SUMIF(PARCELAMENTOS!$N:$N,"&gt;31/01/2028",PARCELAMENTOS!$Q:$Q)</f>
        <v>15722.199999999997</v>
      </c>
      <c r="E5" s="60">
        <f>SUMIF(PARCELAMENTOS!$N:$N,"&gt;28/02/2028",PARCELAMENTOS!$Q:$Q)</f>
        <v>15722.199999999997</v>
      </c>
      <c r="F5" s="60">
        <f>SUMIF(PARCELAMENTOS!$N:$N,"&gt;31/03/2028",PARCELAMENTOS!$Q:$Q)</f>
        <v>15722.199999999997</v>
      </c>
      <c r="G5" s="60">
        <f>SUMIF(PARCELAMENTOS!$N:$N,"&gt;30/04/2028",PARCELAMENTOS!$Q:$Q)</f>
        <v>10722.199999999999</v>
      </c>
      <c r="H5" s="60">
        <f>SUMIF(PARCELAMENTOS!$N:$N,"&gt;31/05/2028",PARCELAMENTOS!$Q:$Q)</f>
        <v>10722.199999999999</v>
      </c>
      <c r="I5" s="60">
        <f>SUMIF(PARCELAMENTOS!$N:$N,"&gt;30/06/2028",PARCELAMENTOS!$Q:$Q)</f>
        <v>10722.199999999999</v>
      </c>
      <c r="J5" s="60">
        <f>SUMIF(PARCELAMENTOS!$N:$N,"&gt;31/07/2028",PARCELAMENTOS!$Q:$Q)</f>
        <v>10722.199999999999</v>
      </c>
      <c r="K5" s="60">
        <f>SUMIF(PARCELAMENTOS!$N:$N,"&gt;31/08/2028",PARCELAMENTOS!$Q:$Q)</f>
        <v>10722.199999999999</v>
      </c>
      <c r="L5" s="60">
        <f>SUMIF(PARCELAMENTOS!$N:$N,"&gt;30/09/2028",PARCELAMENTOS!$Q:$Q)</f>
        <v>10722.199999999999</v>
      </c>
      <c r="M5" s="60">
        <f>SUMIF(PARCELAMENTOS!$N:$N,"&gt;31/10/2028",PARCELAMENTOS!$Q:$Q)</f>
        <v>10722.199999999999</v>
      </c>
      <c r="N5" s="61">
        <f>SUMIF(PARCELAMENTOS!$N:$N,"&gt;30/11/2028",PARCELAMENTOS!$Q:$Q)</f>
        <v>10722.199999999999</v>
      </c>
    </row>
    <row r="6" spans="1:14" x14ac:dyDescent="0.3">
      <c r="A6" s="62">
        <v>2029</v>
      </c>
      <c r="B6" s="67">
        <f t="shared" si="0"/>
        <v>79894.5</v>
      </c>
      <c r="C6" s="58">
        <f>SUMIF(PARCELAMENTOS!$N:$N,"&gt;30/12/2028",PARCELAMENTOS!$Q:$Q)</f>
        <v>10722.199999999999</v>
      </c>
      <c r="D6" s="58">
        <f>SUMIF(PARCELAMENTOS!$N:$N,"&gt;31/01/2029",PARCELAMENTOS!$Q:$Q)</f>
        <v>10722.199999999999</v>
      </c>
      <c r="E6" s="58">
        <f>SUMIF(PARCELAMENTOS!$N:$N,"&gt;28/02/2029",PARCELAMENTOS!$Q:$Q)</f>
        <v>5845.01</v>
      </c>
      <c r="F6" s="58">
        <f>SUMIF(PARCELAMENTOS!$N:$N,"&gt;31/03/2029",PARCELAMENTOS!$Q:$Q)</f>
        <v>5845.01</v>
      </c>
      <c r="G6" s="58">
        <f>SUMIF(PARCELAMENTOS!$N:$N,"&gt;30/04/2029",PARCELAMENTOS!$Q:$Q)</f>
        <v>5845.01</v>
      </c>
      <c r="H6" s="58">
        <f>SUMIF(PARCELAMENTOS!$N:$N,"&gt;31/05/2029",PARCELAMENTOS!$Q:$Q)</f>
        <v>5845.01</v>
      </c>
      <c r="I6" s="58">
        <f>SUMIF(PARCELAMENTOS!$N:$N,"&gt;30/06/2029",PARCELAMENTOS!$Q:$Q)</f>
        <v>5845.01</v>
      </c>
      <c r="J6" s="58">
        <f>SUMIF(PARCELAMENTOS!$N:$N,"&gt;31/07/2029",PARCELAMENTOS!$Q:$Q)</f>
        <v>5845.01</v>
      </c>
      <c r="K6" s="58">
        <f>SUMIF(PARCELAMENTOS!$N:$N,"&gt;31/08/2029",PARCELAMENTOS!$Q:$Q)</f>
        <v>5845.01</v>
      </c>
      <c r="L6" s="58">
        <f>SUMIF(PARCELAMENTOS!$N:$N,"&gt;30/09/2029",PARCELAMENTOS!$Q:$Q)</f>
        <v>5845.01</v>
      </c>
      <c r="M6" s="58">
        <f>SUMIF(PARCELAMENTOS!$N:$N,"&gt;31/10/2029",PARCELAMENTOS!$Q:$Q)</f>
        <v>5845.01</v>
      </c>
      <c r="N6" s="59">
        <f>SUMIF(PARCELAMENTOS!$N:$N,"&gt;30/11/2029",PARCELAMENTOS!$Q:$Q)</f>
        <v>5845.01</v>
      </c>
    </row>
    <row r="7" spans="1:14" x14ac:dyDescent="0.3">
      <c r="A7" s="63">
        <v>2030</v>
      </c>
      <c r="B7" s="68">
        <f t="shared" si="0"/>
        <v>61614.24000000002</v>
      </c>
      <c r="C7" s="60">
        <f>SUMIF(PARCELAMENTOS!$N:$N,"&gt;30/12/2029",PARCELAMENTOS!$Q:$Q)</f>
        <v>5134.5200000000004</v>
      </c>
      <c r="D7" s="60">
        <f>SUMIF(PARCELAMENTOS!$N:$N,"&gt;31/01/2030",PARCELAMENTOS!$Q:$Q)</f>
        <v>5134.5200000000004</v>
      </c>
      <c r="E7" s="60">
        <f>SUMIF(PARCELAMENTOS!$N:$N,"&gt;28/02/2030",PARCELAMENTOS!$Q:$Q)</f>
        <v>5134.5200000000004</v>
      </c>
      <c r="F7" s="60">
        <f>SUMIF(PARCELAMENTOS!$N:$N,"&gt;31/03/2030",PARCELAMENTOS!$Q:$Q)</f>
        <v>5134.5200000000004</v>
      </c>
      <c r="G7" s="60">
        <f>SUMIF(PARCELAMENTOS!$N:$N,"&gt;30/04/2030",PARCELAMENTOS!$Q:$Q)</f>
        <v>5134.5200000000004</v>
      </c>
      <c r="H7" s="60">
        <f>SUMIF(PARCELAMENTOS!$N:$N,"&gt;31/05/2030",PARCELAMENTOS!$Q:$Q)</f>
        <v>5134.5200000000004</v>
      </c>
      <c r="I7" s="60">
        <f>SUMIF(PARCELAMENTOS!$N:$N,"&gt;30/06/2030",PARCELAMENTOS!$Q:$Q)</f>
        <v>5134.5200000000004</v>
      </c>
      <c r="J7" s="60">
        <f>SUMIF(PARCELAMENTOS!$N:$N,"&gt;31/07/2030",PARCELAMENTOS!$Q:$Q)</f>
        <v>5134.5200000000004</v>
      </c>
      <c r="K7" s="60">
        <f>SUMIF(PARCELAMENTOS!$N:$N,"&gt;31/08/2030",PARCELAMENTOS!$Q:$Q)</f>
        <v>5134.5200000000004</v>
      </c>
      <c r="L7" s="60">
        <f>SUMIF(PARCELAMENTOS!$N:$N,"&gt;30/09/2030",PARCELAMENTOS!$Q:$Q)</f>
        <v>5134.5200000000004</v>
      </c>
      <c r="M7" s="60">
        <f>SUMIF(PARCELAMENTOS!$N:$N,"&gt;31/10/2030",PARCELAMENTOS!$Q:$Q)</f>
        <v>5134.5200000000004</v>
      </c>
      <c r="N7" s="61">
        <f>SUMIF(PARCELAMENTOS!$N:$N,"&gt;30/11/2030",PARCELAMENTOS!$Q:$Q)</f>
        <v>5134.5200000000004</v>
      </c>
    </row>
    <row r="8" spans="1:14" x14ac:dyDescent="0.3">
      <c r="A8" s="62">
        <v>2031</v>
      </c>
      <c r="B8" s="67">
        <f t="shared" si="0"/>
        <v>61614.24000000002</v>
      </c>
      <c r="C8" s="58">
        <f>SUMIF(PARCELAMENTOS!$N:$N,"&gt;30/12/2030",PARCELAMENTOS!$Q:$Q)</f>
        <v>5134.5200000000004</v>
      </c>
      <c r="D8" s="58">
        <f>SUMIF(PARCELAMENTOS!$N:$N,"&gt;31/01/2031",PARCELAMENTOS!$Q:$Q)</f>
        <v>5134.5200000000004</v>
      </c>
      <c r="E8" s="58">
        <f>SUMIF(PARCELAMENTOS!$N:$N,"&gt;28/02/2031",PARCELAMENTOS!$Q:$Q)</f>
        <v>5134.5200000000004</v>
      </c>
      <c r="F8" s="58">
        <f>SUMIF(PARCELAMENTOS!$N:$N,"&gt;31/03/2031",PARCELAMENTOS!$Q:$Q)</f>
        <v>5134.5200000000004</v>
      </c>
      <c r="G8" s="58">
        <f>SUMIF(PARCELAMENTOS!$N:$N,"&gt;30/04/2031",PARCELAMENTOS!$Q:$Q)</f>
        <v>5134.5200000000004</v>
      </c>
      <c r="H8" s="58">
        <f>SUMIF(PARCELAMENTOS!$N:$N,"&gt;31/05/2031",PARCELAMENTOS!$Q:$Q)</f>
        <v>5134.5200000000004</v>
      </c>
      <c r="I8" s="58">
        <f>SUMIF(PARCELAMENTOS!$N:$N,"&gt;30/06/2031",PARCELAMENTOS!$Q:$Q)</f>
        <v>5134.5200000000004</v>
      </c>
      <c r="J8" s="58">
        <f>SUMIF(PARCELAMENTOS!$N:$N,"&gt;31/07/2031",PARCELAMENTOS!$Q:$Q)</f>
        <v>5134.5200000000004</v>
      </c>
      <c r="K8" s="58">
        <f>SUMIF(PARCELAMENTOS!$N:$N,"&gt;31/08/2031",PARCELAMENTOS!$Q:$Q)</f>
        <v>5134.5200000000004</v>
      </c>
      <c r="L8" s="58">
        <f>SUMIF(PARCELAMENTOS!$N:$N,"&gt;30/09/2031",PARCELAMENTOS!$Q:$Q)</f>
        <v>5134.5200000000004</v>
      </c>
      <c r="M8" s="58">
        <f>SUMIF(PARCELAMENTOS!$N:$N,"&gt;31/10/2031",PARCELAMENTOS!$Q:$Q)</f>
        <v>5134.5200000000004</v>
      </c>
      <c r="N8" s="59">
        <f>SUMIF(PARCELAMENTOS!$N:$N,"&gt;30/11/2031",PARCELAMENTOS!$Q:$Q)</f>
        <v>5134.5200000000004</v>
      </c>
    </row>
    <row r="9" spans="1:14" x14ac:dyDescent="0.3">
      <c r="A9" s="63">
        <v>2032</v>
      </c>
      <c r="B9" s="68">
        <f t="shared" si="0"/>
        <v>61614.24000000002</v>
      </c>
      <c r="C9" s="60">
        <f>SUMIF(PARCELAMENTOS!$N:$N,"&gt;30/12/2031",PARCELAMENTOS!$Q:$Q)</f>
        <v>5134.5200000000004</v>
      </c>
      <c r="D9" s="60">
        <f>SUMIF(PARCELAMENTOS!$N:$N,"&gt;31/01/2032",PARCELAMENTOS!$Q:$Q)</f>
        <v>5134.5200000000004</v>
      </c>
      <c r="E9" s="60">
        <f>SUMIF(PARCELAMENTOS!$N:$N,"&gt;28/02/2032",PARCELAMENTOS!$Q:$Q)</f>
        <v>5134.5200000000004</v>
      </c>
      <c r="F9" s="60">
        <f>SUMIF(PARCELAMENTOS!$N:$N,"&gt;31/03/2032",PARCELAMENTOS!$Q:$Q)</f>
        <v>5134.5200000000004</v>
      </c>
      <c r="G9" s="60">
        <f>SUMIF(PARCELAMENTOS!$N:$N,"&gt;30/04/2032",PARCELAMENTOS!$Q:$Q)</f>
        <v>5134.5200000000004</v>
      </c>
      <c r="H9" s="60">
        <f>SUMIF(PARCELAMENTOS!$N:$N,"&gt;31/05/2032",PARCELAMENTOS!$Q:$Q)</f>
        <v>5134.5200000000004</v>
      </c>
      <c r="I9" s="60">
        <f>SUMIF(PARCELAMENTOS!$N:$N,"&gt;30/06/2032",PARCELAMENTOS!$Q:$Q)</f>
        <v>5134.5200000000004</v>
      </c>
      <c r="J9" s="60">
        <f>SUMIF(PARCELAMENTOS!$N:$N,"&gt;31/07/2032",PARCELAMENTOS!$Q:$Q)</f>
        <v>5134.5200000000004</v>
      </c>
      <c r="K9" s="60">
        <f>SUMIF(PARCELAMENTOS!$N:$N,"&gt;31/08/2032",PARCELAMENTOS!$Q:$Q)</f>
        <v>5134.5200000000004</v>
      </c>
      <c r="L9" s="60">
        <f>SUMIF(PARCELAMENTOS!$N:$N,"&gt;30/09/2032",PARCELAMENTOS!$Q:$Q)</f>
        <v>5134.5200000000004</v>
      </c>
      <c r="M9" s="60">
        <f>SUMIF(PARCELAMENTOS!$N:$N,"&gt;31/10/2032",PARCELAMENTOS!$Q:$Q)</f>
        <v>5134.5200000000004</v>
      </c>
      <c r="N9" s="61">
        <f>SUMIF(PARCELAMENTOS!$N:$N,"&gt;30/11/2032",PARCELAMENTOS!$Q:$Q)</f>
        <v>5134.5200000000004</v>
      </c>
    </row>
    <row r="10" spans="1:14" x14ac:dyDescent="0.3">
      <c r="A10" s="62">
        <v>2033</v>
      </c>
      <c r="B10" s="67">
        <f t="shared" si="0"/>
        <v>51891.280000000013</v>
      </c>
      <c r="C10" s="58">
        <f>SUMIF(PARCELAMENTOS!$N:$N,"&gt;30/12/2032",PARCELAMENTOS!$Q:$Q)</f>
        <v>5134.5200000000004</v>
      </c>
      <c r="D10" s="58">
        <f>SUMIF(PARCELAMENTOS!$N:$N,"&gt;31/01/2033",PARCELAMENTOS!$Q:$Q)</f>
        <v>5134.5200000000004</v>
      </c>
      <c r="E10" s="58">
        <f>SUMIF(PARCELAMENTOS!$N:$N,"&gt;28/02/2033",PARCELAMENTOS!$Q:$Q)</f>
        <v>5134.5200000000004</v>
      </c>
      <c r="F10" s="58">
        <f>SUMIF(PARCELAMENTOS!$N:$N,"&gt;31/03/2033",PARCELAMENTOS!$Q:$Q)</f>
        <v>5134.5200000000004</v>
      </c>
      <c r="G10" s="58">
        <f>SUMIF(PARCELAMENTOS!$N:$N,"&gt;30/04/2033",PARCELAMENTOS!$Q:$Q)</f>
        <v>5134.5200000000004</v>
      </c>
      <c r="H10" s="58">
        <f>SUMIF(PARCELAMENTOS!$N:$N,"&gt;31/05/2033",PARCELAMENTOS!$Q:$Q)</f>
        <v>5134.5200000000004</v>
      </c>
      <c r="I10" s="58">
        <f>SUMIF(PARCELAMENTOS!$N:$N,"&gt;30/06/2033",PARCELAMENTOS!$Q:$Q)</f>
        <v>5134.5200000000004</v>
      </c>
      <c r="J10" s="58">
        <f>SUMIF(PARCELAMENTOS!$N:$N,"&gt;31/07/2033",PARCELAMENTOS!$Q:$Q)</f>
        <v>5134.5200000000004</v>
      </c>
      <c r="K10" s="58">
        <f>SUMIF(PARCELAMENTOS!$N:$N,"&gt;31/08/2033",PARCELAMENTOS!$Q:$Q)</f>
        <v>5134.5200000000004</v>
      </c>
      <c r="L10" s="58">
        <f>SUMIF(PARCELAMENTOS!$N:$N,"&gt;30/09/2033",PARCELAMENTOS!$Q:$Q)</f>
        <v>2840.3</v>
      </c>
      <c r="M10" s="58">
        <f>SUMIF(PARCELAMENTOS!$N:$N,"&gt;31/10/2033",PARCELAMENTOS!$Q:$Q)</f>
        <v>2840.3</v>
      </c>
      <c r="N10" s="59">
        <f>SUMIF(PARCELAMENTOS!$N:$N,"&gt;30/11/2033",PARCELAMENTOS!$Q:$Q)</f>
        <v>0</v>
      </c>
    </row>
    <row r="12" spans="1:14" x14ac:dyDescent="0.3">
      <c r="A12" s="62">
        <v>2025</v>
      </c>
      <c r="B12" s="67">
        <f t="shared" ref="B12:B20" si="1">SUM(C12:N12)</f>
        <v>-5867.1999999999825</v>
      </c>
      <c r="C12" s="58"/>
      <c r="D12" s="58">
        <f>D2-C2</f>
        <v>0</v>
      </c>
      <c r="E12" s="58">
        <f t="shared" ref="E12:N12" si="2">E2-D2</f>
        <v>0</v>
      </c>
      <c r="F12" s="58">
        <f t="shared" si="2"/>
        <v>0</v>
      </c>
      <c r="G12" s="58">
        <f t="shared" si="2"/>
        <v>0</v>
      </c>
      <c r="H12" s="58">
        <f t="shared" si="2"/>
        <v>0</v>
      </c>
      <c r="I12" s="58">
        <f t="shared" si="2"/>
        <v>0</v>
      </c>
      <c r="J12" s="58">
        <f t="shared" si="2"/>
        <v>-1876.8499999999913</v>
      </c>
      <c r="K12" s="58">
        <f>K2-J2</f>
        <v>-1462.3399999999965</v>
      </c>
      <c r="L12" s="58">
        <f t="shared" si="2"/>
        <v>-1681.9300000000076</v>
      </c>
      <c r="M12" s="58">
        <f t="shared" si="2"/>
        <v>-442.8799999999901</v>
      </c>
      <c r="N12" s="58">
        <f t="shared" si="2"/>
        <v>-403.19999999999709</v>
      </c>
    </row>
    <row r="13" spans="1:14" x14ac:dyDescent="0.3">
      <c r="A13" s="63">
        <v>2026</v>
      </c>
      <c r="B13" s="68">
        <f t="shared" si="1"/>
        <v>-19786.560000000005</v>
      </c>
      <c r="C13" s="60">
        <f>C3-N2</f>
        <v>-247.4600000000064</v>
      </c>
      <c r="D13" s="60">
        <f>D3-C3</f>
        <v>-3528.5399999999936</v>
      </c>
      <c r="E13" s="60">
        <f t="shared" ref="E13:N13" si="3">E3-D3</f>
        <v>0</v>
      </c>
      <c r="F13" s="60">
        <f t="shared" si="3"/>
        <v>-750</v>
      </c>
      <c r="G13" s="60">
        <f t="shared" si="3"/>
        <v>0</v>
      </c>
      <c r="H13" s="60">
        <f t="shared" si="3"/>
        <v>0</v>
      </c>
      <c r="I13" s="60">
        <f t="shared" si="3"/>
        <v>-5363.3000000000029</v>
      </c>
      <c r="J13" s="60">
        <f t="shared" si="3"/>
        <v>0</v>
      </c>
      <c r="K13" s="60">
        <f t="shared" si="3"/>
        <v>-9897.260000000002</v>
      </c>
      <c r="L13" s="60">
        <f t="shared" si="3"/>
        <v>0</v>
      </c>
      <c r="M13" s="60">
        <f t="shared" si="3"/>
        <v>0</v>
      </c>
      <c r="N13" s="60">
        <f t="shared" si="3"/>
        <v>0</v>
      </c>
    </row>
    <row r="14" spans="1:14" x14ac:dyDescent="0.3">
      <c r="A14" s="62">
        <v>2027</v>
      </c>
      <c r="B14" s="67">
        <f t="shared" si="1"/>
        <v>-6240.010000000002</v>
      </c>
      <c r="C14" s="58">
        <f>C4-N3</f>
        <v>0</v>
      </c>
      <c r="D14" s="58">
        <f>D4-C4</f>
        <v>0</v>
      </c>
      <c r="E14" s="58">
        <f t="shared" ref="E14:N15" si="4">E4-D4</f>
        <v>0</v>
      </c>
      <c r="F14" s="58">
        <f t="shared" si="4"/>
        <v>-369.97000000000116</v>
      </c>
      <c r="G14" s="58">
        <f t="shared" si="4"/>
        <v>0</v>
      </c>
      <c r="H14" s="58">
        <f t="shared" si="4"/>
        <v>0</v>
      </c>
      <c r="I14" s="58">
        <f t="shared" si="4"/>
        <v>0</v>
      </c>
      <c r="J14" s="58">
        <f t="shared" si="4"/>
        <v>-5622.5800000000017</v>
      </c>
      <c r="K14" s="58">
        <f t="shared" si="4"/>
        <v>0</v>
      </c>
      <c r="L14" s="58">
        <f t="shared" si="4"/>
        <v>0</v>
      </c>
      <c r="M14" s="58">
        <f t="shared" si="4"/>
        <v>-247.45999999999913</v>
      </c>
      <c r="N14" s="58">
        <f t="shared" si="4"/>
        <v>0</v>
      </c>
    </row>
    <row r="15" spans="1:14" x14ac:dyDescent="0.3">
      <c r="A15" s="63">
        <v>2028</v>
      </c>
      <c r="B15" s="68">
        <f t="shared" si="1"/>
        <v>-9601.340000000002</v>
      </c>
      <c r="C15" s="60">
        <f>C5-N4</f>
        <v>-4601.3400000000038</v>
      </c>
      <c r="D15" s="58">
        <f>D5-C5</f>
        <v>0</v>
      </c>
      <c r="E15" s="58">
        <f t="shared" si="4"/>
        <v>0</v>
      </c>
      <c r="F15" s="58">
        <f t="shared" si="4"/>
        <v>0</v>
      </c>
      <c r="G15" s="58">
        <f t="shared" si="4"/>
        <v>-4999.9999999999982</v>
      </c>
      <c r="H15" s="58">
        <f t="shared" si="4"/>
        <v>0</v>
      </c>
      <c r="I15" s="58">
        <f t="shared" si="4"/>
        <v>0</v>
      </c>
      <c r="J15" s="58">
        <f t="shared" si="4"/>
        <v>0</v>
      </c>
      <c r="K15" s="58">
        <f t="shared" si="4"/>
        <v>0</v>
      </c>
      <c r="L15" s="58">
        <f t="shared" si="4"/>
        <v>0</v>
      </c>
      <c r="M15" s="58">
        <f t="shared" si="4"/>
        <v>0</v>
      </c>
      <c r="N15" s="58">
        <f t="shared" si="4"/>
        <v>0</v>
      </c>
    </row>
    <row r="16" spans="1:14" x14ac:dyDescent="0.3">
      <c r="A16" s="62">
        <v>2029</v>
      </c>
      <c r="B16" s="67">
        <f t="shared" si="1"/>
        <v>-4877.1899999999987</v>
      </c>
      <c r="C16" s="60">
        <f t="shared" ref="C16:C20" si="5">C6-N5</f>
        <v>0</v>
      </c>
      <c r="D16" s="58">
        <f t="shared" ref="D16:N16" si="6">D6-C6</f>
        <v>0</v>
      </c>
      <c r="E16" s="58">
        <f t="shared" si="6"/>
        <v>-4877.1899999999987</v>
      </c>
      <c r="F16" s="58">
        <f t="shared" si="6"/>
        <v>0</v>
      </c>
      <c r="G16" s="58">
        <f t="shared" si="6"/>
        <v>0</v>
      </c>
      <c r="H16" s="58">
        <f t="shared" si="6"/>
        <v>0</v>
      </c>
      <c r="I16" s="58">
        <f t="shared" si="6"/>
        <v>0</v>
      </c>
      <c r="J16" s="58">
        <f t="shared" si="6"/>
        <v>0</v>
      </c>
      <c r="K16" s="58">
        <f t="shared" si="6"/>
        <v>0</v>
      </c>
      <c r="L16" s="58">
        <f t="shared" si="6"/>
        <v>0</v>
      </c>
      <c r="M16" s="58">
        <f t="shared" si="6"/>
        <v>0</v>
      </c>
      <c r="N16" s="58">
        <f t="shared" si="6"/>
        <v>0</v>
      </c>
    </row>
    <row r="17" spans="1:14" x14ac:dyDescent="0.3">
      <c r="A17" s="63">
        <v>2030</v>
      </c>
      <c r="B17" s="68">
        <f t="shared" si="1"/>
        <v>-710.48999999999978</v>
      </c>
      <c r="C17" s="60">
        <f t="shared" si="5"/>
        <v>-710.48999999999978</v>
      </c>
      <c r="D17" s="58">
        <f t="shared" ref="D17:N17" si="7">D7-C7</f>
        <v>0</v>
      </c>
      <c r="E17" s="58">
        <f t="shared" si="7"/>
        <v>0</v>
      </c>
      <c r="F17" s="58">
        <f t="shared" si="7"/>
        <v>0</v>
      </c>
      <c r="G17" s="58">
        <f t="shared" si="7"/>
        <v>0</v>
      </c>
      <c r="H17" s="58">
        <f t="shared" si="7"/>
        <v>0</v>
      </c>
      <c r="I17" s="58">
        <f t="shared" si="7"/>
        <v>0</v>
      </c>
      <c r="J17" s="58">
        <f t="shared" si="7"/>
        <v>0</v>
      </c>
      <c r="K17" s="58">
        <f t="shared" si="7"/>
        <v>0</v>
      </c>
      <c r="L17" s="58">
        <f t="shared" si="7"/>
        <v>0</v>
      </c>
      <c r="M17" s="58">
        <f t="shared" si="7"/>
        <v>0</v>
      </c>
      <c r="N17" s="58">
        <f t="shared" si="7"/>
        <v>0</v>
      </c>
    </row>
    <row r="18" spans="1:14" x14ac:dyDescent="0.3">
      <c r="A18" s="62">
        <v>2031</v>
      </c>
      <c r="B18" s="67">
        <f t="shared" si="1"/>
        <v>0</v>
      </c>
      <c r="C18" s="60">
        <f t="shared" si="5"/>
        <v>0</v>
      </c>
      <c r="D18" s="58">
        <f t="shared" ref="D18:N18" si="8">D8-C8</f>
        <v>0</v>
      </c>
      <c r="E18" s="58">
        <f t="shared" si="8"/>
        <v>0</v>
      </c>
      <c r="F18" s="58">
        <f t="shared" si="8"/>
        <v>0</v>
      </c>
      <c r="G18" s="58">
        <f t="shared" si="8"/>
        <v>0</v>
      </c>
      <c r="H18" s="58">
        <f t="shared" si="8"/>
        <v>0</v>
      </c>
      <c r="I18" s="58">
        <f t="shared" si="8"/>
        <v>0</v>
      </c>
      <c r="J18" s="58">
        <f t="shared" si="8"/>
        <v>0</v>
      </c>
      <c r="K18" s="58">
        <f t="shared" si="8"/>
        <v>0</v>
      </c>
      <c r="L18" s="58">
        <f t="shared" si="8"/>
        <v>0</v>
      </c>
      <c r="M18" s="58">
        <f t="shared" si="8"/>
        <v>0</v>
      </c>
      <c r="N18" s="58">
        <f t="shared" si="8"/>
        <v>0</v>
      </c>
    </row>
    <row r="19" spans="1:14" x14ac:dyDescent="0.3">
      <c r="A19" s="63">
        <v>2032</v>
      </c>
      <c r="B19" s="68">
        <f t="shared" si="1"/>
        <v>0</v>
      </c>
      <c r="C19" s="60">
        <f t="shared" si="5"/>
        <v>0</v>
      </c>
      <c r="D19" s="58">
        <f t="shared" ref="D19:N19" si="9">D9-C9</f>
        <v>0</v>
      </c>
      <c r="E19" s="58">
        <f t="shared" si="9"/>
        <v>0</v>
      </c>
      <c r="F19" s="58">
        <f t="shared" si="9"/>
        <v>0</v>
      </c>
      <c r="G19" s="58">
        <f t="shared" si="9"/>
        <v>0</v>
      </c>
      <c r="H19" s="58">
        <f t="shared" si="9"/>
        <v>0</v>
      </c>
      <c r="I19" s="58">
        <f t="shared" si="9"/>
        <v>0</v>
      </c>
      <c r="J19" s="58">
        <f t="shared" si="9"/>
        <v>0</v>
      </c>
      <c r="K19" s="58">
        <f t="shared" si="9"/>
        <v>0</v>
      </c>
      <c r="L19" s="58">
        <f t="shared" si="9"/>
        <v>0</v>
      </c>
      <c r="M19" s="58">
        <f t="shared" si="9"/>
        <v>0</v>
      </c>
      <c r="N19" s="58">
        <f t="shared" si="9"/>
        <v>0</v>
      </c>
    </row>
    <row r="20" spans="1:14" x14ac:dyDescent="0.3">
      <c r="A20" s="62">
        <v>2033</v>
      </c>
      <c r="B20" s="67">
        <f t="shared" si="1"/>
        <v>-5134.5200000000004</v>
      </c>
      <c r="C20" s="60">
        <f t="shared" si="5"/>
        <v>0</v>
      </c>
      <c r="D20" s="58">
        <f t="shared" ref="D20:N20" si="10">D10-C10</f>
        <v>0</v>
      </c>
      <c r="E20" s="58">
        <f t="shared" si="10"/>
        <v>0</v>
      </c>
      <c r="F20" s="58">
        <f t="shared" si="10"/>
        <v>0</v>
      </c>
      <c r="G20" s="58">
        <f t="shared" si="10"/>
        <v>0</v>
      </c>
      <c r="H20" s="58">
        <f t="shared" si="10"/>
        <v>0</v>
      </c>
      <c r="I20" s="58">
        <f t="shared" si="10"/>
        <v>0</v>
      </c>
      <c r="J20" s="58">
        <f t="shared" si="10"/>
        <v>0</v>
      </c>
      <c r="K20" s="58">
        <f t="shared" si="10"/>
        <v>0</v>
      </c>
      <c r="L20" s="58">
        <f t="shared" si="10"/>
        <v>-2294.2200000000003</v>
      </c>
      <c r="M20" s="58">
        <f t="shared" si="10"/>
        <v>0</v>
      </c>
      <c r="N20" s="58">
        <f t="shared" si="10"/>
        <v>-2840.3</v>
      </c>
    </row>
  </sheetData>
  <conditionalFormatting sqref="B2:B10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:B2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N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{023BFD22-5A23-45C3-AD29-BADB708753CB}</x14:id>
        </ext>
      </extLst>
    </cfRule>
  </conditionalFormatting>
  <conditionalFormatting sqref="C12:N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{793A9C59-E9C7-4327-AAC6-DB016F105530}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3BFD22-5A23-45C3-AD29-BADB70875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C2:N10</xm:sqref>
        </x14:conditionalFormatting>
        <x14:conditionalFormatting xmlns:xm="http://schemas.microsoft.com/office/excel/2006/main">
          <x14:cfRule type="dataBar" id="{793A9C59-E9C7-4327-AAC6-DB016F1055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C12:N20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F7E8-4672-477D-BB30-88EABC690FEC}">
  <dimension ref="A1:G49"/>
  <sheetViews>
    <sheetView topLeftCell="A26" workbookViewId="0">
      <selection activeCell="D50" sqref="D50"/>
    </sheetView>
  </sheetViews>
  <sheetFormatPr defaultRowHeight="14.4" x14ac:dyDescent="0.3"/>
  <cols>
    <col min="2" max="2" width="10.33203125" style="30" bestFit="1" customWidth="1"/>
    <col min="4" max="4" width="62.109375" bestFit="1" customWidth="1"/>
    <col min="5" max="5" width="13.109375" style="31" bestFit="1" customWidth="1"/>
    <col min="6" max="7" width="13.109375" bestFit="1" customWidth="1"/>
  </cols>
  <sheetData>
    <row r="1" spans="1:7" x14ac:dyDescent="0.3">
      <c r="A1" s="37" t="s">
        <v>67</v>
      </c>
      <c r="B1" s="44" t="s">
        <v>68</v>
      </c>
      <c r="C1" s="37" t="s">
        <v>69</v>
      </c>
      <c r="D1" s="37" t="s">
        <v>70</v>
      </c>
      <c r="E1" s="38" t="s">
        <v>71</v>
      </c>
      <c r="F1" s="37" t="s">
        <v>72</v>
      </c>
      <c r="G1" s="37" t="s">
        <v>73</v>
      </c>
    </row>
    <row r="2" spans="1:7" x14ac:dyDescent="0.3">
      <c r="A2" s="37"/>
      <c r="B2" s="44"/>
      <c r="C2" s="37"/>
      <c r="D2" s="37" t="s">
        <v>74</v>
      </c>
      <c r="E2" s="38">
        <f>SUM(E3:E151)</f>
        <v>80788.61</v>
      </c>
      <c r="F2" s="38">
        <f>SUM(F3:F151)</f>
        <v>65894.26999999996</v>
      </c>
      <c r="G2" s="38">
        <f>SUM(G3:G151)</f>
        <v>14894.34</v>
      </c>
    </row>
    <row r="3" spans="1:7" x14ac:dyDescent="0.3">
      <c r="B3" s="30">
        <v>44454</v>
      </c>
      <c r="C3" t="s">
        <v>75</v>
      </c>
      <c r="D3" t="s">
        <v>76</v>
      </c>
      <c r="E3" s="39">
        <v>954.43</v>
      </c>
      <c r="F3">
        <v>954.43</v>
      </c>
      <c r="G3" s="18">
        <f>E3-F3</f>
        <v>0</v>
      </c>
    </row>
    <row r="4" spans="1:7" x14ac:dyDescent="0.3">
      <c r="B4" s="30">
        <v>44498</v>
      </c>
      <c r="C4" t="s">
        <v>75</v>
      </c>
      <c r="D4" t="s">
        <v>77</v>
      </c>
      <c r="E4" s="39">
        <v>963.98</v>
      </c>
      <c r="F4">
        <v>954.43</v>
      </c>
      <c r="G4" s="18">
        <f t="shared" ref="G4:G48" si="0">E4-F4</f>
        <v>9.5500000000000682</v>
      </c>
    </row>
    <row r="5" spans="1:7" x14ac:dyDescent="0.3">
      <c r="B5" s="30">
        <v>44530</v>
      </c>
      <c r="C5" t="s">
        <v>75</v>
      </c>
      <c r="D5" t="s">
        <v>78</v>
      </c>
      <c r="E5" s="39">
        <v>968.66</v>
      </c>
      <c r="F5">
        <v>954.43</v>
      </c>
      <c r="G5" s="18">
        <f t="shared" si="0"/>
        <v>14.230000000000018</v>
      </c>
    </row>
    <row r="6" spans="1:7" x14ac:dyDescent="0.3">
      <c r="B6" s="30">
        <v>44552</v>
      </c>
      <c r="C6" t="s">
        <v>75</v>
      </c>
      <c r="D6" t="s">
        <v>79</v>
      </c>
      <c r="E6" s="39">
        <v>974.29</v>
      </c>
      <c r="F6">
        <v>954.43</v>
      </c>
      <c r="G6" s="18">
        <f t="shared" si="0"/>
        <v>19.860000000000014</v>
      </c>
    </row>
    <row r="7" spans="1:7" x14ac:dyDescent="0.3">
      <c r="A7">
        <v>2933</v>
      </c>
      <c r="B7" s="30" t="s">
        <v>80</v>
      </c>
      <c r="C7" t="s">
        <v>75</v>
      </c>
      <c r="D7" t="s">
        <v>81</v>
      </c>
      <c r="E7" s="39">
        <v>981.64</v>
      </c>
      <c r="F7">
        <v>954.43</v>
      </c>
      <c r="G7" s="18">
        <f t="shared" si="0"/>
        <v>27.210000000000036</v>
      </c>
    </row>
    <row r="8" spans="1:7" x14ac:dyDescent="0.3">
      <c r="A8">
        <v>2934</v>
      </c>
      <c r="B8" s="30" t="s">
        <v>82</v>
      </c>
      <c r="C8" t="s">
        <v>75</v>
      </c>
      <c r="D8" t="s">
        <v>83</v>
      </c>
      <c r="E8" s="39">
        <v>988.6</v>
      </c>
      <c r="F8">
        <v>954.43</v>
      </c>
      <c r="G8" s="18">
        <f t="shared" si="0"/>
        <v>34.170000000000073</v>
      </c>
    </row>
    <row r="9" spans="1:7" x14ac:dyDescent="0.3">
      <c r="A9">
        <v>4781</v>
      </c>
      <c r="B9" s="30" t="s">
        <v>84</v>
      </c>
      <c r="C9" t="s">
        <v>75</v>
      </c>
      <c r="D9" t="s">
        <v>85</v>
      </c>
      <c r="E9" s="39">
        <v>995.86</v>
      </c>
      <c r="F9">
        <v>954.43</v>
      </c>
      <c r="G9" s="18">
        <f t="shared" si="0"/>
        <v>41.430000000000064</v>
      </c>
    </row>
    <row r="10" spans="1:7" x14ac:dyDescent="0.3">
      <c r="A10">
        <v>2936</v>
      </c>
      <c r="B10" s="30" t="s">
        <v>86</v>
      </c>
      <c r="C10" t="s">
        <v>75</v>
      </c>
      <c r="D10" t="s">
        <v>87</v>
      </c>
      <c r="E10" s="39">
        <v>1004.73</v>
      </c>
      <c r="F10">
        <v>954.43</v>
      </c>
      <c r="G10" s="18">
        <f t="shared" si="0"/>
        <v>50.300000000000068</v>
      </c>
    </row>
    <row r="11" spans="1:7" x14ac:dyDescent="0.3">
      <c r="A11">
        <v>2937</v>
      </c>
      <c r="B11" s="30" t="s">
        <v>88</v>
      </c>
      <c r="C11" t="s">
        <v>75</v>
      </c>
      <c r="D11" t="s">
        <v>89</v>
      </c>
      <c r="E11" s="39">
        <v>1012.66</v>
      </c>
      <c r="F11">
        <v>954.43</v>
      </c>
      <c r="G11" s="18">
        <f t="shared" si="0"/>
        <v>58.230000000000018</v>
      </c>
    </row>
    <row r="12" spans="1:7" x14ac:dyDescent="0.3">
      <c r="A12">
        <v>2938</v>
      </c>
      <c r="B12" s="30" t="s">
        <v>90</v>
      </c>
      <c r="C12" t="s">
        <v>75</v>
      </c>
      <c r="D12" t="s">
        <v>91</v>
      </c>
      <c r="E12" s="39">
        <v>929.52</v>
      </c>
      <c r="F12">
        <v>954.43</v>
      </c>
      <c r="G12" s="18">
        <f t="shared" si="0"/>
        <v>-24.909999999999968</v>
      </c>
    </row>
    <row r="13" spans="1:7" x14ac:dyDescent="0.3">
      <c r="A13">
        <v>2939</v>
      </c>
      <c r="B13" s="30" t="s">
        <v>92</v>
      </c>
      <c r="C13" t="s">
        <v>75</v>
      </c>
      <c r="D13" t="s">
        <v>93</v>
      </c>
      <c r="E13" s="39">
        <v>1032.22</v>
      </c>
      <c r="F13">
        <v>954.43</v>
      </c>
      <c r="G13" s="18">
        <f t="shared" si="0"/>
        <v>77.790000000000077</v>
      </c>
    </row>
    <row r="14" spans="1:7" x14ac:dyDescent="0.3">
      <c r="A14">
        <v>5616</v>
      </c>
      <c r="B14" s="30" t="s">
        <v>92</v>
      </c>
      <c r="C14" t="s">
        <v>75</v>
      </c>
      <c r="D14" t="s">
        <v>94</v>
      </c>
      <c r="E14" s="39">
        <v>93.81</v>
      </c>
      <c r="F14">
        <v>93.81</v>
      </c>
      <c r="G14" s="18">
        <f t="shared" si="0"/>
        <v>0</v>
      </c>
    </row>
    <row r="15" spans="1:7" x14ac:dyDescent="0.3">
      <c r="A15">
        <v>2940</v>
      </c>
      <c r="B15" s="30" t="s">
        <v>95</v>
      </c>
      <c r="C15" t="s">
        <v>75</v>
      </c>
      <c r="D15" t="s">
        <v>96</v>
      </c>
      <c r="E15" s="39">
        <v>1042.05</v>
      </c>
      <c r="F15">
        <v>954.43</v>
      </c>
      <c r="G15" s="18">
        <f t="shared" si="0"/>
        <v>87.62</v>
      </c>
    </row>
    <row r="16" spans="1:7" x14ac:dyDescent="0.3">
      <c r="A16">
        <v>2941</v>
      </c>
      <c r="B16" s="30" t="s">
        <v>97</v>
      </c>
      <c r="C16" t="s">
        <v>75</v>
      </c>
      <c r="D16" t="s">
        <v>98</v>
      </c>
      <c r="E16" s="39">
        <v>1763.89</v>
      </c>
      <c r="F16">
        <v>1598.45</v>
      </c>
      <c r="G16" s="18">
        <f t="shared" si="0"/>
        <v>165.44000000000005</v>
      </c>
    </row>
    <row r="17" spans="1:7" x14ac:dyDescent="0.3">
      <c r="A17">
        <v>5228</v>
      </c>
      <c r="B17" s="30" t="s">
        <v>99</v>
      </c>
      <c r="C17" t="s">
        <v>75</v>
      </c>
      <c r="D17" t="s">
        <v>100</v>
      </c>
      <c r="E17" s="39">
        <v>1780.96</v>
      </c>
      <c r="F17">
        <v>1598.45</v>
      </c>
      <c r="G17" s="18">
        <f t="shared" si="0"/>
        <v>182.51</v>
      </c>
    </row>
    <row r="18" spans="1:7" x14ac:dyDescent="0.3">
      <c r="A18">
        <v>5229</v>
      </c>
      <c r="B18" s="30" t="s">
        <v>101</v>
      </c>
      <c r="C18" t="s">
        <v>75</v>
      </c>
      <c r="D18" t="s">
        <v>102</v>
      </c>
      <c r="E18" s="39">
        <v>1797.27</v>
      </c>
      <c r="F18">
        <v>1598.45</v>
      </c>
      <c r="G18" s="18">
        <f t="shared" si="0"/>
        <v>198.81999999999994</v>
      </c>
    </row>
    <row r="19" spans="1:7" x14ac:dyDescent="0.3">
      <c r="A19">
        <v>5230</v>
      </c>
      <c r="B19" s="30" t="s">
        <v>103</v>
      </c>
      <c r="C19" t="s">
        <v>75</v>
      </c>
      <c r="D19" t="s">
        <v>104</v>
      </c>
      <c r="E19" s="39">
        <v>1813.57</v>
      </c>
      <c r="F19">
        <v>1598.45</v>
      </c>
      <c r="G19" s="18">
        <f t="shared" si="0"/>
        <v>215.11999999999989</v>
      </c>
    </row>
    <row r="20" spans="1:7" x14ac:dyDescent="0.3">
      <c r="A20">
        <v>9002</v>
      </c>
      <c r="B20" s="30" t="s">
        <v>105</v>
      </c>
      <c r="C20" t="s">
        <v>75</v>
      </c>
      <c r="D20" t="s">
        <v>106</v>
      </c>
      <c r="E20" s="39">
        <v>1831.47</v>
      </c>
      <c r="F20">
        <v>1598.45</v>
      </c>
      <c r="G20" s="18">
        <f t="shared" si="0"/>
        <v>233.01999999999998</v>
      </c>
    </row>
    <row r="21" spans="1:7" x14ac:dyDescent="0.3">
      <c r="A21">
        <v>9138</v>
      </c>
      <c r="B21" s="30" t="s">
        <v>107</v>
      </c>
      <c r="C21" t="s">
        <v>75</v>
      </c>
      <c r="D21" t="s">
        <v>108</v>
      </c>
      <c r="E21" s="39">
        <v>1849.38</v>
      </c>
      <c r="F21">
        <v>1598.45</v>
      </c>
      <c r="G21" s="18">
        <f t="shared" si="0"/>
        <v>250.93000000000006</v>
      </c>
    </row>
    <row r="22" spans="1:7" x14ac:dyDescent="0.3">
      <c r="A22">
        <v>8440</v>
      </c>
      <c r="B22" s="30" t="s">
        <v>109</v>
      </c>
      <c r="C22" t="s">
        <v>75</v>
      </c>
      <c r="D22" t="s">
        <v>110</v>
      </c>
      <c r="E22" s="39">
        <v>1864.08</v>
      </c>
      <c r="F22">
        <v>1598.45</v>
      </c>
      <c r="G22" s="18">
        <f t="shared" si="0"/>
        <v>265.62999999999988</v>
      </c>
    </row>
    <row r="23" spans="1:7" x14ac:dyDescent="0.3">
      <c r="A23">
        <v>9005</v>
      </c>
      <c r="B23" s="30" t="s">
        <v>111</v>
      </c>
      <c r="C23" t="s">
        <v>75</v>
      </c>
      <c r="D23" t="s">
        <v>112</v>
      </c>
      <c r="E23" s="39">
        <v>1882.78</v>
      </c>
      <c r="F23">
        <v>1598.45</v>
      </c>
      <c r="G23" s="18">
        <f t="shared" si="0"/>
        <v>284.32999999999993</v>
      </c>
    </row>
    <row r="24" spans="1:7" x14ac:dyDescent="0.3">
      <c r="A24">
        <v>8442</v>
      </c>
      <c r="B24" s="30" t="s">
        <v>113</v>
      </c>
      <c r="C24" t="s">
        <v>75</v>
      </c>
      <c r="D24" t="s">
        <v>114</v>
      </c>
      <c r="E24" s="39">
        <v>1897.49</v>
      </c>
      <c r="F24">
        <v>1598.45</v>
      </c>
      <c r="G24" s="18">
        <f t="shared" si="0"/>
        <v>299.03999999999996</v>
      </c>
    </row>
    <row r="25" spans="1:7" x14ac:dyDescent="0.3">
      <c r="A25">
        <v>9007</v>
      </c>
      <c r="B25" s="30" t="s">
        <v>115</v>
      </c>
      <c r="C25" t="s">
        <v>75</v>
      </c>
      <c r="D25" t="s">
        <v>116</v>
      </c>
      <c r="E25" s="39">
        <v>1813.57</v>
      </c>
      <c r="F25">
        <v>1598.45</v>
      </c>
      <c r="G25" s="18">
        <f t="shared" si="0"/>
        <v>215.11999999999989</v>
      </c>
    </row>
    <row r="26" spans="1:7" x14ac:dyDescent="0.3">
      <c r="A26">
        <v>8444</v>
      </c>
      <c r="B26" s="30" t="s">
        <v>117</v>
      </c>
      <c r="C26" t="s">
        <v>75</v>
      </c>
      <c r="D26" t="s">
        <v>118</v>
      </c>
      <c r="E26" s="39">
        <v>1932.49</v>
      </c>
      <c r="F26">
        <v>1598.45</v>
      </c>
      <c r="G26" s="18">
        <f t="shared" si="0"/>
        <v>334.03999999999996</v>
      </c>
    </row>
    <row r="27" spans="1:7" x14ac:dyDescent="0.3">
      <c r="A27">
        <v>8445</v>
      </c>
      <c r="B27" s="30" t="s">
        <v>119</v>
      </c>
      <c r="C27" t="s">
        <v>75</v>
      </c>
      <c r="D27" t="s">
        <v>120</v>
      </c>
      <c r="E27" s="39">
        <v>1949.6</v>
      </c>
      <c r="F27">
        <v>1598.45</v>
      </c>
      <c r="G27" s="18">
        <f t="shared" si="0"/>
        <v>351.14999999999986</v>
      </c>
    </row>
    <row r="28" spans="1:7" x14ac:dyDescent="0.3">
      <c r="A28">
        <v>9010</v>
      </c>
      <c r="B28" s="30" t="s">
        <v>121</v>
      </c>
      <c r="C28" t="s">
        <v>75</v>
      </c>
      <c r="D28" t="s">
        <v>122</v>
      </c>
      <c r="E28" s="39">
        <v>1967.82</v>
      </c>
      <c r="F28">
        <v>1598.45</v>
      </c>
      <c r="G28" s="18">
        <f t="shared" si="0"/>
        <v>369.36999999999989</v>
      </c>
    </row>
    <row r="29" spans="1:7" x14ac:dyDescent="0.3">
      <c r="A29">
        <v>8447</v>
      </c>
      <c r="B29" s="30" t="s">
        <v>123</v>
      </c>
      <c r="C29" t="s">
        <v>75</v>
      </c>
      <c r="D29" t="s">
        <v>124</v>
      </c>
      <c r="E29" s="39">
        <v>1983.31</v>
      </c>
      <c r="F29">
        <v>1598.45</v>
      </c>
      <c r="G29" s="18">
        <f t="shared" si="0"/>
        <v>384.8599999999999</v>
      </c>
    </row>
    <row r="30" spans="1:7" x14ac:dyDescent="0.3">
      <c r="A30">
        <v>8448</v>
      </c>
      <c r="B30" s="30" t="s">
        <v>125</v>
      </c>
      <c r="C30" t="s">
        <v>75</v>
      </c>
      <c r="D30" t="s">
        <v>126</v>
      </c>
      <c r="E30" s="39">
        <v>1999.3</v>
      </c>
      <c r="F30">
        <v>1598.45</v>
      </c>
      <c r="G30" s="18">
        <f t="shared" si="0"/>
        <v>400.84999999999991</v>
      </c>
    </row>
    <row r="31" spans="1:7" x14ac:dyDescent="0.3">
      <c r="A31">
        <v>9013</v>
      </c>
      <c r="B31" s="30" t="s">
        <v>127</v>
      </c>
      <c r="C31" t="s">
        <v>75</v>
      </c>
      <c r="D31" t="s">
        <v>128</v>
      </c>
      <c r="E31" s="39">
        <v>2028.24</v>
      </c>
      <c r="F31">
        <v>1598.45</v>
      </c>
      <c r="G31" s="18">
        <f t="shared" si="0"/>
        <v>429.78999999999996</v>
      </c>
    </row>
    <row r="32" spans="1:7" x14ac:dyDescent="0.3">
      <c r="A32">
        <v>14756</v>
      </c>
      <c r="B32" s="30" t="s">
        <v>129</v>
      </c>
      <c r="C32" t="s">
        <v>75</v>
      </c>
      <c r="D32" t="s">
        <v>130</v>
      </c>
      <c r="E32" s="39">
        <v>2028.23</v>
      </c>
      <c r="F32">
        <v>1598.45</v>
      </c>
      <c r="G32" s="18">
        <f t="shared" si="0"/>
        <v>429.78</v>
      </c>
    </row>
    <row r="33" spans="1:7" x14ac:dyDescent="0.3">
      <c r="A33">
        <v>14757</v>
      </c>
      <c r="B33" s="30" t="s">
        <v>131</v>
      </c>
      <c r="C33" t="s">
        <v>75</v>
      </c>
      <c r="D33" t="s">
        <v>132</v>
      </c>
      <c r="E33" s="39">
        <v>2043.74</v>
      </c>
      <c r="F33">
        <v>1598.45</v>
      </c>
      <c r="G33" s="18">
        <f t="shared" si="0"/>
        <v>445.28999999999996</v>
      </c>
    </row>
    <row r="34" spans="1:7" x14ac:dyDescent="0.3">
      <c r="A34">
        <v>14758</v>
      </c>
      <c r="B34" s="30" t="s">
        <v>133</v>
      </c>
      <c r="C34" t="s">
        <v>75</v>
      </c>
      <c r="D34" t="s">
        <v>134</v>
      </c>
      <c r="E34" s="39">
        <v>2056.5300000000002</v>
      </c>
      <c r="F34">
        <v>1598.45</v>
      </c>
      <c r="G34" s="18">
        <f t="shared" si="0"/>
        <v>458.08000000000015</v>
      </c>
    </row>
    <row r="35" spans="1:7" x14ac:dyDescent="0.3">
      <c r="A35">
        <v>14759</v>
      </c>
      <c r="B35" s="30" t="s">
        <v>135</v>
      </c>
      <c r="C35" t="s">
        <v>75</v>
      </c>
      <c r="D35" t="s">
        <v>136</v>
      </c>
      <c r="E35" s="39">
        <v>2069.8000000000002</v>
      </c>
      <c r="F35">
        <v>1598.45</v>
      </c>
      <c r="G35" s="18">
        <f t="shared" si="0"/>
        <v>471.35000000000014</v>
      </c>
    </row>
    <row r="36" spans="1:7" x14ac:dyDescent="0.3">
      <c r="A36">
        <v>14760</v>
      </c>
      <c r="B36" s="30" t="s">
        <v>137</v>
      </c>
      <c r="C36" t="s">
        <v>75</v>
      </c>
      <c r="D36" t="s">
        <v>138</v>
      </c>
      <c r="E36" s="39">
        <v>2084.02</v>
      </c>
      <c r="F36">
        <v>1598.45</v>
      </c>
      <c r="G36" s="18">
        <f t="shared" si="0"/>
        <v>485.56999999999994</v>
      </c>
    </row>
    <row r="37" spans="1:7" x14ac:dyDescent="0.3">
      <c r="A37">
        <v>14761</v>
      </c>
      <c r="B37" s="30" t="s">
        <v>139</v>
      </c>
      <c r="C37" t="s">
        <v>75</v>
      </c>
      <c r="D37" t="s">
        <v>140</v>
      </c>
      <c r="E37" s="39">
        <v>2097.29</v>
      </c>
      <c r="F37">
        <v>1598.45</v>
      </c>
      <c r="G37" s="18">
        <f t="shared" si="0"/>
        <v>498.83999999999992</v>
      </c>
    </row>
    <row r="38" spans="1:7" x14ac:dyDescent="0.3">
      <c r="A38">
        <v>14762</v>
      </c>
      <c r="B38" s="30" t="s">
        <v>141</v>
      </c>
      <c r="C38" t="s">
        <v>75</v>
      </c>
      <c r="D38" t="s">
        <v>142</v>
      </c>
      <c r="E38" s="39">
        <v>2109.92</v>
      </c>
      <c r="F38">
        <v>1598.45</v>
      </c>
      <c r="G38" s="18">
        <f t="shared" si="0"/>
        <v>511.47</v>
      </c>
    </row>
    <row r="39" spans="1:7" x14ac:dyDescent="0.3">
      <c r="A39">
        <v>14763</v>
      </c>
      <c r="B39" s="30" t="s">
        <v>143</v>
      </c>
      <c r="C39" t="s">
        <v>75</v>
      </c>
      <c r="D39" t="s">
        <v>144</v>
      </c>
      <c r="E39" s="39">
        <v>2124.4699999999998</v>
      </c>
      <c r="F39">
        <v>1598.45</v>
      </c>
      <c r="G39" s="18">
        <f t="shared" si="0"/>
        <v>526.01999999999975</v>
      </c>
    </row>
    <row r="40" spans="1:7" x14ac:dyDescent="0.3">
      <c r="A40">
        <v>14764</v>
      </c>
      <c r="B40" s="30" t="s">
        <v>145</v>
      </c>
      <c r="C40" t="s">
        <v>75</v>
      </c>
      <c r="D40" t="s">
        <v>146</v>
      </c>
      <c r="E40" s="39">
        <v>2138.37</v>
      </c>
      <c r="F40">
        <v>1598.45</v>
      </c>
      <c r="G40" s="18">
        <f t="shared" si="0"/>
        <v>539.91999999999985</v>
      </c>
    </row>
    <row r="41" spans="1:7" x14ac:dyDescent="0.3">
      <c r="A41">
        <v>14765</v>
      </c>
      <c r="B41" s="30" t="s">
        <v>147</v>
      </c>
      <c r="C41" t="s">
        <v>75</v>
      </c>
      <c r="D41" t="s">
        <v>148</v>
      </c>
      <c r="E41" s="39">
        <v>2151.8000000000002</v>
      </c>
      <c r="F41">
        <v>1598.45</v>
      </c>
      <c r="G41" s="18">
        <f t="shared" si="0"/>
        <v>553.35000000000014</v>
      </c>
    </row>
    <row r="42" spans="1:7" x14ac:dyDescent="0.3">
      <c r="A42">
        <v>14766</v>
      </c>
      <c r="B42" s="30" t="s">
        <v>149</v>
      </c>
      <c r="C42" t="s">
        <v>75</v>
      </c>
      <c r="D42" t="s">
        <v>150</v>
      </c>
      <c r="E42" s="39">
        <v>2166.66</v>
      </c>
      <c r="F42">
        <v>1598.45</v>
      </c>
      <c r="G42" s="18">
        <f t="shared" si="0"/>
        <v>568.20999999999981</v>
      </c>
    </row>
    <row r="43" spans="1:7" x14ac:dyDescent="0.3">
      <c r="A43">
        <v>14767</v>
      </c>
      <c r="B43" s="30" t="s">
        <v>151</v>
      </c>
      <c r="C43" t="s">
        <v>75</v>
      </c>
      <c r="D43" t="s">
        <v>152</v>
      </c>
      <c r="E43" s="39">
        <v>2179.29</v>
      </c>
      <c r="F43">
        <v>1598.45</v>
      </c>
      <c r="G43" s="18">
        <f t="shared" si="0"/>
        <v>580.83999999999992</v>
      </c>
    </row>
    <row r="44" spans="1:7" x14ac:dyDescent="0.3">
      <c r="B44" s="30">
        <v>45693</v>
      </c>
      <c r="C44" t="s">
        <v>75</v>
      </c>
      <c r="D44" t="s">
        <v>153</v>
      </c>
      <c r="E44" s="39">
        <v>2210.3000000000002</v>
      </c>
      <c r="F44">
        <v>1598.45</v>
      </c>
      <c r="G44" s="18">
        <f t="shared" si="0"/>
        <v>611.85000000000014</v>
      </c>
    </row>
    <row r="45" spans="1:7" x14ac:dyDescent="0.3">
      <c r="B45" s="30">
        <v>45716</v>
      </c>
      <c r="C45" t="s">
        <v>75</v>
      </c>
      <c r="D45" t="s">
        <v>154</v>
      </c>
      <c r="E45" s="39">
        <v>2210.3000000000002</v>
      </c>
      <c r="F45">
        <v>1598.45</v>
      </c>
      <c r="G45" s="18">
        <f t="shared" si="0"/>
        <v>611.85000000000014</v>
      </c>
    </row>
    <row r="46" spans="1:7" x14ac:dyDescent="0.3">
      <c r="B46" s="30">
        <v>45747</v>
      </c>
      <c r="C46" t="s">
        <v>75</v>
      </c>
      <c r="D46" t="s">
        <v>155</v>
      </c>
      <c r="E46" s="31">
        <v>2226.12</v>
      </c>
      <c r="F46">
        <v>1598.45</v>
      </c>
      <c r="G46" s="18">
        <f t="shared" si="0"/>
        <v>627.66999999999985</v>
      </c>
    </row>
    <row r="47" spans="1:7" x14ac:dyDescent="0.3">
      <c r="A47">
        <v>25286</v>
      </c>
      <c r="B47" s="30" t="s">
        <v>156</v>
      </c>
      <c r="C47" t="s">
        <v>75</v>
      </c>
      <c r="D47" t="s">
        <v>157</v>
      </c>
      <c r="E47" s="39">
        <v>2241.4699999999998</v>
      </c>
      <c r="F47">
        <v>1598.45</v>
      </c>
      <c r="G47" s="18">
        <f t="shared" si="0"/>
        <v>643.01999999999975</v>
      </c>
    </row>
    <row r="48" spans="1:7" x14ac:dyDescent="0.3">
      <c r="B48" s="30">
        <v>45803</v>
      </c>
      <c r="C48" t="s">
        <v>75</v>
      </c>
      <c r="D48" t="s">
        <v>158</v>
      </c>
      <c r="E48" s="31">
        <v>2258.41</v>
      </c>
      <c r="F48">
        <v>1598.45</v>
      </c>
      <c r="G48" s="18">
        <f t="shared" si="0"/>
        <v>659.95999999999981</v>
      </c>
    </row>
    <row r="49" spans="2:7" x14ac:dyDescent="0.3">
      <c r="B49" s="30">
        <v>45841</v>
      </c>
      <c r="C49" t="s">
        <v>75</v>
      </c>
      <c r="D49" t="s">
        <v>167</v>
      </c>
      <c r="E49" s="31">
        <v>2294.2199999999998</v>
      </c>
      <c r="F49">
        <v>1598.45</v>
      </c>
      <c r="G49" s="18">
        <f t="shared" ref="G49" si="1">E49-F49</f>
        <v>695.76999999999975</v>
      </c>
    </row>
  </sheetData>
  <autoFilter ref="A1:E1" xr:uid="{D703F7E8-4672-477D-BB30-88EABC690FEC}">
    <sortState xmlns:xlrd2="http://schemas.microsoft.com/office/spreadsheetml/2017/richdata2" ref="A2:E43">
      <sortCondition ref="B1"/>
    </sortState>
  </autoFilter>
  <sortState xmlns:xlrd2="http://schemas.microsoft.com/office/spreadsheetml/2017/richdata2" ref="A7:E48">
    <sortCondition ref="D1:D48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E9A5-41FA-4736-8CD5-0C74D2509E8D}">
  <dimension ref="A1:H8"/>
  <sheetViews>
    <sheetView workbookViewId="0">
      <selection activeCell="B7" sqref="B7"/>
    </sheetView>
  </sheetViews>
  <sheetFormatPr defaultRowHeight="14.4" x14ac:dyDescent="0.3"/>
  <cols>
    <col min="1" max="1" width="44.44140625" customWidth="1"/>
    <col min="3" max="3" width="12" bestFit="1" customWidth="1"/>
  </cols>
  <sheetData>
    <row r="1" spans="1:8" x14ac:dyDescent="0.3">
      <c r="A1" t="s">
        <v>159</v>
      </c>
      <c r="B1" t="s">
        <v>66</v>
      </c>
      <c r="C1" t="s">
        <v>160</v>
      </c>
      <c r="D1" t="s">
        <v>161</v>
      </c>
    </row>
    <row r="2" spans="1:8" x14ac:dyDescent="0.3">
      <c r="A2" s="2" t="s">
        <v>33</v>
      </c>
      <c r="B2">
        <f>F2+D2+H2</f>
        <v>20387.330000000002</v>
      </c>
      <c r="C2" t="s">
        <v>162</v>
      </c>
      <c r="D2">
        <v>13208.25</v>
      </c>
      <c r="E2" t="s">
        <v>163</v>
      </c>
      <c r="F2">
        <f>8*593.8</f>
        <v>4750.3999999999996</v>
      </c>
      <c r="G2" t="s">
        <v>164</v>
      </c>
      <c r="H2">
        <f>605.67+612.96+609.3+600.75</f>
        <v>2428.6800000000003</v>
      </c>
    </row>
    <row r="3" spans="1:8" x14ac:dyDescent="0.3">
      <c r="A3" s="2"/>
    </row>
    <row r="4" spans="1:8" x14ac:dyDescent="0.3">
      <c r="A4" s="2" t="s">
        <v>38</v>
      </c>
      <c r="B4">
        <f>D4+F4+H4</f>
        <v>3812.01</v>
      </c>
      <c r="C4" t="s">
        <v>165</v>
      </c>
      <c r="D4">
        <f>752.81+752.81+767.86+776.88+761.65</f>
        <v>3812.01</v>
      </c>
    </row>
    <row r="5" spans="1:8" x14ac:dyDescent="0.3">
      <c r="A5" s="2" t="s">
        <v>40</v>
      </c>
      <c r="B5">
        <f>D5+F5+H5</f>
        <v>3754.4699999999993</v>
      </c>
      <c r="C5" t="s">
        <v>165</v>
      </c>
      <c r="D5">
        <f>750.17+765.13+756.27+741.45+741.45</f>
        <v>3754.4699999999993</v>
      </c>
    </row>
    <row r="6" spans="1:8" x14ac:dyDescent="0.3">
      <c r="A6" s="2" t="s">
        <v>41</v>
      </c>
      <c r="B6">
        <f>D6+F6+H6</f>
        <v>3754.4699999999993</v>
      </c>
      <c r="C6" t="s">
        <v>165</v>
      </c>
      <c r="D6">
        <f>750.17+765.13+756.27+741.45+741.45</f>
        <v>3754.4699999999993</v>
      </c>
    </row>
    <row r="7" spans="1:8" x14ac:dyDescent="0.3">
      <c r="A7" s="2" t="s">
        <v>42</v>
      </c>
      <c r="B7">
        <f>D7+F7+H7</f>
        <v>79635.02</v>
      </c>
      <c r="C7" s="36" t="s">
        <v>166</v>
      </c>
      <c r="D7">
        <v>23932.400000000001</v>
      </c>
      <c r="E7" s="36">
        <v>45778</v>
      </c>
      <c r="F7">
        <v>55702.62</v>
      </c>
    </row>
    <row r="8" spans="1:8" x14ac:dyDescent="0.3">
      <c r="A8" s="2" t="s">
        <v>43</v>
      </c>
      <c r="B8">
        <f>D8+F8+H8</f>
        <v>80221.58</v>
      </c>
      <c r="C8" t="s">
        <v>166</v>
      </c>
      <c r="D8">
        <v>24108.7</v>
      </c>
      <c r="E8" s="36">
        <v>45778</v>
      </c>
      <c r="F8">
        <v>56112.88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ec653c-db26-4c1a-b2d8-4fc87e95ce94" xsi:nil="true"/>
    <lcf76f155ced4ddcb4097134ff3c332f xmlns="c34becbf-ca68-4256-8aed-b392b0a2c6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710B410562E7408FD56977B2428FD4" ma:contentTypeVersion="13" ma:contentTypeDescription="Crie um novo documento." ma:contentTypeScope="" ma:versionID="42bced010d37670c2fd400b955af6e6d">
  <xsd:schema xmlns:xsd="http://www.w3.org/2001/XMLSchema" xmlns:xs="http://www.w3.org/2001/XMLSchema" xmlns:p="http://schemas.microsoft.com/office/2006/metadata/properties" xmlns:ns2="c34becbf-ca68-4256-8aed-b392b0a2c6fb" xmlns:ns3="b8ec653c-db26-4c1a-b2d8-4fc87e95ce94" targetNamespace="http://schemas.microsoft.com/office/2006/metadata/properties" ma:root="true" ma:fieldsID="b29fe38bc2b0818aea8299765fcd098e" ns2:_="" ns3:_="">
    <xsd:import namespace="c34becbf-ca68-4256-8aed-b392b0a2c6fb"/>
    <xsd:import namespace="b8ec653c-db26-4c1a-b2d8-4fc87e95c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becbf-ca68-4256-8aed-b392b0a2c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ae915f-eeb9-43e2-b9ed-c7927ee112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c653c-db26-4c1a-b2d8-4fc87e95ce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2975235-71b8-4062-9941-f705393c570a}" ma:internalName="TaxCatchAll" ma:showField="CatchAllData" ma:web="b8ec653c-db26-4c1a-b2d8-4fc87e95c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857A0-6BB9-44F1-9827-C3BDA87E8B8C}">
  <ds:schemaRefs>
    <ds:schemaRef ds:uri="http://schemas.microsoft.com/office/2006/metadata/properties"/>
    <ds:schemaRef ds:uri="http://schemas.microsoft.com/office/infopath/2007/PartnerControls"/>
    <ds:schemaRef ds:uri="b8ec653c-db26-4c1a-b2d8-4fc87e95ce94"/>
    <ds:schemaRef ds:uri="c34becbf-ca68-4256-8aed-b392b0a2c6fb"/>
  </ds:schemaRefs>
</ds:datastoreItem>
</file>

<file path=customXml/itemProps2.xml><?xml version="1.0" encoding="utf-8"?>
<ds:datastoreItem xmlns:ds="http://schemas.openxmlformats.org/officeDocument/2006/customXml" ds:itemID="{58420872-8EB8-4A24-A07B-6EF7A5F81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4becbf-ca68-4256-8aed-b392b0a2c6fb"/>
    <ds:schemaRef ds:uri="b8ec653c-db26-4c1a-b2d8-4fc87e95c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E3E00A-1286-4235-95FE-4C2631B045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PARCELAMENTOS</vt:lpstr>
      <vt:lpstr>Parcelas</vt:lpstr>
      <vt:lpstr>Montantes</vt:lpstr>
      <vt:lpstr>Projeção</vt:lpstr>
      <vt:lpstr>DAS Parc</vt:lpstr>
      <vt:lpstr>Consórcios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Paula</dc:creator>
  <cp:keywords/>
  <dc:description/>
  <cp:lastModifiedBy>Marcos Paula</cp:lastModifiedBy>
  <cp:revision/>
  <dcterms:created xsi:type="dcterms:W3CDTF">2025-05-29T16:07:33Z</dcterms:created>
  <dcterms:modified xsi:type="dcterms:W3CDTF">2025-12-18T13:27:42Z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0x010100DB710B410562E7408FD56977B2428FD4</vt:lpwstr>
  </property>
  <property fmtid="{D5CDD505-2E9C-101B-9397-08002B2CF9AE}" pid="3" name="MediaServiceImageTags">
    <vt:lpwstr/>
  </property>
</Properties>
</file>